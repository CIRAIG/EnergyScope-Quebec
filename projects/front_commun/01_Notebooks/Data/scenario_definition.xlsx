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PycharmProjects\energyscope-lca\99_Front_commun\Data\"/>
    </mc:Choice>
  </mc:AlternateContent>
  <xr:revisionPtr revIDLastSave="0" documentId="13_ncr:1_{A4458A23-8F00-48A9-8383-50B3D0463039}" xr6:coauthVersionLast="47" xr6:coauthVersionMax="47" xr10:uidLastSave="{00000000-0000-0000-0000-000000000000}"/>
  <bookViews>
    <workbookView xWindow="-110" yWindow="-110" windowWidth="19420" windowHeight="10300" tabRatio="812" activeTab="3" xr2:uid="{45BC72EC-1928-413C-B478-F884FA501816}"/>
  </bookViews>
  <sheets>
    <sheet name="README" sheetId="2" r:id="rId1"/>
    <sheet name="Brut" sheetId="10" r:id="rId2"/>
    <sheet name="Acc_Verte" sheetId="12" r:id="rId3"/>
    <sheet name="Sobre" sheetId="11" r:id="rId4"/>
    <sheet name="Sobre_Lim_Cap" sheetId="16" r:id="rId5"/>
    <sheet name="v3_Éric" sheetId="13" r:id="rId6"/>
    <sheet name="Value_2023" sheetId="15" r:id="rId7"/>
    <sheet name="2023_r" sheetId="14" r:id="rId8"/>
    <sheet name="References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6" l="1"/>
  <c r="F62" i="16" s="1"/>
  <c r="F61" i="11"/>
  <c r="F62" i="11" s="1"/>
  <c r="F61" i="12"/>
  <c r="F62" i="12"/>
  <c r="F61" i="10"/>
  <c r="F62" i="10"/>
  <c r="F52" i="16"/>
  <c r="F60" i="16" s="1"/>
  <c r="F51" i="16"/>
  <c r="F59" i="16" s="1"/>
  <c r="F50" i="16"/>
  <c r="F58" i="16" s="1"/>
  <c r="F49" i="16"/>
  <c r="F57" i="16" s="1"/>
  <c r="F44" i="16"/>
  <c r="F43" i="16"/>
  <c r="F42" i="16"/>
  <c r="F41" i="16"/>
  <c r="F40" i="16"/>
  <c r="F39" i="16"/>
  <c r="F38" i="16"/>
  <c r="F37" i="16"/>
  <c r="F36" i="16"/>
  <c r="F35" i="16"/>
  <c r="F31" i="16"/>
  <c r="B31" i="16"/>
  <c r="F30" i="16"/>
  <c r="B30" i="16"/>
  <c r="F29" i="16"/>
  <c r="B29" i="16"/>
  <c r="F28" i="16"/>
  <c r="B28" i="16"/>
  <c r="F27" i="16"/>
  <c r="B27" i="16"/>
  <c r="F26" i="16"/>
  <c r="B26" i="16"/>
  <c r="F25" i="16"/>
  <c r="B25" i="16"/>
  <c r="F24" i="16"/>
  <c r="B24" i="16"/>
  <c r="F23" i="16"/>
  <c r="B23" i="16"/>
  <c r="F22" i="16"/>
  <c r="B22" i="16"/>
  <c r="F21" i="16"/>
  <c r="B21" i="16"/>
  <c r="F20" i="16"/>
  <c r="B20" i="16"/>
  <c r="F19" i="16"/>
  <c r="B19" i="16"/>
  <c r="B18" i="16"/>
  <c r="F18" i="16" s="1"/>
  <c r="B17" i="16"/>
  <c r="F17" i="16" s="1"/>
  <c r="B16" i="16"/>
  <c r="F16" i="16" s="1"/>
  <c r="F15" i="16"/>
  <c r="B15" i="16"/>
  <c r="B14" i="16"/>
  <c r="F14" i="16" s="1"/>
  <c r="F13" i="16"/>
  <c r="B13" i="16"/>
  <c r="B12" i="16"/>
  <c r="F12" i="16" s="1"/>
  <c r="F11" i="16"/>
  <c r="B11" i="16"/>
  <c r="F10" i="16"/>
  <c r="B10" i="16"/>
  <c r="F9" i="16"/>
  <c r="B9" i="16"/>
  <c r="F8" i="16"/>
  <c r="B8" i="16"/>
  <c r="F7" i="16"/>
  <c r="B7" i="16"/>
  <c r="F6" i="16"/>
  <c r="B6" i="16"/>
  <c r="F5" i="16"/>
  <c r="B5" i="16"/>
  <c r="F4" i="16"/>
  <c r="B4" i="16"/>
  <c r="F3" i="16"/>
  <c r="B3" i="16"/>
  <c r="F2" i="16"/>
  <c r="B2" i="16"/>
  <c r="F40" i="12"/>
  <c r="F40" i="11"/>
  <c r="F41" i="12"/>
  <c r="F42" i="12"/>
  <c r="F43" i="12"/>
  <c r="F44" i="12"/>
  <c r="F45" i="12"/>
  <c r="F46" i="12"/>
  <c r="F40" i="10"/>
  <c r="F39" i="10"/>
  <c r="F49" i="10"/>
  <c r="F57" i="10" s="1"/>
  <c r="F49" i="12"/>
  <c r="F57" i="12" s="1"/>
  <c r="F41" i="10"/>
  <c r="F42" i="10" s="1"/>
  <c r="C6" i="14"/>
  <c r="C5" i="14"/>
  <c r="F38" i="12" s="1"/>
  <c r="C4" i="14"/>
  <c r="F37" i="12" s="1"/>
  <c r="C3" i="14"/>
  <c r="F36" i="12" s="1"/>
  <c r="C2" i="14"/>
  <c r="F35" i="10" s="1"/>
  <c r="F52" i="11"/>
  <c r="F60" i="11" s="1"/>
  <c r="F51" i="11"/>
  <c r="F59" i="11" s="1"/>
  <c r="F50" i="11"/>
  <c r="F58" i="11" s="1"/>
  <c r="F49" i="11"/>
  <c r="F57" i="11" s="1"/>
  <c r="F39" i="11"/>
  <c r="F52" i="12"/>
  <c r="F56" i="12" s="1"/>
  <c r="F51" i="12"/>
  <c r="F55" i="12" s="1"/>
  <c r="F50" i="12"/>
  <c r="F58" i="12" s="1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A34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2" i="15"/>
  <c r="F50" i="10"/>
  <c r="F58" i="10" s="1"/>
  <c r="F51" i="10"/>
  <c r="F59" i="10" s="1"/>
  <c r="F52" i="10"/>
  <c r="F60" i="10" s="1"/>
  <c r="C8" i="14"/>
  <c r="F42" i="11" s="1"/>
  <c r="C9" i="14"/>
  <c r="F44" i="11" s="1"/>
  <c r="F46" i="11" s="1"/>
  <c r="F38" i="10"/>
  <c r="C37" i="13"/>
  <c r="B31" i="10"/>
  <c r="B27" i="10"/>
  <c r="B28" i="10"/>
  <c r="B29" i="10"/>
  <c r="B30" i="10"/>
  <c r="B24" i="10"/>
  <c r="B25" i="10"/>
  <c r="B26" i="10"/>
  <c r="B19" i="10"/>
  <c r="B20" i="10"/>
  <c r="B21" i="10"/>
  <c r="B22" i="10"/>
  <c r="B23" i="10"/>
  <c r="B12" i="10"/>
  <c r="F12" i="10" s="1"/>
  <c r="B13" i="10"/>
  <c r="B14" i="10"/>
  <c r="B15" i="10"/>
  <c r="B16" i="10"/>
  <c r="B17" i="10"/>
  <c r="B18" i="10"/>
  <c r="B10" i="10"/>
  <c r="B11" i="10"/>
  <c r="B9" i="10"/>
  <c r="B3" i="10"/>
  <c r="B4" i="10"/>
  <c r="B5" i="10"/>
  <c r="B6" i="10"/>
  <c r="B7" i="10"/>
  <c r="B8" i="10"/>
  <c r="B2" i="10"/>
  <c r="F53" i="16" l="1"/>
  <c r="F54" i="16"/>
  <c r="F55" i="16"/>
  <c r="F56" i="16"/>
  <c r="F45" i="16"/>
  <c r="F47" i="16" s="1"/>
  <c r="F46" i="16"/>
  <c r="F48" i="16" s="1"/>
  <c r="F37" i="10"/>
  <c r="F41" i="11"/>
  <c r="F43" i="11"/>
  <c r="F45" i="11" s="1"/>
  <c r="F47" i="11" s="1"/>
  <c r="F38" i="11"/>
  <c r="F43" i="10"/>
  <c r="F44" i="10" s="1"/>
  <c r="F46" i="10" s="1"/>
  <c r="F48" i="11"/>
  <c r="F53" i="12"/>
  <c r="F54" i="12"/>
  <c r="F47" i="12"/>
  <c r="F60" i="12"/>
  <c r="F48" i="12"/>
  <c r="F45" i="10"/>
  <c r="F59" i="12"/>
  <c r="F56" i="11"/>
  <c r="F55" i="11"/>
  <c r="F54" i="11"/>
  <c r="F53" i="11"/>
  <c r="F56" i="10"/>
  <c r="F55" i="10"/>
  <c r="F54" i="10"/>
  <c r="F53" i="10"/>
  <c r="F37" i="11"/>
  <c r="F36" i="10"/>
  <c r="F36" i="11"/>
  <c r="F17" i="10"/>
  <c r="F12" i="12"/>
  <c r="F13" i="12"/>
  <c r="F18" i="11"/>
  <c r="F15" i="10"/>
  <c r="F14" i="12"/>
  <c r="F18" i="10"/>
  <c r="F16" i="10"/>
  <c r="F14" i="10"/>
  <c r="F15" i="12"/>
  <c r="F13" i="10"/>
  <c r="F16" i="12"/>
  <c r="F17" i="12"/>
  <c r="F12" i="11"/>
  <c r="F18" i="12"/>
  <c r="F13" i="11"/>
  <c r="F14" i="11"/>
  <c r="F15" i="11"/>
  <c r="F16" i="11"/>
  <c r="F17" i="11"/>
  <c r="F31" i="12"/>
  <c r="F31" i="11"/>
  <c r="F31" i="10"/>
  <c r="F27" i="12"/>
  <c r="F27" i="11"/>
  <c r="F27" i="10"/>
  <c r="F28" i="11"/>
  <c r="F28" i="10"/>
  <c r="F28" i="12"/>
  <c r="F29" i="12"/>
  <c r="F29" i="11"/>
  <c r="F29" i="10"/>
  <c r="F30" i="11"/>
  <c r="F30" i="12"/>
  <c r="F30" i="10"/>
  <c r="F24" i="11"/>
  <c r="F24" i="12"/>
  <c r="F24" i="10"/>
  <c r="F25" i="11"/>
  <c r="F25" i="10"/>
  <c r="F25" i="12"/>
  <c r="F26" i="11"/>
  <c r="F26" i="12"/>
  <c r="F26" i="10"/>
  <c r="F19" i="11"/>
  <c r="F19" i="12"/>
  <c r="F19" i="10"/>
  <c r="F20" i="11"/>
  <c r="F20" i="12"/>
  <c r="F20" i="10"/>
  <c r="F21" i="12"/>
  <c r="F21" i="10"/>
  <c r="F21" i="11"/>
  <c r="F22" i="11"/>
  <c r="F22" i="12"/>
  <c r="F22" i="10"/>
  <c r="F23" i="10"/>
  <c r="F23" i="12"/>
  <c r="F23" i="11"/>
  <c r="F10" i="12"/>
  <c r="F10" i="10"/>
  <c r="F10" i="11"/>
  <c r="F11" i="11"/>
  <c r="F11" i="10"/>
  <c r="F11" i="12"/>
  <c r="F9" i="11"/>
  <c r="F9" i="12"/>
  <c r="F9" i="10"/>
  <c r="F3" i="12"/>
  <c r="F3" i="11"/>
  <c r="F3" i="10"/>
  <c r="F4" i="12"/>
  <c r="F4" i="11"/>
  <c r="F4" i="10"/>
  <c r="F5" i="11"/>
  <c r="F5" i="12"/>
  <c r="F5" i="10"/>
  <c r="F6" i="11"/>
  <c r="F6" i="12"/>
  <c r="F6" i="10"/>
  <c r="F7" i="12"/>
  <c r="F7" i="11"/>
  <c r="F7" i="10"/>
  <c r="F8" i="10"/>
  <c r="F8" i="11"/>
  <c r="F8" i="12"/>
  <c r="F2" i="11"/>
  <c r="F2" i="12"/>
  <c r="F2" i="10"/>
  <c r="F39" i="12"/>
  <c r="F35" i="12"/>
  <c r="F35" i="11"/>
  <c r="F48" i="10" l="1"/>
  <c r="F47" i="10"/>
</calcChain>
</file>

<file path=xl/sharedStrings.xml><?xml version="1.0" encoding="utf-8"?>
<sst xmlns="http://schemas.openxmlformats.org/spreadsheetml/2006/main" count="1091" uniqueCount="149">
  <si>
    <t>Tabsheet</t>
  </si>
  <si>
    <t>Content</t>
  </si>
  <si>
    <t>References</t>
  </si>
  <si>
    <t>Key references to data set up in "Settings_2050"</t>
  </si>
  <si>
    <t>#</t>
  </si>
  <si>
    <t>Citation</t>
  </si>
  <si>
    <t>Last update</t>
  </si>
  <si>
    <t>ELECTRICITY_EHV</t>
  </si>
  <si>
    <t>INDUSTRY</t>
  </si>
  <si>
    <t>ELECTRICITY_EHV_EXPORT</t>
  </si>
  <si>
    <t>EXPORT</t>
  </si>
  <si>
    <t>ELECTRICITY_HV</t>
  </si>
  <si>
    <t>ELECTRICITY_LV</t>
  </si>
  <si>
    <t>HOUSEHOLDS</t>
  </si>
  <si>
    <t>SERVICES</t>
  </si>
  <si>
    <t>ELECTRICITY_MV</t>
  </si>
  <si>
    <t>AGRICULTURE</t>
  </si>
  <si>
    <t>HEAT_HIGH_T</t>
  </si>
  <si>
    <t>HEAT_LOW_T_HW</t>
  </si>
  <si>
    <t>HEAT_LOW_T_SC</t>
  </si>
  <si>
    <t>HEAT_LOW_T_SH</t>
  </si>
  <si>
    <t>LIGHTING</t>
  </si>
  <si>
    <t>MOBILITY_FREIGHT_ELD</t>
  </si>
  <si>
    <t>TRANSPORTATION</t>
  </si>
  <si>
    <t>MOBILITY_FREIGHT_LD</t>
  </si>
  <si>
    <t>MOBILITY_FREIGHT_MD</t>
  </si>
  <si>
    <t>MOBILITY_FREIGHT_SD</t>
  </si>
  <si>
    <t>MOBILITY_PASSENGER_LD</t>
  </si>
  <si>
    <t>MOBILITY_PASSENGER_MD</t>
  </si>
  <si>
    <t>MOBILITY_PASSENGER_SD</t>
  </si>
  <si>
    <t>end_uses_demand_year</t>
  </si>
  <si>
    <t>Unit</t>
  </si>
  <si>
    <t>GWh</t>
  </si>
  <si>
    <t>Mpkm</t>
  </si>
  <si>
    <t>Mtkm</t>
  </si>
  <si>
    <t>Parameter</t>
  </si>
  <si>
    <t>index0</t>
  </si>
  <si>
    <t>index1</t>
  </si>
  <si>
    <t>Value</t>
  </si>
  <si>
    <t>Variable</t>
  </si>
  <si>
    <t>Comment</t>
  </si>
  <si>
    <t>V3</t>
  </si>
  <si>
    <t>Unité</t>
  </si>
  <si>
    <t>Quebec_brut</t>
  </si>
  <si>
    <t>Acceleration_verte</t>
  </si>
  <si>
    <t>Quebec_sobre</t>
  </si>
  <si>
    <t>INDUSTRY_DEMAND</t>
  </si>
  <si>
    <t>% vs 2023</t>
  </si>
  <si>
    <t>HOUSEHOLDS_DEMAND</t>
  </si>
  <si>
    <t>Eau chaude</t>
  </si>
  <si>
    <t>Électricité</t>
  </si>
  <si>
    <t>Chauffage</t>
  </si>
  <si>
    <t>SERVICES_DEMAND</t>
  </si>
  <si>
    <t>AGRICULTURE_DEMAND</t>
  </si>
  <si>
    <t>MOBILITY_PASSENGER</t>
  </si>
  <si>
    <t>court</t>
  </si>
  <si>
    <t>moyen</t>
  </si>
  <si>
    <t>long </t>
  </si>
  <si>
    <t>pour transport court et moyen</t>
  </si>
  <si>
    <t>CAR_SHARE_PASSENGER</t>
  </si>
  <si>
    <t>EV_SHARE</t>
  </si>
  <si>
    <t>PT_ACTIVE_SHARE</t>
  </si>
  <si>
    <t>MOBILITY_FREIGHT</t>
  </si>
  <si>
    <t>RAIL_SHARE_FREIGHT</t>
  </si>
  <si>
    <t>EXPORT_ENERGY</t>
  </si>
  <si>
    <t>CCS_DEMAND</t>
  </si>
  <si>
    <t>FOSSIL FUEL IMPORTS</t>
  </si>
  <si>
    <t>Gaz</t>
  </si>
  <si>
    <t>Diésel</t>
  </si>
  <si>
    <t>Essence</t>
  </si>
  <si>
    <t>Mazout</t>
  </si>
  <si>
    <t>Carburant avion</t>
  </si>
  <si>
    <t>bateau, aucune idée</t>
  </si>
  <si>
    <t>on laisse le modèle calculer?</t>
  </si>
  <si>
    <t>index0_index1</t>
  </si>
  <si>
    <t>HEAT_LOW_T_HW_HOUSEHOLDS</t>
  </si>
  <si>
    <t>ELECTRICITY_LV_HOUSEHOLDS</t>
  </si>
  <si>
    <t>HEAT_LOW_T_SH_HOUSEHOLDS</t>
  </si>
  <si>
    <t>CARBON_CAPTURE</t>
  </si>
  <si>
    <t>CCS Demand BAU PGIRE</t>
  </si>
  <si>
    <t>15.9 million tonnes CO2 par an, fonctionnement 24/24 every day</t>
  </si>
  <si>
    <t>VUS_SHARE</t>
  </si>
  <si>
    <t>Provide value of parameters in EnergyScope model to simulate "Brut" Front Commun scenario (v Éric 1er mai 2026)</t>
  </si>
  <si>
    <t>Provide value of parameters in EnergyScope model to simulate "Sobre" Front Commun scenario (v Éric 1er mai 2026)</t>
  </si>
  <si>
    <t>Provide value of parameters in EnergyScope model to simulate "Accélération Verte" Front Commun scenario (v Éric 1er mai 2026)</t>
  </si>
  <si>
    <t>Brut</t>
  </si>
  <si>
    <t>Sobre</t>
  </si>
  <si>
    <t>Acc_Verte</t>
  </si>
  <si>
    <t>out_max</t>
  </si>
  <si>
    <t>avail</t>
  </si>
  <si>
    <t>VOITURE_ESSENCE</t>
  </si>
  <si>
    <t>VUS_ESSENCE</t>
  </si>
  <si>
    <t>VUS_EV</t>
  </si>
  <si>
    <t>VOITURE_EV</t>
  </si>
  <si>
    <t>% in 2050</t>
  </si>
  <si>
    <t>véhicule hybride?</t>
  </si>
  <si>
    <t>fmin_perc_mob</t>
  </si>
  <si>
    <t>NG_EHP</t>
  </si>
  <si>
    <t>DIESEL</t>
  </si>
  <si>
    <t>GASOLINE</t>
  </si>
  <si>
    <t>LFO</t>
  </si>
  <si>
    <t>JETFUEL</t>
  </si>
  <si>
    <t>imports de gaz naturel</t>
  </si>
  <si>
    <t>import de diesel</t>
  </si>
  <si>
    <t>import d'essence</t>
  </si>
  <si>
    <t>import de mazout</t>
  </si>
  <si>
    <t>import de carburant d'aviation</t>
  </si>
  <si>
    <t>share_mobility_public_min_sd</t>
  </si>
  <si>
    <t>share_mobility_public_max_sd</t>
  </si>
  <si>
    <t>Value_2023</t>
  </si>
  <si>
    <t>Final demand vector Québec in 2023</t>
  </si>
  <si>
    <t>-</t>
  </si>
  <si>
    <t>Annual_Res</t>
  </si>
  <si>
    <t>Variable or parameter</t>
  </si>
  <si>
    <t>ktCO2</t>
  </si>
  <si>
    <t>share_freight_rail_min/max_ld</t>
  </si>
  <si>
    <t>share_freight_rail_min/max_eld</t>
  </si>
  <si>
    <t>SUV_EV_SD</t>
  </si>
  <si>
    <t>SUV_GASOLINE_SD</t>
  </si>
  <si>
    <t>CAR_EV_SD</t>
  </si>
  <si>
    <t>CAR_GASOLINE_SD</t>
  </si>
  <si>
    <t>SUV_EV_MD</t>
  </si>
  <si>
    <t>SUV_GASOLINE_MD</t>
  </si>
  <si>
    <t>CAR_EV_MD</t>
  </si>
  <si>
    <t>CAR_GASOLINE_MD</t>
  </si>
  <si>
    <t>SUV_EV_LD</t>
  </si>
  <si>
    <t>SUV_GASOLINE_LD</t>
  </si>
  <si>
    <t>CAR_EV_LD</t>
  </si>
  <si>
    <t>CAR_GASOLINE_LD</t>
  </si>
  <si>
    <t>share_freight_rail_min_ld</t>
  </si>
  <si>
    <t>share_freight_rail_max_ld</t>
  </si>
  <si>
    <t>share_freight_rail_min_eld</t>
  </si>
  <si>
    <t>share_freight_rail_max_eld</t>
  </si>
  <si>
    <t>share_freight_maritime_min_eld</t>
  </si>
  <si>
    <t>share_freight_maritime_max_eld</t>
  </si>
  <si>
    <t>share_freight_maritime_min/max_eld</t>
  </si>
  <si>
    <t>share_freight_air_min/max_eld</t>
  </si>
  <si>
    <t>share_freight_air_min_eld</t>
  </si>
  <si>
    <t>share_freight_air_max_eld</t>
  </si>
  <si>
    <t>DAC_LT</t>
  </si>
  <si>
    <t>DAC_HT</t>
  </si>
  <si>
    <t>Charbon</t>
  </si>
  <si>
    <t>COAL</t>
  </si>
  <si>
    <t>Sobre_Lim_Cap</t>
  </si>
  <si>
    <t>Authors</t>
  </si>
  <si>
    <t>Titouan Greffe and Matthieu Souttre</t>
  </si>
  <si>
    <t xml:space="preserve">Provide value of parameters in EnergyScope model to simulate "Sobre" Front Commun scenario (v Éric 1er mai 2026) with a limiting constraint on post-combustion carbon capture set to 2 Mt CO2/year. </t>
  </si>
  <si>
    <t>Données supplémentaires</t>
  </si>
  <si>
    <t>share_mobility_public_min/max_sd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</si>
</sst>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D1C1D"/>
      <name val="Aptos Narrow"/>
      <family val="2"/>
      <scheme val="minor"/>
    </font>
    <font>
      <u val="double"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11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/>
    <xf numFmtId="9" fontId="3" fillId="2" borderId="2" xfId="0" applyNumberFormat="1" applyFont="1" applyFill="1" applyBorder="1" applyAlignment="1">
      <alignment horizontal="right"/>
    </xf>
    <xf numFmtId="9" fontId="3" fillId="2" borderId="3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9" fontId="3" fillId="2" borderId="0" xfId="0" applyNumberFormat="1" applyFont="1" applyFill="1"/>
    <xf numFmtId="9" fontId="3" fillId="2" borderId="0" xfId="0" applyNumberFormat="1" applyFont="1" applyFill="1" applyAlignment="1">
      <alignment horizontal="right"/>
    </xf>
    <xf numFmtId="9" fontId="3" fillId="2" borderId="5" xfId="0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/>
    <xf numFmtId="9" fontId="3" fillId="2" borderId="7" xfId="0" applyNumberFormat="1" applyFont="1" applyFill="1" applyBorder="1"/>
    <xf numFmtId="9" fontId="3" fillId="2" borderId="7" xfId="0" applyNumberFormat="1" applyFont="1" applyFill="1" applyBorder="1" applyAlignment="1">
      <alignment horizontal="right"/>
    </xf>
    <xf numFmtId="9" fontId="3" fillId="2" borderId="8" xfId="0" applyNumberFormat="1" applyFont="1" applyFill="1" applyBorder="1" applyAlignment="1">
      <alignment horizontal="right"/>
    </xf>
    <xf numFmtId="0" fontId="5" fillId="2" borderId="0" xfId="0" applyFont="1" applyFill="1"/>
    <xf numFmtId="0" fontId="5" fillId="0" borderId="0" xfId="0" applyFont="1"/>
    <xf numFmtId="0" fontId="6" fillId="2" borderId="0" xfId="0" applyFont="1" applyFill="1"/>
    <xf numFmtId="11" fontId="5" fillId="2" borderId="0" xfId="0" applyNumberFormat="1" applyFont="1" applyFill="1"/>
    <xf numFmtId="0" fontId="7" fillId="2" borderId="0" xfId="0" applyFont="1" applyFill="1" applyAlignment="1">
      <alignment horizontal="right"/>
    </xf>
    <xf numFmtId="0" fontId="3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19AB-A874-447D-B60F-F1A18BEA9764}">
  <dimension ref="A1:B19"/>
  <sheetViews>
    <sheetView workbookViewId="0">
      <selection activeCell="A7" sqref="A7"/>
    </sheetView>
  </sheetViews>
  <sheetFormatPr defaultColWidth="10.90625" defaultRowHeight="14.5" x14ac:dyDescent="0.35"/>
  <cols>
    <col min="1" max="2" width="17.26953125" customWidth="1"/>
  </cols>
  <sheetData>
    <row r="1" spans="1:2" x14ac:dyDescent="0.35">
      <c r="A1" s="2" t="s">
        <v>144</v>
      </c>
      <c r="B1" t="s">
        <v>145</v>
      </c>
    </row>
    <row r="2" spans="1:2" x14ac:dyDescent="0.35">
      <c r="A2" s="2" t="s">
        <v>6</v>
      </c>
      <c r="B2" s="3">
        <v>46176</v>
      </c>
    </row>
    <row r="6" spans="1:2" x14ac:dyDescent="0.35">
      <c r="A6" s="2" t="s">
        <v>0</v>
      </c>
      <c r="B6" s="2" t="s">
        <v>1</v>
      </c>
    </row>
    <row r="7" spans="1:2" x14ac:dyDescent="0.35">
      <c r="A7" t="s">
        <v>85</v>
      </c>
      <c r="B7" t="s">
        <v>82</v>
      </c>
    </row>
    <row r="8" spans="1:2" x14ac:dyDescent="0.35">
      <c r="A8" t="s">
        <v>87</v>
      </c>
      <c r="B8" t="s">
        <v>84</v>
      </c>
    </row>
    <row r="9" spans="1:2" x14ac:dyDescent="0.35">
      <c r="A9" t="s">
        <v>86</v>
      </c>
      <c r="B9" t="s">
        <v>83</v>
      </c>
    </row>
    <row r="10" spans="1:2" x14ac:dyDescent="0.35">
      <c r="A10" t="s">
        <v>143</v>
      </c>
      <c r="B10" t="s">
        <v>146</v>
      </c>
    </row>
    <row r="11" spans="1:2" x14ac:dyDescent="0.35">
      <c r="A11" t="s">
        <v>109</v>
      </c>
      <c r="B11" t="s">
        <v>110</v>
      </c>
    </row>
    <row r="12" spans="1:2" x14ac:dyDescent="0.35">
      <c r="A12" t="s">
        <v>2</v>
      </c>
      <c r="B12" t="s">
        <v>3</v>
      </c>
    </row>
    <row r="19" spans="1:1" x14ac:dyDescent="0.35">
      <c r="A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31CC-EAE8-44BC-8DFE-B38BBEA65EB6}">
  <dimension ref="A1:J62"/>
  <sheetViews>
    <sheetView topLeftCell="A49" zoomScale="89" workbookViewId="0">
      <selection activeCell="F62" sqref="F62"/>
    </sheetView>
  </sheetViews>
  <sheetFormatPr defaultColWidth="10.90625" defaultRowHeight="14.5" x14ac:dyDescent="0.35"/>
  <cols>
    <col min="1" max="1" width="27.90625" style="7" bestFit="1" customWidth="1"/>
    <col min="2" max="2" width="39.26953125" style="7" bestFit="1" customWidth="1"/>
    <col min="3" max="3" width="23.26953125" style="7" bestFit="1" customWidth="1"/>
    <col min="4" max="4" width="16.08984375" style="7" bestFit="1" customWidth="1"/>
    <col min="5" max="5" width="9" style="7" bestFit="1" customWidth="1"/>
    <col min="6" max="6" width="11.7265625" style="7" bestFit="1" customWidth="1"/>
    <col min="7" max="7" width="27.54296875" style="7" bestFit="1" customWidth="1"/>
    <col min="8" max="10" width="10.90625" style="7"/>
  </cols>
  <sheetData>
    <row r="1" spans="1:10" s="2" customFormat="1" x14ac:dyDescent="0.35">
      <c r="A1" s="8" t="s">
        <v>35</v>
      </c>
      <c r="B1" s="8" t="s">
        <v>74</v>
      </c>
      <c r="C1" s="8" t="s">
        <v>36</v>
      </c>
      <c r="D1" s="8" t="s">
        <v>37</v>
      </c>
      <c r="E1" s="8" t="s">
        <v>31</v>
      </c>
      <c r="F1" s="8" t="s">
        <v>38</v>
      </c>
      <c r="G1" s="8" t="s">
        <v>40</v>
      </c>
      <c r="H1" s="8"/>
      <c r="I1" s="8"/>
      <c r="J1" s="8"/>
    </row>
    <row r="2" spans="1:10" x14ac:dyDescent="0.35">
      <c r="A2" t="s">
        <v>30</v>
      </c>
      <c r="B2" t="str">
        <f>_xlfn.CONCAT(C2,"_",D2)</f>
        <v>ELECTRICITY_EHV_INDUSTRY</v>
      </c>
      <c r="C2" t="s">
        <v>7</v>
      </c>
      <c r="D2" t="s">
        <v>8</v>
      </c>
      <c r="E2" t="s">
        <v>32</v>
      </c>
      <c r="F2">
        <f>v3_Éric!$C$3/100*VLOOKUP(Brut!B2,Value_2023!A:D,4,FALSE)</f>
        <v>13470.410999999998</v>
      </c>
      <c r="G2"/>
    </row>
    <row r="3" spans="1:10" x14ac:dyDescent="0.35">
      <c r="A3" t="s">
        <v>30</v>
      </c>
      <c r="B3" t="str">
        <f t="shared" ref="B3:B9" si="0">_xlfn.CONCAT(C3,"_",D3)</f>
        <v>ELECTRICITY_HV_INDUSTRY</v>
      </c>
      <c r="C3" t="s">
        <v>11</v>
      </c>
      <c r="D3" t="s">
        <v>8</v>
      </c>
      <c r="E3" t="s">
        <v>32</v>
      </c>
      <c r="F3">
        <f>v3_Éric!$C$3/100*VLOOKUP(Brut!B3,Value_2023!A:D,4,FALSE)</f>
        <v>138692.818</v>
      </c>
      <c r="G3"/>
    </row>
    <row r="4" spans="1:10" x14ac:dyDescent="0.35">
      <c r="A4" t="s">
        <v>30</v>
      </c>
      <c r="B4" t="str">
        <f t="shared" si="0"/>
        <v>ELECTRICITY_MV_INDUSTRY</v>
      </c>
      <c r="C4" t="s">
        <v>15</v>
      </c>
      <c r="D4" t="s">
        <v>8</v>
      </c>
      <c r="E4" t="s">
        <v>32</v>
      </c>
      <c r="F4">
        <f>v3_Éric!$C$3/100*VLOOKUP(Brut!B4,Value_2023!A:D,4,FALSE)</f>
        <v>21946.956999999999</v>
      </c>
      <c r="G4"/>
    </row>
    <row r="5" spans="1:10" x14ac:dyDescent="0.35">
      <c r="A5" t="s">
        <v>30</v>
      </c>
      <c r="B5" t="str">
        <f t="shared" si="0"/>
        <v>HEAT_HIGH_T_INDUSTRY</v>
      </c>
      <c r="C5" t="s">
        <v>17</v>
      </c>
      <c r="D5" t="s">
        <v>8</v>
      </c>
      <c r="E5" t="s">
        <v>32</v>
      </c>
      <c r="F5">
        <f>v3_Éric!$C$3/100*VLOOKUP(Brut!B5,Value_2023!A:D,4,FALSE)</f>
        <v>141396.89799999999</v>
      </c>
      <c r="G5"/>
    </row>
    <row r="6" spans="1:10" x14ac:dyDescent="0.35">
      <c r="A6" t="s">
        <v>30</v>
      </c>
      <c r="B6" t="str">
        <f t="shared" si="0"/>
        <v>HEAT_LOW_T_HW_INDUSTRY</v>
      </c>
      <c r="C6" t="s">
        <v>18</v>
      </c>
      <c r="D6" t="s">
        <v>8</v>
      </c>
      <c r="E6" t="s">
        <v>32</v>
      </c>
      <c r="F6">
        <f>v3_Éric!$C$3/100*VLOOKUP(Brut!B6,Value_2023!A:D,4,FALSE)</f>
        <v>1176.9360000000001</v>
      </c>
      <c r="G6"/>
    </row>
    <row r="7" spans="1:10" x14ac:dyDescent="0.35">
      <c r="A7" t="s">
        <v>30</v>
      </c>
      <c r="B7" t="str">
        <f t="shared" si="0"/>
        <v>HEAT_LOW_T_SH_INDUSTRY</v>
      </c>
      <c r="C7" t="s">
        <v>20</v>
      </c>
      <c r="D7" t="s">
        <v>8</v>
      </c>
      <c r="E7" t="s">
        <v>32</v>
      </c>
      <c r="F7">
        <f>v3_Éric!$C$3/100*VLOOKUP(Brut!B7,Value_2023!A:D,4,FALSE)</f>
        <v>6154.3279999999995</v>
      </c>
      <c r="G7"/>
    </row>
    <row r="8" spans="1:10" x14ac:dyDescent="0.35">
      <c r="A8" t="s">
        <v>30</v>
      </c>
      <c r="B8" t="str">
        <f t="shared" si="0"/>
        <v>LIGHTING_INDUSTRY</v>
      </c>
      <c r="C8" t="s">
        <v>21</v>
      </c>
      <c r="D8" t="s">
        <v>8</v>
      </c>
      <c r="E8" t="s">
        <v>32</v>
      </c>
      <c r="F8">
        <f>v3_Éric!$C$3/100*VLOOKUP(Brut!B8,Value_2023!A:D,4,FALSE)</f>
        <v>11113.422999999999</v>
      </c>
      <c r="G8"/>
    </row>
    <row r="9" spans="1:10" x14ac:dyDescent="0.35">
      <c r="A9" t="s">
        <v>30</v>
      </c>
      <c r="B9" t="str">
        <f t="shared" si="0"/>
        <v>HEAT_LOW_T_HW_HOUSEHOLDS</v>
      </c>
      <c r="C9" t="s">
        <v>18</v>
      </c>
      <c r="D9" t="s">
        <v>13</v>
      </c>
      <c r="E9" t="s">
        <v>32</v>
      </c>
      <c r="F9">
        <f>v3_Éric!$C$5/100*VLOOKUP(Brut!B9,Value_2023!A:D,4,FALSE)</f>
        <v>13315.92</v>
      </c>
      <c r="G9"/>
    </row>
    <row r="10" spans="1:10" x14ac:dyDescent="0.35">
      <c r="A10" t="s">
        <v>30</v>
      </c>
      <c r="B10" t="str">
        <f t="shared" ref="B10:B11" si="1">_xlfn.CONCAT(C10,"_",D10)</f>
        <v>ELECTRICITY_LV_HOUSEHOLDS</v>
      </c>
      <c r="C10" t="s">
        <v>12</v>
      </c>
      <c r="D10" t="s">
        <v>13</v>
      </c>
      <c r="E10" t="s">
        <v>32</v>
      </c>
      <c r="F10">
        <f>v3_Éric!$C$6/100*VLOOKUP(Brut!B10,Value_2023!A:D,4,FALSE)</f>
        <v>23542.083999999999</v>
      </c>
      <c r="G10"/>
    </row>
    <row r="11" spans="1:10" x14ac:dyDescent="0.35">
      <c r="A11" t="s">
        <v>30</v>
      </c>
      <c r="B11" t="str">
        <f t="shared" si="1"/>
        <v>HEAT_LOW_T_SH_HOUSEHOLDS</v>
      </c>
      <c r="C11" t="s">
        <v>20</v>
      </c>
      <c r="D11" t="s">
        <v>13</v>
      </c>
      <c r="E11" t="s">
        <v>32</v>
      </c>
      <c r="F11">
        <f>v3_Éric!$C$7/100*VLOOKUP(Brut!B11,Value_2023!A:D,4,FALSE)</f>
        <v>67815.649999999994</v>
      </c>
      <c r="G11"/>
    </row>
    <row r="12" spans="1:10" x14ac:dyDescent="0.35">
      <c r="A12" t="s">
        <v>30</v>
      </c>
      <c r="B12" t="str">
        <f t="shared" ref="B12:B23" si="2">_xlfn.CONCAT(C12,"_",D12)</f>
        <v>ELECTRICITY_LV_SERVICES</v>
      </c>
      <c r="C12" t="s">
        <v>12</v>
      </c>
      <c r="D12" t="s">
        <v>14</v>
      </c>
      <c r="E12" t="s">
        <v>32</v>
      </c>
      <c r="F12">
        <f>v3_Éric!$C$8/100*VLOOKUP(B12,Value_2023!A:D,4,FALSE)</f>
        <v>13480.548000000001</v>
      </c>
      <c r="G12"/>
    </row>
    <row r="13" spans="1:10" x14ac:dyDescent="0.35">
      <c r="A13" t="s">
        <v>30</v>
      </c>
      <c r="B13" t="str">
        <f t="shared" si="2"/>
        <v>ELECTRICITY_MV_SERVICES</v>
      </c>
      <c r="C13" t="s">
        <v>15</v>
      </c>
      <c r="D13" t="s">
        <v>14</v>
      </c>
      <c r="E13" t="s">
        <v>32</v>
      </c>
      <c r="F13">
        <f>v3_Éric!$C$8/100*VLOOKUP(B13,Value_2023!A:D,4,FALSE)</f>
        <v>4228.0679999999993</v>
      </c>
      <c r="G13"/>
    </row>
    <row r="14" spans="1:10" x14ac:dyDescent="0.35">
      <c r="A14" t="s">
        <v>30</v>
      </c>
      <c r="B14" t="str">
        <f t="shared" si="2"/>
        <v>HEAT_HIGH_T_SERVICES</v>
      </c>
      <c r="C14" t="s">
        <v>17</v>
      </c>
      <c r="D14" t="s">
        <v>14</v>
      </c>
      <c r="E14" t="s">
        <v>32</v>
      </c>
      <c r="F14">
        <f>v3_Éric!$C$8/100*VLOOKUP(B14,Value_2023!A:D,4,FALSE)</f>
        <v>1279.116</v>
      </c>
      <c r="G14"/>
    </row>
    <row r="15" spans="1:10" x14ac:dyDescent="0.35">
      <c r="A15" t="s">
        <v>30</v>
      </c>
      <c r="B15" t="str">
        <f t="shared" si="2"/>
        <v>HEAT_LOW_T_HW_SERVICES</v>
      </c>
      <c r="C15" t="s">
        <v>18</v>
      </c>
      <c r="D15" t="s">
        <v>14</v>
      </c>
      <c r="E15" t="s">
        <v>32</v>
      </c>
      <c r="F15">
        <f>v3_Éric!$C$8/100*VLOOKUP(B15,Value_2023!A:D,4,FALSE)</f>
        <v>3449.7</v>
      </c>
      <c r="G15"/>
    </row>
    <row r="16" spans="1:10" x14ac:dyDescent="0.35">
      <c r="A16" t="s">
        <v>30</v>
      </c>
      <c r="B16" t="str">
        <f t="shared" si="2"/>
        <v>HEAT_LOW_T_SC_SERVICES</v>
      </c>
      <c r="C16" t="s">
        <v>19</v>
      </c>
      <c r="D16" t="s">
        <v>14</v>
      </c>
      <c r="E16" t="s">
        <v>32</v>
      </c>
      <c r="F16">
        <f>v3_Éric!$C$8/100*VLOOKUP(B16,Value_2023!A:D,4,FALSE)</f>
        <v>3565.0320000000002</v>
      </c>
      <c r="G16"/>
    </row>
    <row r="17" spans="1:7" x14ac:dyDescent="0.35">
      <c r="A17" t="s">
        <v>30</v>
      </c>
      <c r="B17" t="str">
        <f t="shared" si="2"/>
        <v>HEAT_LOW_T_SH_SERVICES</v>
      </c>
      <c r="C17" t="s">
        <v>20</v>
      </c>
      <c r="D17" t="s">
        <v>14</v>
      </c>
      <c r="E17" t="s">
        <v>32</v>
      </c>
      <c r="F17">
        <f>v3_Éric!$C$8/100*VLOOKUP(B17,Value_2023!A:D,4,FALSE)</f>
        <v>24906.024000000001</v>
      </c>
      <c r="G17"/>
    </row>
    <row r="18" spans="1:7" x14ac:dyDescent="0.35">
      <c r="A18" t="s">
        <v>30</v>
      </c>
      <c r="B18" t="str">
        <f t="shared" si="2"/>
        <v>LIGHTING_SERVICES</v>
      </c>
      <c r="C18" t="s">
        <v>21</v>
      </c>
      <c r="D18" t="s">
        <v>14</v>
      </c>
      <c r="E18" t="s">
        <v>32</v>
      </c>
      <c r="F18">
        <f>v3_Éric!$C$8/100*VLOOKUP(B18,Value_2023!A:D,4,FALSE)</f>
        <v>14443.523999999999</v>
      </c>
      <c r="G18"/>
    </row>
    <row r="19" spans="1:7" x14ac:dyDescent="0.35">
      <c r="A19" t="s">
        <v>30</v>
      </c>
      <c r="B19" t="str">
        <f t="shared" si="2"/>
        <v>ELECTRICITY_MV_AGRICULTURE</v>
      </c>
      <c r="C19" t="s">
        <v>15</v>
      </c>
      <c r="D19" t="s">
        <v>16</v>
      </c>
      <c r="E19" t="s">
        <v>32</v>
      </c>
      <c r="F19">
        <f>v3_Éric!$C$9/100*VLOOKUP(Brut!B19,Value_2023!A:D,4,FALSE)</f>
        <v>1789.443</v>
      </c>
      <c r="G19"/>
    </row>
    <row r="20" spans="1:7" x14ac:dyDescent="0.35">
      <c r="A20" t="s">
        <v>30</v>
      </c>
      <c r="B20" t="str">
        <f t="shared" si="2"/>
        <v>HEAT_LOW_T_HW_AGRICULTURE</v>
      </c>
      <c r="C20" t="s">
        <v>18</v>
      </c>
      <c r="D20" t="s">
        <v>16</v>
      </c>
      <c r="E20" t="s">
        <v>32</v>
      </c>
      <c r="F20">
        <f>v3_Éric!$C$9/100*VLOOKUP(Brut!B20,Value_2023!A:D,4,FALSE)</f>
        <v>109.557</v>
      </c>
      <c r="G20"/>
    </row>
    <row r="21" spans="1:7" x14ac:dyDescent="0.35">
      <c r="A21" t="s">
        <v>30</v>
      </c>
      <c r="B21" t="str">
        <f t="shared" si="2"/>
        <v>HEAT_LOW_T_SH_AGRICULTURE</v>
      </c>
      <c r="C21" t="s">
        <v>20</v>
      </c>
      <c r="D21" t="s">
        <v>16</v>
      </c>
      <c r="E21" t="s">
        <v>32</v>
      </c>
      <c r="F21">
        <f>v3_Éric!$C$9/100*VLOOKUP(Brut!B21,Value_2023!A:D,4,FALSE)</f>
        <v>986.02199999999993</v>
      </c>
      <c r="G21"/>
    </row>
    <row r="22" spans="1:7" x14ac:dyDescent="0.35">
      <c r="A22" t="s">
        <v>30</v>
      </c>
      <c r="B22" t="str">
        <f t="shared" si="2"/>
        <v>LIGHTING_AGRICULTURE</v>
      </c>
      <c r="C22" t="s">
        <v>21</v>
      </c>
      <c r="D22" t="s">
        <v>16</v>
      </c>
      <c r="E22" t="s">
        <v>32</v>
      </c>
      <c r="F22">
        <f>v3_Éric!$C$9/100*VLOOKUP(Brut!B22,Value_2023!A:D,4,FALSE)</f>
        <v>74.556000000000012</v>
      </c>
      <c r="G22"/>
    </row>
    <row r="23" spans="1:7" x14ac:dyDescent="0.35">
      <c r="A23" t="s">
        <v>30</v>
      </c>
      <c r="B23" t="str">
        <f t="shared" si="2"/>
        <v>MOBILITY_FREIGHT_SD_AGRICULTURE</v>
      </c>
      <c r="C23" t="s">
        <v>26</v>
      </c>
      <c r="D23" t="s">
        <v>16</v>
      </c>
      <c r="E23" t="s">
        <v>32</v>
      </c>
      <c r="F23">
        <f>v3_Éric!$C$9/100*VLOOKUP(Brut!B23,Value_2023!A:D,4,FALSE)</f>
        <v>2912.49</v>
      </c>
      <c r="G23"/>
    </row>
    <row r="24" spans="1:7" x14ac:dyDescent="0.35">
      <c r="A24" t="s">
        <v>30</v>
      </c>
      <c r="B24" t="str">
        <f t="shared" ref="B24:B26" si="3">_xlfn.CONCAT(C24,"_",D24)</f>
        <v>MOBILITY_PASSENGER_LD_TRANSPORTATION</v>
      </c>
      <c r="C24" t="s">
        <v>27</v>
      </c>
      <c r="D24" t="s">
        <v>23</v>
      </c>
      <c r="E24" t="s">
        <v>33</v>
      </c>
      <c r="F24">
        <f>v3_Éric!C11/100*VLOOKUP(Brut!B24,Value_2023!A:D,4,FALSE)</f>
        <v>69022.382000000012</v>
      </c>
      <c r="G24"/>
    </row>
    <row r="25" spans="1:7" x14ac:dyDescent="0.35">
      <c r="A25" t="s">
        <v>30</v>
      </c>
      <c r="B25" t="str">
        <f t="shared" si="3"/>
        <v>MOBILITY_PASSENGER_MD_TRANSPORTATION</v>
      </c>
      <c r="C25" t="s">
        <v>28</v>
      </c>
      <c r="D25" t="s">
        <v>23</v>
      </c>
      <c r="E25" t="s">
        <v>33</v>
      </c>
      <c r="F25">
        <f>v3_Éric!C12/100*VLOOKUP(Brut!B25,Value_2023!A:D,4,FALSE)</f>
        <v>61584.292000000009</v>
      </c>
      <c r="G25"/>
    </row>
    <row r="26" spans="1:7" x14ac:dyDescent="0.35">
      <c r="A26" t="s">
        <v>30</v>
      </c>
      <c r="B26" t="str">
        <f t="shared" si="3"/>
        <v>MOBILITY_PASSENGER_SD_TRANSPORTATION</v>
      </c>
      <c r="C26" t="s">
        <v>29</v>
      </c>
      <c r="D26" t="s">
        <v>23</v>
      </c>
      <c r="E26" t="s">
        <v>33</v>
      </c>
      <c r="F26">
        <f>v3_Éric!C13/100*VLOOKUP(Brut!B26,Value_2023!A:D,4,FALSE)</f>
        <v>80339.362500000003</v>
      </c>
      <c r="G26"/>
    </row>
    <row r="27" spans="1:7" x14ac:dyDescent="0.35">
      <c r="A27" t="s">
        <v>30</v>
      </c>
      <c r="B27" t="str">
        <f t="shared" ref="B27:B31" si="4">_xlfn.CONCAT(C27,"_",D27)</f>
        <v>MOBILITY_FREIGHT_ELD_TRANSPORTATION</v>
      </c>
      <c r="C27" t="s">
        <v>22</v>
      </c>
      <c r="D27" t="s">
        <v>23</v>
      </c>
      <c r="E27" t="s">
        <v>34</v>
      </c>
      <c r="F27">
        <f>v3_Éric!$C$23/100*VLOOKUP(Brut!B27,Value_2023!A:D,4,FALSE)</f>
        <v>187327.40299999999</v>
      </c>
      <c r="G27"/>
    </row>
    <row r="28" spans="1:7" x14ac:dyDescent="0.35">
      <c r="A28" t="s">
        <v>30</v>
      </c>
      <c r="B28" t="str">
        <f t="shared" si="4"/>
        <v>MOBILITY_FREIGHT_LD_TRANSPORTATION</v>
      </c>
      <c r="C28" t="s">
        <v>24</v>
      </c>
      <c r="D28" t="s">
        <v>23</v>
      </c>
      <c r="E28" t="s">
        <v>34</v>
      </c>
      <c r="F28">
        <f>v3_Éric!$C$23/100*VLOOKUP(Brut!B28,Value_2023!A:D,4,FALSE)</f>
        <v>37056.311000000002</v>
      </c>
      <c r="G28"/>
    </row>
    <row r="29" spans="1:7" x14ac:dyDescent="0.35">
      <c r="A29" t="s">
        <v>30</v>
      </c>
      <c r="B29" t="str">
        <f t="shared" si="4"/>
        <v>MOBILITY_FREIGHT_MD_TRANSPORTATION</v>
      </c>
      <c r="C29" t="s">
        <v>25</v>
      </c>
      <c r="D29" t="s">
        <v>23</v>
      </c>
      <c r="E29" t="s">
        <v>34</v>
      </c>
      <c r="F29">
        <f>v3_Éric!$C$23/100*VLOOKUP(Brut!B29,Value_2023!A:D,4,FALSE)</f>
        <v>48234.508000000002</v>
      </c>
      <c r="G29"/>
    </row>
    <row r="30" spans="1:7" x14ac:dyDescent="0.35">
      <c r="A30" t="s">
        <v>30</v>
      </c>
      <c r="B30" t="str">
        <f t="shared" si="4"/>
        <v>MOBILITY_FREIGHT_SD_TRANSPORTATION</v>
      </c>
      <c r="C30" t="s">
        <v>26</v>
      </c>
      <c r="D30" t="s">
        <v>23</v>
      </c>
      <c r="E30" t="s">
        <v>34</v>
      </c>
      <c r="F30">
        <f>v3_Éric!$C$23/100*VLOOKUP(Brut!B30,Value_2023!A:D,4,FALSE)</f>
        <v>15231.523999999998</v>
      </c>
      <c r="G30"/>
    </row>
    <row r="31" spans="1:7" x14ac:dyDescent="0.35">
      <c r="A31" t="s">
        <v>30</v>
      </c>
      <c r="B31" t="str">
        <f t="shared" si="4"/>
        <v>ELECTRICITY_EHV_EXPORT_EXPORT</v>
      </c>
      <c r="C31" t="s">
        <v>9</v>
      </c>
      <c r="D31" t="s">
        <v>10</v>
      </c>
      <c r="E31" t="s">
        <v>32</v>
      </c>
      <c r="F31">
        <f>v3_Éric!$C$25/100*VLOOKUP(Brut!B31,Value_2023!A:D,4,FALSE)</f>
        <v>46222.8</v>
      </c>
      <c r="G31"/>
    </row>
    <row r="32" spans="1:7" x14ac:dyDescent="0.35">
      <c r="A32" t="s">
        <v>88</v>
      </c>
      <c r="B32"/>
      <c r="C32" t="s">
        <v>78</v>
      </c>
      <c r="D32"/>
      <c r="E32" t="s">
        <v>114</v>
      </c>
      <c r="F32" s="4">
        <v>1000000</v>
      </c>
      <c r="G32"/>
    </row>
    <row r="33" spans="1:7" x14ac:dyDescent="0.35">
      <c r="A33" t="s">
        <v>88</v>
      </c>
      <c r="B33"/>
      <c r="C33" t="s">
        <v>139</v>
      </c>
      <c r="D33"/>
      <c r="E33" t="s">
        <v>114</v>
      </c>
      <c r="F33">
        <v>2000</v>
      </c>
      <c r="G33"/>
    </row>
    <row r="34" spans="1:7" x14ac:dyDescent="0.35">
      <c r="A34" t="s">
        <v>88</v>
      </c>
      <c r="B34"/>
      <c r="C34" t="s">
        <v>140</v>
      </c>
      <c r="D34"/>
      <c r="E34" t="s">
        <v>114</v>
      </c>
      <c r="F34">
        <v>2000</v>
      </c>
      <c r="G34"/>
    </row>
    <row r="35" spans="1:7" x14ac:dyDescent="0.35">
      <c r="A35" t="s">
        <v>89</v>
      </c>
      <c r="B35"/>
      <c r="C35" t="s">
        <v>97</v>
      </c>
      <c r="D35"/>
      <c r="E35" t="s">
        <v>32</v>
      </c>
      <c r="F35">
        <f>v3_Éric!C28/100*'2023_r'!$C2</f>
        <v>30670</v>
      </c>
      <c r="G35" t="s">
        <v>102</v>
      </c>
    </row>
    <row r="36" spans="1:7" x14ac:dyDescent="0.35">
      <c r="A36" t="s">
        <v>89</v>
      </c>
      <c r="B36"/>
      <c r="C36" t="s">
        <v>98</v>
      </c>
      <c r="D36"/>
      <c r="E36" t="s">
        <v>32</v>
      </c>
      <c r="F36">
        <f>v3_Éric!C29/100*'2023_r'!$C3</f>
        <v>35850</v>
      </c>
      <c r="G36" t="s">
        <v>103</v>
      </c>
    </row>
    <row r="37" spans="1:7" x14ac:dyDescent="0.35">
      <c r="A37" t="s">
        <v>89</v>
      </c>
      <c r="B37"/>
      <c r="C37" t="s">
        <v>99</v>
      </c>
      <c r="D37"/>
      <c r="E37" t="s">
        <v>32</v>
      </c>
      <c r="F37">
        <f>v3_Éric!C30/100*'2023_r'!$C4</f>
        <v>37420</v>
      </c>
      <c r="G37" t="s">
        <v>104</v>
      </c>
    </row>
    <row r="38" spans="1:7" x14ac:dyDescent="0.35">
      <c r="A38" t="s">
        <v>89</v>
      </c>
      <c r="B38"/>
      <c r="C38" t="s">
        <v>100</v>
      </c>
      <c r="D38"/>
      <c r="E38" t="s">
        <v>32</v>
      </c>
      <c r="F38">
        <f>v3_Éric!C31/100*'2023_r'!$C5</f>
        <v>0</v>
      </c>
      <c r="G38" t="s">
        <v>105</v>
      </c>
    </row>
    <row r="39" spans="1:7" x14ac:dyDescent="0.35">
      <c r="A39" t="s">
        <v>89</v>
      </c>
      <c r="B39"/>
      <c r="C39" t="s">
        <v>101</v>
      </c>
      <c r="D39"/>
      <c r="E39" t="s">
        <v>32</v>
      </c>
      <c r="F39">
        <f>v3_Éric!C32/100*'2023_r'!$C6</f>
        <v>24850</v>
      </c>
      <c r="G39" t="s">
        <v>106</v>
      </c>
    </row>
    <row r="40" spans="1:7" x14ac:dyDescent="0.35">
      <c r="A40" t="s">
        <v>89</v>
      </c>
      <c r="B40"/>
      <c r="C40" t="s">
        <v>142</v>
      </c>
      <c r="D40"/>
      <c r="E40" t="s">
        <v>32</v>
      </c>
      <c r="F40">
        <f>v3_Éric!C33/100*'2023_r'!$C7</f>
        <v>0</v>
      </c>
      <c r="G40"/>
    </row>
    <row r="41" spans="1:7" x14ac:dyDescent="0.35">
      <c r="A41" t="s">
        <v>129</v>
      </c>
      <c r="B41"/>
      <c r="C41"/>
      <c r="D41"/>
      <c r="E41" t="s">
        <v>111</v>
      </c>
      <c r="F41">
        <f>v3_Éric!C$24/100*'2023_r'!C8</f>
        <v>0.42814499999999994</v>
      </c>
      <c r="G41"/>
    </row>
    <row r="42" spans="1:7" x14ac:dyDescent="0.35">
      <c r="A42" t="s">
        <v>130</v>
      </c>
      <c r="B42"/>
      <c r="C42"/>
      <c r="D42"/>
      <c r="E42" t="s">
        <v>111</v>
      </c>
      <c r="F42">
        <f>F41</f>
        <v>0.42814499999999994</v>
      </c>
      <c r="G42"/>
    </row>
    <row r="43" spans="1:7" x14ac:dyDescent="0.35">
      <c r="A43" t="s">
        <v>131</v>
      </c>
      <c r="B43"/>
      <c r="C43"/>
      <c r="D43"/>
      <c r="E43" t="s">
        <v>111</v>
      </c>
      <c r="F43">
        <f>v3_Éric!C$24/100*'2023_r'!C9</f>
        <v>0.25403499999999996</v>
      </c>
      <c r="G43"/>
    </row>
    <row r="44" spans="1:7" x14ac:dyDescent="0.35">
      <c r="A44" t="s">
        <v>132</v>
      </c>
      <c r="B44"/>
      <c r="C44"/>
      <c r="D44"/>
      <c r="E44" t="s">
        <v>111</v>
      </c>
      <c r="F44">
        <f>F43</f>
        <v>0.25403499999999996</v>
      </c>
      <c r="G44"/>
    </row>
    <row r="45" spans="1:7" x14ac:dyDescent="0.35">
      <c r="A45" t="s">
        <v>133</v>
      </c>
      <c r="B45"/>
      <c r="C45"/>
      <c r="D45"/>
      <c r="E45" t="s">
        <v>111</v>
      </c>
      <c r="F45">
        <f>MIN(1-F43,'2023_r'!C10)</f>
        <v>0.58789999999999998</v>
      </c>
      <c r="G45"/>
    </row>
    <row r="46" spans="1:7" x14ac:dyDescent="0.35">
      <c r="A46" t="s">
        <v>134</v>
      </c>
      <c r="B46"/>
      <c r="C46"/>
      <c r="D46"/>
      <c r="E46" t="s">
        <v>111</v>
      </c>
      <c r="F46">
        <f>MIN(1-F44,'2023_r'!C10)</f>
        <v>0.58789999999999998</v>
      </c>
      <c r="G46"/>
    </row>
    <row r="47" spans="1:7" x14ac:dyDescent="0.35">
      <c r="A47" t="s">
        <v>137</v>
      </c>
      <c r="B47"/>
      <c r="C47"/>
      <c r="D47"/>
      <c r="E47" t="s">
        <v>111</v>
      </c>
      <c r="F47">
        <f>MIN(1-F43-F45, '2023_r'!C11)</f>
        <v>6.3E-3</v>
      </c>
      <c r="G47"/>
    </row>
    <row r="48" spans="1:7" x14ac:dyDescent="0.35">
      <c r="A48" t="s">
        <v>138</v>
      </c>
      <c r="B48"/>
      <c r="C48"/>
      <c r="D48"/>
      <c r="E48" t="s">
        <v>111</v>
      </c>
      <c r="F48">
        <f>MIN(1-F44-F46, '2023_r'!C11)</f>
        <v>6.3E-3</v>
      </c>
      <c r="G48"/>
    </row>
    <row r="49" spans="1:7" x14ac:dyDescent="0.35">
      <c r="A49" t="s">
        <v>96</v>
      </c>
      <c r="B49"/>
      <c r="C49" t="s">
        <v>117</v>
      </c>
      <c r="D49"/>
      <c r="E49" t="s">
        <v>111</v>
      </c>
      <c r="F49" s="9">
        <f>v3_Éric!C18</f>
        <v>0.5</v>
      </c>
      <c r="G49"/>
    </row>
    <row r="50" spans="1:7" x14ac:dyDescent="0.35">
      <c r="A50" t="s">
        <v>96</v>
      </c>
      <c r="B50"/>
      <c r="C50" t="s">
        <v>118</v>
      </c>
      <c r="D50"/>
      <c r="E50" t="s">
        <v>111</v>
      </c>
      <c r="F50" s="9">
        <f>v3_Éric!C19</f>
        <v>0.5</v>
      </c>
      <c r="G50"/>
    </row>
    <row r="51" spans="1:7" x14ac:dyDescent="0.35">
      <c r="A51" t="s">
        <v>96</v>
      </c>
      <c r="B51"/>
      <c r="C51" t="s">
        <v>119</v>
      </c>
      <c r="D51"/>
      <c r="E51" t="s">
        <v>111</v>
      </c>
      <c r="F51" s="9">
        <f>v3_Éric!C20</f>
        <v>0</v>
      </c>
      <c r="G51"/>
    </row>
    <row r="52" spans="1:7" x14ac:dyDescent="0.35">
      <c r="A52" t="s">
        <v>96</v>
      </c>
      <c r="B52"/>
      <c r="C52" t="s">
        <v>120</v>
      </c>
      <c r="D52"/>
      <c r="E52" t="s">
        <v>111</v>
      </c>
      <c r="F52" s="9">
        <f>v3_Éric!C21</f>
        <v>0</v>
      </c>
      <c r="G52"/>
    </row>
    <row r="53" spans="1:7" x14ac:dyDescent="0.35">
      <c r="A53" t="s">
        <v>96</v>
      </c>
      <c r="B53"/>
      <c r="C53" t="s">
        <v>121</v>
      </c>
      <c r="D53"/>
      <c r="E53" t="s">
        <v>111</v>
      </c>
      <c r="F53" s="10">
        <f>F49</f>
        <v>0.5</v>
      </c>
      <c r="G53"/>
    </row>
    <row r="54" spans="1:7" x14ac:dyDescent="0.35">
      <c r="A54" t="s">
        <v>96</v>
      </c>
      <c r="B54"/>
      <c r="C54" t="s">
        <v>122</v>
      </c>
      <c r="D54"/>
      <c r="E54" t="s">
        <v>111</v>
      </c>
      <c r="F54" s="10">
        <f>F50</f>
        <v>0.5</v>
      </c>
      <c r="G54"/>
    </row>
    <row r="55" spans="1:7" x14ac:dyDescent="0.35">
      <c r="A55" t="s">
        <v>96</v>
      </c>
      <c r="B55"/>
      <c r="C55" t="s">
        <v>123</v>
      </c>
      <c r="D55"/>
      <c r="E55" t="s">
        <v>111</v>
      </c>
      <c r="F55" s="10">
        <f>F51</f>
        <v>0</v>
      </c>
    </row>
    <row r="56" spans="1:7" x14ac:dyDescent="0.35">
      <c r="A56" t="s">
        <v>96</v>
      </c>
      <c r="B56"/>
      <c r="C56" t="s">
        <v>124</v>
      </c>
      <c r="D56"/>
      <c r="E56" t="s">
        <v>111</v>
      </c>
      <c r="F56" s="10">
        <f>F52</f>
        <v>0</v>
      </c>
    </row>
    <row r="57" spans="1:7" x14ac:dyDescent="0.35">
      <c r="A57" t="s">
        <v>96</v>
      </c>
      <c r="B57"/>
      <c r="C57" t="s">
        <v>125</v>
      </c>
      <c r="D57"/>
      <c r="E57" t="s">
        <v>111</v>
      </c>
      <c r="F57" s="10">
        <f>F49</f>
        <v>0.5</v>
      </c>
    </row>
    <row r="58" spans="1:7" x14ac:dyDescent="0.35">
      <c r="A58" t="s">
        <v>96</v>
      </c>
      <c r="B58"/>
      <c r="C58" t="s">
        <v>126</v>
      </c>
      <c r="D58"/>
      <c r="E58" t="s">
        <v>111</v>
      </c>
      <c r="F58" s="10">
        <f>F50</f>
        <v>0.5</v>
      </c>
    </row>
    <row r="59" spans="1:7" x14ac:dyDescent="0.35">
      <c r="A59" t="s">
        <v>96</v>
      </c>
      <c r="B59"/>
      <c r="C59" t="s">
        <v>127</v>
      </c>
      <c r="D59"/>
      <c r="E59" t="s">
        <v>111</v>
      </c>
      <c r="F59" s="10">
        <f>F51</f>
        <v>0</v>
      </c>
    </row>
    <row r="60" spans="1:7" x14ac:dyDescent="0.35">
      <c r="A60" t="s">
        <v>96</v>
      </c>
      <c r="B60"/>
      <c r="C60" t="s">
        <v>128</v>
      </c>
      <c r="D60"/>
      <c r="E60" t="s">
        <v>111</v>
      </c>
      <c r="F60" s="10">
        <f>F52</f>
        <v>0</v>
      </c>
    </row>
    <row r="61" spans="1:7" x14ac:dyDescent="0.35">
      <c r="A61" t="s">
        <v>107</v>
      </c>
      <c r="B61"/>
      <c r="C61"/>
      <c r="D61"/>
      <c r="E61" t="s">
        <v>111</v>
      </c>
      <c r="F61" s="11">
        <f>(1-(1-'2023_r'!C12) * v3_Éric!C15/100)</f>
        <v>0.11460000000000004</v>
      </c>
    </row>
    <row r="62" spans="1:7" x14ac:dyDescent="0.35">
      <c r="A62" t="s">
        <v>108</v>
      </c>
      <c r="B62"/>
      <c r="C62"/>
      <c r="D62"/>
      <c r="E62" t="s">
        <v>111</v>
      </c>
      <c r="F62" s="11">
        <f>F61</f>
        <v>0.11460000000000004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2409-23C1-40F1-97C1-246478CA87F7}">
  <dimension ref="A1:G62"/>
  <sheetViews>
    <sheetView topLeftCell="A46" zoomScale="85" zoomScaleNormal="85" workbookViewId="0">
      <selection activeCell="F61" sqref="F61:F62"/>
    </sheetView>
  </sheetViews>
  <sheetFormatPr defaultColWidth="10.90625" defaultRowHeight="14.5" x14ac:dyDescent="0.35"/>
  <cols>
    <col min="1" max="1" width="27.26953125" bestFit="1" customWidth="1"/>
    <col min="2" max="2" width="39" bestFit="1" customWidth="1"/>
    <col min="3" max="3" width="22.90625" bestFit="1" customWidth="1"/>
    <col min="4" max="4" width="15.81640625" bestFit="1" customWidth="1"/>
    <col min="5" max="5" width="8.81640625" bestFit="1" customWidth="1"/>
    <col min="6" max="6" width="10.81640625" bestFit="1" customWidth="1"/>
    <col min="7" max="7" width="27.54296875" bestFit="1" customWidth="1"/>
  </cols>
  <sheetData>
    <row r="1" spans="1:7" s="2" customFormat="1" x14ac:dyDescent="0.35">
      <c r="A1" s="2" t="s">
        <v>35</v>
      </c>
      <c r="B1" s="2" t="s">
        <v>74</v>
      </c>
      <c r="C1" s="2" t="s">
        <v>36</v>
      </c>
      <c r="D1" s="2" t="s">
        <v>37</v>
      </c>
      <c r="E1" s="2" t="s">
        <v>31</v>
      </c>
      <c r="F1" s="2" t="s">
        <v>38</v>
      </c>
      <c r="G1" s="2" t="s">
        <v>40</v>
      </c>
    </row>
    <row r="2" spans="1:7" x14ac:dyDescent="0.35">
      <c r="A2" t="s">
        <v>30</v>
      </c>
      <c r="B2" t="str">
        <f>_xlfn.CONCAT(C2,"_",D2)</f>
        <v>ELECTRICITY_EHV_INDUSTRY</v>
      </c>
      <c r="C2" t="s">
        <v>7</v>
      </c>
      <c r="D2" t="s">
        <v>8</v>
      </c>
      <c r="E2" t="s">
        <v>32</v>
      </c>
      <c r="F2">
        <f>v3_Éric!$D$3/100*VLOOKUP(Brut!B2,Value_2023!A:D,4,FALSE)</f>
        <v>14179.38</v>
      </c>
    </row>
    <row r="3" spans="1:7" x14ac:dyDescent="0.35">
      <c r="A3" t="s">
        <v>30</v>
      </c>
      <c r="B3" t="str">
        <f t="shared" ref="B3:B31" si="0">_xlfn.CONCAT(C3,"_",D3)</f>
        <v>ELECTRICITY_HV_INDUSTRY</v>
      </c>
      <c r="C3" t="s">
        <v>11</v>
      </c>
      <c r="D3" t="s">
        <v>8</v>
      </c>
      <c r="E3" t="s">
        <v>32</v>
      </c>
      <c r="F3">
        <f>v3_Éric!$D$3/100*VLOOKUP(Brut!B3,Value_2023!A:D,4,FALSE)</f>
        <v>145992.44</v>
      </c>
    </row>
    <row r="4" spans="1:7" x14ac:dyDescent="0.35">
      <c r="A4" t="s">
        <v>30</v>
      </c>
      <c r="B4" t="str">
        <f t="shared" si="0"/>
        <v>ELECTRICITY_MV_INDUSTRY</v>
      </c>
      <c r="C4" t="s">
        <v>15</v>
      </c>
      <c r="D4" t="s">
        <v>8</v>
      </c>
      <c r="E4" t="s">
        <v>32</v>
      </c>
      <c r="F4">
        <f>v3_Éric!$D$3/100*VLOOKUP(Brut!B4,Value_2023!A:D,4,FALSE)</f>
        <v>23102.06</v>
      </c>
    </row>
    <row r="5" spans="1:7" x14ac:dyDescent="0.35">
      <c r="A5" t="s">
        <v>30</v>
      </c>
      <c r="B5" t="str">
        <f t="shared" si="0"/>
        <v>HEAT_HIGH_T_INDUSTRY</v>
      </c>
      <c r="C5" t="s">
        <v>17</v>
      </c>
      <c r="D5" t="s">
        <v>8</v>
      </c>
      <c r="E5" t="s">
        <v>32</v>
      </c>
      <c r="F5">
        <f>v3_Éric!$D$3/100*VLOOKUP(Brut!B5,Value_2023!A:D,4,FALSE)</f>
        <v>148838.84</v>
      </c>
    </row>
    <row r="6" spans="1:7" x14ac:dyDescent="0.35">
      <c r="A6" t="s">
        <v>30</v>
      </c>
      <c r="B6" t="str">
        <f t="shared" si="0"/>
        <v>HEAT_LOW_T_HW_INDUSTRY</v>
      </c>
      <c r="C6" t="s">
        <v>18</v>
      </c>
      <c r="D6" t="s">
        <v>8</v>
      </c>
      <c r="E6" t="s">
        <v>32</v>
      </c>
      <c r="F6">
        <f>v3_Éric!$D$3/100*VLOOKUP(Brut!B6,Value_2023!A:D,4,FALSE)</f>
        <v>1238.8800000000001</v>
      </c>
    </row>
    <row r="7" spans="1:7" x14ac:dyDescent="0.35">
      <c r="A7" t="s">
        <v>30</v>
      </c>
      <c r="B7" t="str">
        <f t="shared" si="0"/>
        <v>HEAT_LOW_T_SH_INDUSTRY</v>
      </c>
      <c r="C7" t="s">
        <v>20</v>
      </c>
      <c r="D7" t="s">
        <v>8</v>
      </c>
      <c r="E7" t="s">
        <v>32</v>
      </c>
      <c r="F7">
        <f>v3_Éric!$D$3/100*VLOOKUP(Brut!B7,Value_2023!A:D,4,FALSE)</f>
        <v>6478.24</v>
      </c>
    </row>
    <row r="8" spans="1:7" x14ac:dyDescent="0.35">
      <c r="A8" t="s">
        <v>30</v>
      </c>
      <c r="B8" t="str">
        <f t="shared" si="0"/>
        <v>LIGHTING_INDUSTRY</v>
      </c>
      <c r="C8" t="s">
        <v>21</v>
      </c>
      <c r="D8" t="s">
        <v>8</v>
      </c>
      <c r="E8" t="s">
        <v>32</v>
      </c>
      <c r="F8">
        <f>v3_Éric!$D$3/100*VLOOKUP(Brut!B8,Value_2023!A:D,4,FALSE)</f>
        <v>11698.34</v>
      </c>
    </row>
    <row r="9" spans="1:7" x14ac:dyDescent="0.35">
      <c r="A9" t="s">
        <v>30</v>
      </c>
      <c r="B9" t="str">
        <f t="shared" si="0"/>
        <v>HEAT_LOW_T_HW_HOUSEHOLDS</v>
      </c>
      <c r="C9" t="s">
        <v>18</v>
      </c>
      <c r="D9" t="s">
        <v>13</v>
      </c>
      <c r="E9" t="s">
        <v>32</v>
      </c>
      <c r="F9">
        <f>v3_Éric!$D$5/100*VLOOKUP(Brut!B9,Value_2023!A:D,4,FALSE)</f>
        <v>6657.96</v>
      </c>
    </row>
    <row r="10" spans="1:7" x14ac:dyDescent="0.35">
      <c r="A10" t="s">
        <v>30</v>
      </c>
      <c r="B10" t="str">
        <f t="shared" si="0"/>
        <v>ELECTRICITY_LV_HOUSEHOLDS</v>
      </c>
      <c r="C10" t="s">
        <v>12</v>
      </c>
      <c r="D10" t="s">
        <v>13</v>
      </c>
      <c r="E10" t="s">
        <v>32</v>
      </c>
      <c r="F10">
        <f>v3_Éric!$D$6/100*VLOOKUP(Brut!B10,Value_2023!A:D,4,FALSE)</f>
        <v>12176.94</v>
      </c>
    </row>
    <row r="11" spans="1:7" x14ac:dyDescent="0.35">
      <c r="A11" t="s">
        <v>30</v>
      </c>
      <c r="B11" t="str">
        <f t="shared" si="0"/>
        <v>HEAT_LOW_T_SH_HOUSEHOLDS</v>
      </c>
      <c r="C11" t="s">
        <v>20</v>
      </c>
      <c r="D11" t="s">
        <v>13</v>
      </c>
      <c r="E11" t="s">
        <v>32</v>
      </c>
      <c r="F11">
        <f>v3_Éric!$D$7/100*VLOOKUP(Brut!B11,Value_2023!A:D,4,FALSE)</f>
        <v>27126.26</v>
      </c>
    </row>
    <row r="12" spans="1:7" x14ac:dyDescent="0.35">
      <c r="A12" t="s">
        <v>30</v>
      </c>
      <c r="B12" t="str">
        <f t="shared" si="0"/>
        <v>ELECTRICITY_LV_SERVICES</v>
      </c>
      <c r="C12" t="s">
        <v>12</v>
      </c>
      <c r="D12" t="s">
        <v>14</v>
      </c>
      <c r="E12" t="s">
        <v>32</v>
      </c>
      <c r="F12">
        <f>v3_Éric!$D$8/100*VLOOKUP(B12,Value_2023!A:D,4,FALSE)</f>
        <v>6740.2740000000003</v>
      </c>
    </row>
    <row r="13" spans="1:7" x14ac:dyDescent="0.35">
      <c r="A13" t="s">
        <v>30</v>
      </c>
      <c r="B13" t="str">
        <f t="shared" si="0"/>
        <v>ELECTRICITY_MV_SERVICES</v>
      </c>
      <c r="C13" t="s">
        <v>15</v>
      </c>
      <c r="D13" t="s">
        <v>14</v>
      </c>
      <c r="E13" t="s">
        <v>32</v>
      </c>
      <c r="F13">
        <f>v3_Éric!$D$8/100*VLOOKUP(B13,Value_2023!A:D,4,FALSE)</f>
        <v>2114.0339999999997</v>
      </c>
    </row>
    <row r="14" spans="1:7" x14ac:dyDescent="0.35">
      <c r="A14" t="s">
        <v>30</v>
      </c>
      <c r="B14" t="str">
        <f t="shared" si="0"/>
        <v>HEAT_HIGH_T_SERVICES</v>
      </c>
      <c r="C14" t="s">
        <v>17</v>
      </c>
      <c r="D14" t="s">
        <v>14</v>
      </c>
      <c r="E14" t="s">
        <v>32</v>
      </c>
      <c r="F14">
        <f>v3_Éric!$D$8/100*VLOOKUP(B14,Value_2023!A:D,4,FALSE)</f>
        <v>639.55799999999999</v>
      </c>
    </row>
    <row r="15" spans="1:7" x14ac:dyDescent="0.35">
      <c r="A15" t="s">
        <v>30</v>
      </c>
      <c r="B15" t="str">
        <f t="shared" si="0"/>
        <v>HEAT_LOW_T_HW_SERVICES</v>
      </c>
      <c r="C15" t="s">
        <v>18</v>
      </c>
      <c r="D15" t="s">
        <v>14</v>
      </c>
      <c r="E15" t="s">
        <v>32</v>
      </c>
      <c r="F15">
        <f>v3_Éric!$D$8/100*VLOOKUP(B15,Value_2023!A:D,4,FALSE)</f>
        <v>1724.85</v>
      </c>
    </row>
    <row r="16" spans="1:7" x14ac:dyDescent="0.35">
      <c r="A16" t="s">
        <v>30</v>
      </c>
      <c r="B16" t="str">
        <f t="shared" si="0"/>
        <v>HEAT_LOW_T_SC_SERVICES</v>
      </c>
      <c r="C16" t="s">
        <v>19</v>
      </c>
      <c r="D16" t="s">
        <v>14</v>
      </c>
      <c r="E16" t="s">
        <v>32</v>
      </c>
      <c r="F16">
        <f>v3_Éric!$D$8/100*VLOOKUP(B16,Value_2023!A:D,4,FALSE)</f>
        <v>1782.5160000000001</v>
      </c>
    </row>
    <row r="17" spans="1:6" x14ac:dyDescent="0.35">
      <c r="A17" t="s">
        <v>30</v>
      </c>
      <c r="B17" t="str">
        <f t="shared" si="0"/>
        <v>HEAT_LOW_T_SH_SERVICES</v>
      </c>
      <c r="C17" t="s">
        <v>20</v>
      </c>
      <c r="D17" t="s">
        <v>14</v>
      </c>
      <c r="E17" t="s">
        <v>32</v>
      </c>
      <c r="F17">
        <f>v3_Éric!$D$8/100*VLOOKUP(B17,Value_2023!A:D,4,FALSE)</f>
        <v>12453.012000000001</v>
      </c>
    </row>
    <row r="18" spans="1:6" x14ac:dyDescent="0.35">
      <c r="A18" t="s">
        <v>30</v>
      </c>
      <c r="B18" t="str">
        <f t="shared" si="0"/>
        <v>LIGHTING_SERVICES</v>
      </c>
      <c r="C18" t="s">
        <v>21</v>
      </c>
      <c r="D18" t="s">
        <v>14</v>
      </c>
      <c r="E18" t="s">
        <v>32</v>
      </c>
      <c r="F18">
        <f>v3_Éric!$D$8/100*VLOOKUP(B18,Value_2023!A:D,4,FALSE)</f>
        <v>7221.7619999999997</v>
      </c>
    </row>
    <row r="19" spans="1:6" x14ac:dyDescent="0.35">
      <c r="A19" t="s">
        <v>30</v>
      </c>
      <c r="B19" t="str">
        <f t="shared" si="0"/>
        <v>ELECTRICITY_MV_AGRICULTURE</v>
      </c>
      <c r="C19" t="s">
        <v>15</v>
      </c>
      <c r="D19" t="s">
        <v>16</v>
      </c>
      <c r="E19" t="s">
        <v>32</v>
      </c>
      <c r="F19">
        <f>v3_Éric!$D$9/100*VLOOKUP(Brut!B19,Value_2023!A:D,4,FALSE)</f>
        <v>1292.3755000000001</v>
      </c>
    </row>
    <row r="20" spans="1:6" x14ac:dyDescent="0.35">
      <c r="A20" t="s">
        <v>30</v>
      </c>
      <c r="B20" t="str">
        <f t="shared" si="0"/>
        <v>HEAT_LOW_T_HW_AGRICULTURE</v>
      </c>
      <c r="C20" t="s">
        <v>18</v>
      </c>
      <c r="D20" t="s">
        <v>16</v>
      </c>
      <c r="E20" t="s">
        <v>32</v>
      </c>
      <c r="F20">
        <f>v3_Éric!$D$9/100*VLOOKUP(Brut!B20,Value_2023!A:D,4,FALSE)</f>
        <v>79.124500000000012</v>
      </c>
    </row>
    <row r="21" spans="1:6" x14ac:dyDescent="0.35">
      <c r="A21" t="s">
        <v>30</v>
      </c>
      <c r="B21" t="str">
        <f t="shared" si="0"/>
        <v>HEAT_LOW_T_SH_AGRICULTURE</v>
      </c>
      <c r="C21" t="s">
        <v>20</v>
      </c>
      <c r="D21" t="s">
        <v>16</v>
      </c>
      <c r="E21" t="s">
        <v>32</v>
      </c>
      <c r="F21">
        <f>v3_Éric!$D$9/100*VLOOKUP(Brut!B21,Value_2023!A:D,4,FALSE)</f>
        <v>712.12699999999995</v>
      </c>
    </row>
    <row r="22" spans="1:6" x14ac:dyDescent="0.35">
      <c r="A22" t="s">
        <v>30</v>
      </c>
      <c r="B22" t="str">
        <f t="shared" si="0"/>
        <v>LIGHTING_AGRICULTURE</v>
      </c>
      <c r="C22" t="s">
        <v>21</v>
      </c>
      <c r="D22" t="s">
        <v>16</v>
      </c>
      <c r="E22" t="s">
        <v>32</v>
      </c>
      <c r="F22">
        <f>v3_Éric!$D$9/100*VLOOKUP(Brut!B22,Value_2023!A:D,4,FALSE)</f>
        <v>53.846000000000004</v>
      </c>
    </row>
    <row r="23" spans="1:6" x14ac:dyDescent="0.35">
      <c r="A23" t="s">
        <v>30</v>
      </c>
      <c r="B23" t="str">
        <f t="shared" si="0"/>
        <v>MOBILITY_FREIGHT_SD_AGRICULTURE</v>
      </c>
      <c r="C23" t="s">
        <v>26</v>
      </c>
      <c r="D23" t="s">
        <v>16</v>
      </c>
      <c r="E23" t="s">
        <v>32</v>
      </c>
      <c r="F23">
        <f>v3_Éric!$D$9/100*VLOOKUP(Brut!B23,Value_2023!A:D,4,FALSE)</f>
        <v>2103.4650000000001</v>
      </c>
    </row>
    <row r="24" spans="1:6" x14ac:dyDescent="0.35">
      <c r="A24" t="s">
        <v>30</v>
      </c>
      <c r="B24" t="str">
        <f t="shared" si="0"/>
        <v>MOBILITY_PASSENGER_LD_TRANSPORTATION</v>
      </c>
      <c r="C24" t="s">
        <v>27</v>
      </c>
      <c r="D24" t="s">
        <v>23</v>
      </c>
      <c r="E24" t="s">
        <v>33</v>
      </c>
      <c r="F24">
        <f>v3_Éric!D11/100*VLOOKUP(Brut!B24,Value_2023!A:D,4,FALSE)</f>
        <v>56472.858</v>
      </c>
    </row>
    <row r="25" spans="1:6" x14ac:dyDescent="0.35">
      <c r="A25" t="s">
        <v>30</v>
      </c>
      <c r="B25" t="str">
        <f t="shared" si="0"/>
        <v>MOBILITY_PASSENGER_MD_TRANSPORTATION</v>
      </c>
      <c r="C25" t="s">
        <v>28</v>
      </c>
      <c r="D25" t="s">
        <v>23</v>
      </c>
      <c r="E25" t="s">
        <v>33</v>
      </c>
      <c r="F25">
        <f>v3_Éric!D12/100*VLOOKUP(Brut!B25,Value_2023!A:D,4,FALSE)</f>
        <v>50387.148000000001</v>
      </c>
    </row>
    <row r="26" spans="1:6" x14ac:dyDescent="0.35">
      <c r="A26" t="s">
        <v>30</v>
      </c>
      <c r="B26" t="str">
        <f t="shared" si="0"/>
        <v>MOBILITY_PASSENGER_SD_TRANSPORTATION</v>
      </c>
      <c r="C26" t="s">
        <v>29</v>
      </c>
      <c r="D26" t="s">
        <v>23</v>
      </c>
      <c r="E26" t="s">
        <v>33</v>
      </c>
      <c r="F26">
        <f>v3_Éric!D13/100*VLOOKUP(Brut!B26,Value_2023!A:D,4,FALSE)</f>
        <v>6427.1490000000003</v>
      </c>
    </row>
    <row r="27" spans="1:6" x14ac:dyDescent="0.35">
      <c r="A27" t="s">
        <v>30</v>
      </c>
      <c r="B27" t="str">
        <f t="shared" si="0"/>
        <v>MOBILITY_FREIGHT_ELD_TRANSPORTATION</v>
      </c>
      <c r="C27" t="s">
        <v>22</v>
      </c>
      <c r="D27" t="s">
        <v>23</v>
      </c>
      <c r="E27" t="s">
        <v>34</v>
      </c>
      <c r="F27">
        <f>v3_Éric!$D$23/100*VLOOKUP(Brut!B27,Value_2023!A:D,4,FALSE)</f>
        <v>165288.88500000001</v>
      </c>
    </row>
    <row r="28" spans="1:6" x14ac:dyDescent="0.35">
      <c r="A28" t="s">
        <v>30</v>
      </c>
      <c r="B28" t="str">
        <f t="shared" si="0"/>
        <v>MOBILITY_FREIGHT_LD_TRANSPORTATION</v>
      </c>
      <c r="C28" t="s">
        <v>24</v>
      </c>
      <c r="D28" t="s">
        <v>23</v>
      </c>
      <c r="E28" t="s">
        <v>34</v>
      </c>
      <c r="F28">
        <f>v3_Éric!$D$23/100*VLOOKUP(Brut!B28,Value_2023!A:D,4,FALSE)</f>
        <v>32696.745000000003</v>
      </c>
    </row>
    <row r="29" spans="1:6" x14ac:dyDescent="0.35">
      <c r="A29" t="s">
        <v>30</v>
      </c>
      <c r="B29" t="str">
        <f t="shared" si="0"/>
        <v>MOBILITY_FREIGHT_MD_TRANSPORTATION</v>
      </c>
      <c r="C29" t="s">
        <v>25</v>
      </c>
      <c r="D29" t="s">
        <v>23</v>
      </c>
      <c r="E29" t="s">
        <v>34</v>
      </c>
      <c r="F29">
        <f>v3_Éric!$D$23/100*VLOOKUP(Brut!B29,Value_2023!A:D,4,FALSE)</f>
        <v>42559.86</v>
      </c>
    </row>
    <row r="30" spans="1:6" x14ac:dyDescent="0.35">
      <c r="A30" t="s">
        <v>30</v>
      </c>
      <c r="B30" t="str">
        <f t="shared" si="0"/>
        <v>MOBILITY_FREIGHT_SD_TRANSPORTATION</v>
      </c>
      <c r="C30" t="s">
        <v>26</v>
      </c>
      <c r="D30" t="s">
        <v>23</v>
      </c>
      <c r="E30" t="s">
        <v>34</v>
      </c>
      <c r="F30">
        <f>v3_Éric!$D$23/100*VLOOKUP(Brut!B30,Value_2023!A:D,4,FALSE)</f>
        <v>13439.579999999998</v>
      </c>
    </row>
    <row r="31" spans="1:6" x14ac:dyDescent="0.35">
      <c r="A31" t="s">
        <v>30</v>
      </c>
      <c r="B31" t="str">
        <f t="shared" si="0"/>
        <v>ELECTRICITY_EHV_EXPORT_EXPORT</v>
      </c>
      <c r="C31" t="s">
        <v>9</v>
      </c>
      <c r="D31" t="s">
        <v>10</v>
      </c>
      <c r="E31" t="s">
        <v>32</v>
      </c>
      <c r="F31">
        <f>v3_Éric!$D$25/100*VLOOKUP(Brut!B31,Value_2023!A:D,4,FALSE)</f>
        <v>71112</v>
      </c>
    </row>
    <row r="32" spans="1:6" x14ac:dyDescent="0.35">
      <c r="A32" t="s">
        <v>88</v>
      </c>
      <c r="C32" t="s">
        <v>78</v>
      </c>
      <c r="E32" t="s">
        <v>114</v>
      </c>
      <c r="F32" s="4">
        <v>1000000</v>
      </c>
    </row>
    <row r="33" spans="1:7" x14ac:dyDescent="0.35">
      <c r="A33" t="s">
        <v>88</v>
      </c>
      <c r="C33" t="s">
        <v>139</v>
      </c>
      <c r="E33" t="s">
        <v>114</v>
      </c>
      <c r="F33">
        <v>2000</v>
      </c>
    </row>
    <row r="34" spans="1:7" x14ac:dyDescent="0.35">
      <c r="A34" t="s">
        <v>88</v>
      </c>
      <c r="C34" t="s">
        <v>140</v>
      </c>
      <c r="E34" t="s">
        <v>114</v>
      </c>
      <c r="F34">
        <v>2000</v>
      </c>
    </row>
    <row r="35" spans="1:7" x14ac:dyDescent="0.35">
      <c r="A35" t="s">
        <v>89</v>
      </c>
      <c r="C35" t="s">
        <v>97</v>
      </c>
      <c r="E35" t="s">
        <v>32</v>
      </c>
      <c r="F35">
        <f>v3_Éric!D28/100*'2023_r'!$C2</f>
        <v>0</v>
      </c>
      <c r="G35" t="s">
        <v>102</v>
      </c>
    </row>
    <row r="36" spans="1:7" x14ac:dyDescent="0.35">
      <c r="A36" t="s">
        <v>89</v>
      </c>
      <c r="C36" t="s">
        <v>98</v>
      </c>
      <c r="E36" t="s">
        <v>32</v>
      </c>
      <c r="F36">
        <f>v3_Éric!D29/100*'2023_r'!$C3</f>
        <v>25095</v>
      </c>
      <c r="G36" t="s">
        <v>103</v>
      </c>
    </row>
    <row r="37" spans="1:7" x14ac:dyDescent="0.35">
      <c r="A37" t="s">
        <v>89</v>
      </c>
      <c r="C37" t="s">
        <v>99</v>
      </c>
      <c r="E37" t="s">
        <v>32</v>
      </c>
      <c r="F37">
        <f>v3_Éric!D30/100*'2023_r'!$C4</f>
        <v>7484</v>
      </c>
      <c r="G37" t="s">
        <v>104</v>
      </c>
    </row>
    <row r="38" spans="1:7" x14ac:dyDescent="0.35">
      <c r="A38" t="s">
        <v>89</v>
      </c>
      <c r="C38" t="s">
        <v>100</v>
      </c>
      <c r="E38" t="s">
        <v>32</v>
      </c>
      <c r="F38">
        <f>v3_Éric!D31/100*'2023_r'!$C5</f>
        <v>0</v>
      </c>
      <c r="G38" t="s">
        <v>105</v>
      </c>
    </row>
    <row r="39" spans="1:7" x14ac:dyDescent="0.35">
      <c r="A39" t="s">
        <v>89</v>
      </c>
      <c r="C39" t="s">
        <v>101</v>
      </c>
      <c r="E39" t="s">
        <v>32</v>
      </c>
      <c r="F39">
        <f>v3_Éric!D32/100*'2023_r'!$C6</f>
        <v>1988</v>
      </c>
      <c r="G39" t="s">
        <v>106</v>
      </c>
    </row>
    <row r="40" spans="1:7" x14ac:dyDescent="0.35">
      <c r="A40" t="s">
        <v>89</v>
      </c>
      <c r="C40" t="s">
        <v>142</v>
      </c>
      <c r="E40" t="s">
        <v>32</v>
      </c>
      <c r="F40">
        <f>v3_Éric!D33/100*'2023_r'!$C7</f>
        <v>0</v>
      </c>
    </row>
    <row r="41" spans="1:7" x14ac:dyDescent="0.35">
      <c r="A41" t="s">
        <v>129</v>
      </c>
      <c r="E41" t="s">
        <v>111</v>
      </c>
      <c r="F41">
        <f>v3_Éric!D$24/100*'2023_r'!C8</f>
        <v>0.65152499999999991</v>
      </c>
    </row>
    <row r="42" spans="1:7" x14ac:dyDescent="0.35">
      <c r="A42" t="s">
        <v>130</v>
      </c>
      <c r="E42" t="s">
        <v>111</v>
      </c>
      <c r="F42">
        <f>v3_Éric!D$24/100*'2023_r'!C8</f>
        <v>0.65152499999999991</v>
      </c>
    </row>
    <row r="43" spans="1:7" x14ac:dyDescent="0.35">
      <c r="A43" t="s">
        <v>131</v>
      </c>
      <c r="E43" t="s">
        <v>111</v>
      </c>
      <c r="F43">
        <f>v3_Éric!D$24/100*'2023_r'!C9</f>
        <v>0.386575</v>
      </c>
    </row>
    <row r="44" spans="1:7" x14ac:dyDescent="0.35">
      <c r="A44" t="s">
        <v>132</v>
      </c>
      <c r="E44" t="s">
        <v>111</v>
      </c>
      <c r="F44">
        <f>v3_Éric!D$24/100*'2023_r'!C9</f>
        <v>0.386575</v>
      </c>
    </row>
    <row r="45" spans="1:7" x14ac:dyDescent="0.35">
      <c r="A45" t="s">
        <v>133</v>
      </c>
      <c r="E45" t="s">
        <v>111</v>
      </c>
      <c r="F45">
        <f>MIN(1-F43,'2023_r'!C10)</f>
        <v>0.58789999999999998</v>
      </c>
    </row>
    <row r="46" spans="1:7" x14ac:dyDescent="0.35">
      <c r="A46" t="s">
        <v>134</v>
      </c>
      <c r="E46" t="s">
        <v>111</v>
      </c>
      <c r="F46">
        <f>MIN(1-F44,'2023_r'!C10)</f>
        <v>0.58789999999999998</v>
      </c>
    </row>
    <row r="47" spans="1:7" x14ac:dyDescent="0.35">
      <c r="A47" t="s">
        <v>137</v>
      </c>
      <c r="E47" t="s">
        <v>111</v>
      </c>
      <c r="F47">
        <f>MIN(1-F43-F45, '2023_r'!C11)</f>
        <v>6.3E-3</v>
      </c>
    </row>
    <row r="48" spans="1:7" x14ac:dyDescent="0.35">
      <c r="A48" t="s">
        <v>138</v>
      </c>
      <c r="E48" t="s">
        <v>111</v>
      </c>
      <c r="F48">
        <f>MIN(1-F44-F46, '2023_r'!C11)</f>
        <v>6.3E-3</v>
      </c>
    </row>
    <row r="49" spans="1:6" x14ac:dyDescent="0.35">
      <c r="A49" t="s">
        <v>96</v>
      </c>
      <c r="C49" t="s">
        <v>117</v>
      </c>
      <c r="E49" t="s">
        <v>111</v>
      </c>
      <c r="F49" s="9">
        <f>v3_Éric!D18</f>
        <v>0.2</v>
      </c>
    </row>
    <row r="50" spans="1:6" x14ac:dyDescent="0.35">
      <c r="A50" t="s">
        <v>96</v>
      </c>
      <c r="C50" t="s">
        <v>118</v>
      </c>
      <c r="E50" t="s">
        <v>111</v>
      </c>
      <c r="F50" s="9">
        <f>v3_Éric!D19</f>
        <v>0</v>
      </c>
    </row>
    <row r="51" spans="1:6" x14ac:dyDescent="0.35">
      <c r="A51" t="s">
        <v>96</v>
      </c>
      <c r="C51" t="s">
        <v>119</v>
      </c>
      <c r="E51" t="s">
        <v>111</v>
      </c>
      <c r="F51" s="9">
        <f>v3_Éric!D20</f>
        <v>0.8</v>
      </c>
    </row>
    <row r="52" spans="1:6" x14ac:dyDescent="0.35">
      <c r="A52" t="s">
        <v>96</v>
      </c>
      <c r="C52" t="s">
        <v>120</v>
      </c>
      <c r="E52" t="s">
        <v>111</v>
      </c>
      <c r="F52" s="9">
        <f>v3_Éric!D21</f>
        <v>0</v>
      </c>
    </row>
    <row r="53" spans="1:6" x14ac:dyDescent="0.35">
      <c r="A53" t="s">
        <v>96</v>
      </c>
      <c r="C53" t="s">
        <v>121</v>
      </c>
      <c r="E53" t="s">
        <v>111</v>
      </c>
      <c r="F53" s="9">
        <f t="shared" ref="F53:F56" si="1">F49</f>
        <v>0.2</v>
      </c>
    </row>
    <row r="54" spans="1:6" x14ac:dyDescent="0.35">
      <c r="A54" t="s">
        <v>96</v>
      </c>
      <c r="C54" t="s">
        <v>122</v>
      </c>
      <c r="E54" t="s">
        <v>111</v>
      </c>
      <c r="F54" s="9">
        <f t="shared" si="1"/>
        <v>0</v>
      </c>
    </row>
    <row r="55" spans="1:6" x14ac:dyDescent="0.35">
      <c r="A55" t="s">
        <v>96</v>
      </c>
      <c r="C55" t="s">
        <v>123</v>
      </c>
      <c r="E55" t="s">
        <v>111</v>
      </c>
      <c r="F55" s="9">
        <f t="shared" si="1"/>
        <v>0.8</v>
      </c>
    </row>
    <row r="56" spans="1:6" x14ac:dyDescent="0.35">
      <c r="A56" t="s">
        <v>96</v>
      </c>
      <c r="C56" t="s">
        <v>124</v>
      </c>
      <c r="E56" t="s">
        <v>111</v>
      </c>
      <c r="F56" s="9">
        <f t="shared" si="1"/>
        <v>0</v>
      </c>
    </row>
    <row r="57" spans="1:6" x14ac:dyDescent="0.35">
      <c r="A57" t="s">
        <v>96</v>
      </c>
      <c r="C57" t="s">
        <v>125</v>
      </c>
      <c r="E57" t="s">
        <v>111</v>
      </c>
      <c r="F57" s="9">
        <f t="shared" ref="F57:F60" si="2">F49</f>
        <v>0.2</v>
      </c>
    </row>
    <row r="58" spans="1:6" x14ac:dyDescent="0.35">
      <c r="A58" t="s">
        <v>96</v>
      </c>
      <c r="C58" t="s">
        <v>126</v>
      </c>
      <c r="E58" t="s">
        <v>111</v>
      </c>
      <c r="F58" s="9">
        <f t="shared" si="2"/>
        <v>0</v>
      </c>
    </row>
    <row r="59" spans="1:6" x14ac:dyDescent="0.35">
      <c r="A59" t="s">
        <v>96</v>
      </c>
      <c r="C59" t="s">
        <v>127</v>
      </c>
      <c r="E59" t="s">
        <v>111</v>
      </c>
      <c r="F59" s="9">
        <f t="shared" si="2"/>
        <v>0.8</v>
      </c>
    </row>
    <row r="60" spans="1:6" x14ac:dyDescent="0.35">
      <c r="A60" t="s">
        <v>96</v>
      </c>
      <c r="C60" t="s">
        <v>128</v>
      </c>
      <c r="E60" t="s">
        <v>111</v>
      </c>
      <c r="F60" s="9">
        <f t="shared" si="2"/>
        <v>0</v>
      </c>
    </row>
    <row r="61" spans="1:6" x14ac:dyDescent="0.35">
      <c r="A61" t="s">
        <v>107</v>
      </c>
      <c r="E61" t="s">
        <v>111</v>
      </c>
      <c r="F61" s="35">
        <f>(1-(1-'2023_r'!C12) * v3_Éric!D15/100)</f>
        <v>0.46876000000000007</v>
      </c>
    </row>
    <row r="62" spans="1:6" x14ac:dyDescent="0.35">
      <c r="A62" t="s">
        <v>108</v>
      </c>
      <c r="E62" t="s">
        <v>111</v>
      </c>
      <c r="F62" s="35">
        <f>F61</f>
        <v>0.46876000000000007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7C80-B306-4899-82F5-71DBF42BFCE9}">
  <dimension ref="A1:G62"/>
  <sheetViews>
    <sheetView tabSelected="1" topLeftCell="A49" zoomScale="85" zoomScaleNormal="85" workbookViewId="0">
      <selection activeCell="G57" sqref="G57"/>
    </sheetView>
  </sheetViews>
  <sheetFormatPr defaultColWidth="10.90625" defaultRowHeight="14.5" x14ac:dyDescent="0.35"/>
  <cols>
    <col min="1" max="1" width="27.81640625" bestFit="1" customWidth="1"/>
    <col min="2" max="2" width="39" bestFit="1" customWidth="1"/>
    <col min="3" max="3" width="22.90625" bestFit="1" customWidth="1"/>
    <col min="4" max="4" width="15.81640625" bestFit="1" customWidth="1"/>
    <col min="5" max="5" width="8.81640625" bestFit="1" customWidth="1"/>
    <col min="6" max="6" width="10.81640625" bestFit="1" customWidth="1"/>
    <col min="7" max="7" width="27.54296875" bestFit="1" customWidth="1"/>
  </cols>
  <sheetData>
    <row r="1" spans="1:7" s="2" customFormat="1" x14ac:dyDescent="0.35">
      <c r="A1" s="2" t="s">
        <v>35</v>
      </c>
      <c r="B1" s="2" t="s">
        <v>74</v>
      </c>
      <c r="C1" s="2" t="s">
        <v>36</v>
      </c>
      <c r="D1" s="2" t="s">
        <v>37</v>
      </c>
      <c r="E1" s="2" t="s">
        <v>31</v>
      </c>
      <c r="F1" s="2" t="s">
        <v>38</v>
      </c>
      <c r="G1" s="2" t="s">
        <v>40</v>
      </c>
    </row>
    <row r="2" spans="1:7" x14ac:dyDescent="0.35">
      <c r="A2" t="s">
        <v>30</v>
      </c>
      <c r="B2" t="str">
        <f>_xlfn.CONCAT(C2,"_",D2)</f>
        <v>ELECTRICITY_EHV_INDUSTRY</v>
      </c>
      <c r="C2" t="s">
        <v>7</v>
      </c>
      <c r="D2" t="s">
        <v>8</v>
      </c>
      <c r="E2" t="s">
        <v>32</v>
      </c>
      <c r="F2">
        <f>v3_Éric!$E$3/100*VLOOKUP(Brut!B2,Value_2023!A:D,4,FALSE)</f>
        <v>4962.7829999999994</v>
      </c>
    </row>
    <row r="3" spans="1:7" x14ac:dyDescent="0.35">
      <c r="A3" t="s">
        <v>30</v>
      </c>
      <c r="B3" t="str">
        <f t="shared" ref="B3:B31" si="0">_xlfn.CONCAT(C3,"_",D3)</f>
        <v>ELECTRICITY_HV_INDUSTRY</v>
      </c>
      <c r="C3" t="s">
        <v>11</v>
      </c>
      <c r="D3" t="s">
        <v>8</v>
      </c>
      <c r="E3" t="s">
        <v>32</v>
      </c>
      <c r="F3">
        <f>v3_Éric!$E$3/100*VLOOKUP(Brut!B3,Value_2023!A:D,4,FALSE)</f>
        <v>51097.353999999999</v>
      </c>
    </row>
    <row r="4" spans="1:7" x14ac:dyDescent="0.35">
      <c r="A4" t="s">
        <v>30</v>
      </c>
      <c r="B4" t="str">
        <f t="shared" si="0"/>
        <v>ELECTRICITY_MV_INDUSTRY</v>
      </c>
      <c r="C4" t="s">
        <v>15</v>
      </c>
      <c r="D4" t="s">
        <v>8</v>
      </c>
      <c r="E4" t="s">
        <v>32</v>
      </c>
      <c r="F4">
        <f>v3_Éric!$E$3/100*VLOOKUP(Brut!B4,Value_2023!A:D,4,FALSE)</f>
        <v>8085.7209999999995</v>
      </c>
    </row>
    <row r="5" spans="1:7" x14ac:dyDescent="0.35">
      <c r="A5" t="s">
        <v>30</v>
      </c>
      <c r="B5" t="str">
        <f t="shared" si="0"/>
        <v>HEAT_HIGH_T_INDUSTRY</v>
      </c>
      <c r="C5" t="s">
        <v>17</v>
      </c>
      <c r="D5" t="s">
        <v>8</v>
      </c>
      <c r="E5" t="s">
        <v>32</v>
      </c>
      <c r="F5">
        <f>v3_Éric!$E$3/100*VLOOKUP(Brut!B5,Value_2023!A:D,4,FALSE)</f>
        <v>52093.593999999997</v>
      </c>
    </row>
    <row r="6" spans="1:7" x14ac:dyDescent="0.35">
      <c r="A6" t="s">
        <v>30</v>
      </c>
      <c r="B6" t="str">
        <f t="shared" si="0"/>
        <v>HEAT_LOW_T_HW_INDUSTRY</v>
      </c>
      <c r="C6" t="s">
        <v>18</v>
      </c>
      <c r="D6" t="s">
        <v>8</v>
      </c>
      <c r="E6" t="s">
        <v>32</v>
      </c>
      <c r="F6">
        <f>v3_Éric!$E$3/100*VLOOKUP(Brut!B6,Value_2023!A:D,4,FALSE)</f>
        <v>433.608</v>
      </c>
    </row>
    <row r="7" spans="1:7" x14ac:dyDescent="0.35">
      <c r="A7" t="s">
        <v>30</v>
      </c>
      <c r="B7" t="str">
        <f t="shared" si="0"/>
        <v>HEAT_LOW_T_SH_INDUSTRY</v>
      </c>
      <c r="C7" t="s">
        <v>20</v>
      </c>
      <c r="D7" t="s">
        <v>8</v>
      </c>
      <c r="E7" t="s">
        <v>32</v>
      </c>
      <c r="F7">
        <f>v3_Éric!$E$3/100*VLOOKUP(Brut!B7,Value_2023!A:D,4,FALSE)</f>
        <v>2267.3839999999996</v>
      </c>
    </row>
    <row r="8" spans="1:7" x14ac:dyDescent="0.35">
      <c r="A8" t="s">
        <v>30</v>
      </c>
      <c r="B8" t="str">
        <f t="shared" si="0"/>
        <v>LIGHTING_INDUSTRY</v>
      </c>
      <c r="C8" t="s">
        <v>21</v>
      </c>
      <c r="D8" t="s">
        <v>8</v>
      </c>
      <c r="E8" t="s">
        <v>32</v>
      </c>
      <c r="F8">
        <f>v3_Éric!$E$3/100*VLOOKUP(Brut!B8,Value_2023!A:D,4,FALSE)</f>
        <v>4094.4189999999999</v>
      </c>
    </row>
    <row r="9" spans="1:7" x14ac:dyDescent="0.35">
      <c r="A9" t="s">
        <v>30</v>
      </c>
      <c r="B9" t="str">
        <f t="shared" si="0"/>
        <v>HEAT_LOW_T_HW_HOUSEHOLDS</v>
      </c>
      <c r="C9" t="s">
        <v>18</v>
      </c>
      <c r="D9" t="s">
        <v>13</v>
      </c>
      <c r="E9" t="s">
        <v>32</v>
      </c>
      <c r="F9">
        <f>v3_Éric!$E$5/100*VLOOKUP(Brut!B9,Value_2023!A:D,4,FALSE)</f>
        <v>6657.96</v>
      </c>
    </row>
    <row r="10" spans="1:7" x14ac:dyDescent="0.35">
      <c r="A10" t="s">
        <v>30</v>
      </c>
      <c r="B10" t="str">
        <f t="shared" si="0"/>
        <v>ELECTRICITY_LV_HOUSEHOLDS</v>
      </c>
      <c r="C10" t="s">
        <v>12</v>
      </c>
      <c r="D10" t="s">
        <v>13</v>
      </c>
      <c r="E10" t="s">
        <v>32</v>
      </c>
      <c r="F10">
        <f>v3_Éric!$E$6/100*VLOOKUP(Brut!B10,Value_2023!A:D,4,FALSE)</f>
        <v>8117.96</v>
      </c>
    </row>
    <row r="11" spans="1:7" x14ac:dyDescent="0.35">
      <c r="A11" t="s">
        <v>30</v>
      </c>
      <c r="B11" t="str">
        <f t="shared" si="0"/>
        <v>HEAT_LOW_T_SH_HOUSEHOLDS</v>
      </c>
      <c r="C11" t="s">
        <v>20</v>
      </c>
      <c r="D11" t="s">
        <v>13</v>
      </c>
      <c r="E11" t="s">
        <v>32</v>
      </c>
      <c r="F11">
        <f>v3_Éric!$E$7/100*VLOOKUP(Brut!B11,Value_2023!A:D,4,FALSE)</f>
        <v>27126.26</v>
      </c>
    </row>
    <row r="12" spans="1:7" x14ac:dyDescent="0.35">
      <c r="A12" t="s">
        <v>30</v>
      </c>
      <c r="B12" t="str">
        <f t="shared" si="0"/>
        <v>ELECTRICITY_LV_SERVICES</v>
      </c>
      <c r="C12" t="s">
        <v>12</v>
      </c>
      <c r="D12" t="s">
        <v>14</v>
      </c>
      <c r="E12" t="s">
        <v>32</v>
      </c>
      <c r="F12">
        <f>v3_Éric!$E$8/100*VLOOKUP(B12,Value_2023!A:D,4,FALSE)</f>
        <v>11233.79</v>
      </c>
    </row>
    <row r="13" spans="1:7" x14ac:dyDescent="0.35">
      <c r="A13" t="s">
        <v>30</v>
      </c>
      <c r="B13" t="str">
        <f t="shared" si="0"/>
        <v>ELECTRICITY_MV_SERVICES</v>
      </c>
      <c r="C13" t="s">
        <v>15</v>
      </c>
      <c r="D13" t="s">
        <v>14</v>
      </c>
      <c r="E13" t="s">
        <v>32</v>
      </c>
      <c r="F13">
        <f>v3_Éric!$E$8/100*VLOOKUP(B13,Value_2023!A:D,4,FALSE)</f>
        <v>3523.39</v>
      </c>
    </row>
    <row r="14" spans="1:7" x14ac:dyDescent="0.35">
      <c r="A14" t="s">
        <v>30</v>
      </c>
      <c r="B14" t="str">
        <f t="shared" si="0"/>
        <v>HEAT_HIGH_T_SERVICES</v>
      </c>
      <c r="C14" t="s">
        <v>17</v>
      </c>
      <c r="D14" t="s">
        <v>14</v>
      </c>
      <c r="E14" t="s">
        <v>32</v>
      </c>
      <c r="F14">
        <f>v3_Éric!$E$8/100*VLOOKUP(B14,Value_2023!A:D,4,FALSE)</f>
        <v>1065.93</v>
      </c>
    </row>
    <row r="15" spans="1:7" x14ac:dyDescent="0.35">
      <c r="A15" t="s">
        <v>30</v>
      </c>
      <c r="B15" t="str">
        <f t="shared" si="0"/>
        <v>HEAT_LOW_T_HW_SERVICES</v>
      </c>
      <c r="C15" t="s">
        <v>18</v>
      </c>
      <c r="D15" t="s">
        <v>14</v>
      </c>
      <c r="E15" t="s">
        <v>32</v>
      </c>
      <c r="F15">
        <f>v3_Éric!$E$8/100*VLOOKUP(B15,Value_2023!A:D,4,FALSE)</f>
        <v>2874.75</v>
      </c>
    </row>
    <row r="16" spans="1:7" x14ac:dyDescent="0.35">
      <c r="A16" t="s">
        <v>30</v>
      </c>
      <c r="B16" t="str">
        <f t="shared" si="0"/>
        <v>HEAT_LOW_T_SC_SERVICES</v>
      </c>
      <c r="C16" t="s">
        <v>19</v>
      </c>
      <c r="D16" t="s">
        <v>14</v>
      </c>
      <c r="E16" t="s">
        <v>32</v>
      </c>
      <c r="F16">
        <f>v3_Éric!$E$8/100*VLOOKUP(B16,Value_2023!A:D,4,FALSE)</f>
        <v>2970.86</v>
      </c>
    </row>
    <row r="17" spans="1:6" x14ac:dyDescent="0.35">
      <c r="A17" t="s">
        <v>30</v>
      </c>
      <c r="B17" t="str">
        <f t="shared" si="0"/>
        <v>HEAT_LOW_T_SH_SERVICES</v>
      </c>
      <c r="C17" t="s">
        <v>20</v>
      </c>
      <c r="D17" t="s">
        <v>14</v>
      </c>
      <c r="E17" t="s">
        <v>32</v>
      </c>
      <c r="F17">
        <f>v3_Éric!$E$8/100*VLOOKUP(B17,Value_2023!A:D,4,FALSE)</f>
        <v>20755.02</v>
      </c>
    </row>
    <row r="18" spans="1:6" x14ac:dyDescent="0.35">
      <c r="A18" t="s">
        <v>30</v>
      </c>
      <c r="B18" t="str">
        <f t="shared" si="0"/>
        <v>LIGHTING_SERVICES</v>
      </c>
      <c r="C18" t="s">
        <v>21</v>
      </c>
      <c r="D18" t="s">
        <v>14</v>
      </c>
      <c r="E18" t="s">
        <v>32</v>
      </c>
      <c r="F18">
        <f>v3_Éric!$E$8/100*VLOOKUP(B18,Value_2023!A:D,4,FALSE)</f>
        <v>12036.27</v>
      </c>
    </row>
    <row r="19" spans="1:6" x14ac:dyDescent="0.35">
      <c r="A19" t="s">
        <v>30</v>
      </c>
      <c r="B19" t="str">
        <f t="shared" si="0"/>
        <v>ELECTRICITY_MV_AGRICULTURE</v>
      </c>
      <c r="C19" t="s">
        <v>15</v>
      </c>
      <c r="D19" t="s">
        <v>16</v>
      </c>
      <c r="E19" t="s">
        <v>32</v>
      </c>
      <c r="F19">
        <f>v3_Éric!$E$9/100*VLOOKUP(Brut!B19,Value_2023!A:D,4,FALSE)</f>
        <v>2982.4049999999997</v>
      </c>
    </row>
    <row r="20" spans="1:6" x14ac:dyDescent="0.35">
      <c r="A20" t="s">
        <v>30</v>
      </c>
      <c r="B20" t="str">
        <f t="shared" si="0"/>
        <v>HEAT_LOW_T_HW_AGRICULTURE</v>
      </c>
      <c r="C20" t="s">
        <v>18</v>
      </c>
      <c r="D20" t="s">
        <v>16</v>
      </c>
      <c r="E20" t="s">
        <v>32</v>
      </c>
      <c r="F20">
        <f>v3_Éric!$E$9/100*VLOOKUP(Brut!B20,Value_2023!A:D,4,FALSE)</f>
        <v>182.595</v>
      </c>
    </row>
    <row r="21" spans="1:6" x14ac:dyDescent="0.35">
      <c r="A21" t="s">
        <v>30</v>
      </c>
      <c r="B21" t="str">
        <f t="shared" si="0"/>
        <v>HEAT_LOW_T_SH_AGRICULTURE</v>
      </c>
      <c r="C21" t="s">
        <v>20</v>
      </c>
      <c r="D21" t="s">
        <v>16</v>
      </c>
      <c r="E21" t="s">
        <v>32</v>
      </c>
      <c r="F21">
        <f>v3_Éric!$E$9/100*VLOOKUP(Brut!B21,Value_2023!A:D,4,FALSE)</f>
        <v>1643.37</v>
      </c>
    </row>
    <row r="22" spans="1:6" x14ac:dyDescent="0.35">
      <c r="A22" t="s">
        <v>30</v>
      </c>
      <c r="B22" t="str">
        <f t="shared" si="0"/>
        <v>LIGHTING_AGRICULTURE</v>
      </c>
      <c r="C22" t="s">
        <v>21</v>
      </c>
      <c r="D22" t="s">
        <v>16</v>
      </c>
      <c r="E22" t="s">
        <v>32</v>
      </c>
      <c r="F22">
        <f>v3_Éric!$E$9/100*VLOOKUP(Brut!B22,Value_2023!A:D,4,FALSE)</f>
        <v>124.26</v>
      </c>
    </row>
    <row r="23" spans="1:6" x14ac:dyDescent="0.35">
      <c r="A23" t="s">
        <v>30</v>
      </c>
      <c r="B23" t="str">
        <f t="shared" si="0"/>
        <v>MOBILITY_FREIGHT_SD_AGRICULTURE</v>
      </c>
      <c r="C23" t="s">
        <v>26</v>
      </c>
      <c r="D23" t="s">
        <v>16</v>
      </c>
      <c r="E23" t="s">
        <v>32</v>
      </c>
      <c r="F23">
        <f>v3_Éric!$E$9/100*VLOOKUP(Brut!B23,Value_2023!A:D,4,FALSE)</f>
        <v>4854.1499999999996</v>
      </c>
    </row>
    <row r="24" spans="1:6" x14ac:dyDescent="0.35">
      <c r="A24" t="s">
        <v>30</v>
      </c>
      <c r="B24" t="str">
        <f t="shared" si="0"/>
        <v>MOBILITY_PASSENGER_LD_TRANSPORTATION</v>
      </c>
      <c r="C24" t="s">
        <v>27</v>
      </c>
      <c r="D24" t="s">
        <v>23</v>
      </c>
      <c r="E24" t="s">
        <v>33</v>
      </c>
      <c r="F24">
        <f>v3_Éric!E11/100*VLOOKUP(Brut!B24,Value_2023!A:D,4,FALSE)</f>
        <v>41413.429200000006</v>
      </c>
    </row>
    <row r="25" spans="1:6" x14ac:dyDescent="0.35">
      <c r="A25" t="s">
        <v>30</v>
      </c>
      <c r="B25" t="str">
        <f t="shared" si="0"/>
        <v>MOBILITY_PASSENGER_MD_TRANSPORTATION</v>
      </c>
      <c r="C25" t="s">
        <v>28</v>
      </c>
      <c r="D25" t="s">
        <v>23</v>
      </c>
      <c r="E25" t="s">
        <v>33</v>
      </c>
      <c r="F25">
        <f>v3_Éric!E12/100*VLOOKUP(Brut!B25,Value_2023!A:D,4,FALSE)</f>
        <v>36950.575199999999</v>
      </c>
    </row>
    <row r="26" spans="1:6" x14ac:dyDescent="0.35">
      <c r="A26" t="s">
        <v>30</v>
      </c>
      <c r="B26" t="str">
        <f t="shared" si="0"/>
        <v>MOBILITY_PASSENGER_SD_TRANSPORTATION</v>
      </c>
      <c r="C26" t="s">
        <v>29</v>
      </c>
      <c r="D26" t="s">
        <v>23</v>
      </c>
      <c r="E26" t="s">
        <v>33</v>
      </c>
      <c r="F26">
        <f>v3_Éric!E13/100*VLOOKUP(Brut!B26,Value_2023!A:D,4,FALSE)</f>
        <v>6427.1490000000003</v>
      </c>
    </row>
    <row r="27" spans="1:6" x14ac:dyDescent="0.35">
      <c r="A27" t="s">
        <v>30</v>
      </c>
      <c r="B27" t="str">
        <f t="shared" si="0"/>
        <v>MOBILITY_FREIGHT_ELD_TRANSPORTATION</v>
      </c>
      <c r="C27" t="s">
        <v>22</v>
      </c>
      <c r="D27" t="s">
        <v>23</v>
      </c>
      <c r="E27" t="s">
        <v>34</v>
      </c>
      <c r="F27">
        <f>v3_Éric!$E$23/100*VLOOKUP(Brut!B27,Value_2023!A:D,4,FALSE)</f>
        <v>44077.036</v>
      </c>
    </row>
    <row r="28" spans="1:6" x14ac:dyDescent="0.35">
      <c r="A28" t="s">
        <v>30</v>
      </c>
      <c r="B28" t="str">
        <f t="shared" si="0"/>
        <v>MOBILITY_FREIGHT_LD_TRANSPORTATION</v>
      </c>
      <c r="C28" t="s">
        <v>24</v>
      </c>
      <c r="D28" t="s">
        <v>23</v>
      </c>
      <c r="E28" t="s">
        <v>34</v>
      </c>
      <c r="F28">
        <f>v3_Éric!$E$23/100*VLOOKUP(Brut!B28,Value_2023!A:D,4,FALSE)</f>
        <v>8719.1320000000014</v>
      </c>
    </row>
    <row r="29" spans="1:6" x14ac:dyDescent="0.35">
      <c r="A29" t="s">
        <v>30</v>
      </c>
      <c r="B29" t="str">
        <f t="shared" si="0"/>
        <v>MOBILITY_FREIGHT_MD_TRANSPORTATION</v>
      </c>
      <c r="C29" t="s">
        <v>25</v>
      </c>
      <c r="D29" t="s">
        <v>23</v>
      </c>
      <c r="E29" t="s">
        <v>34</v>
      </c>
      <c r="F29">
        <f>v3_Éric!$E$23/100*VLOOKUP(Brut!B29,Value_2023!A:D,4,FALSE)</f>
        <v>11349.296000000002</v>
      </c>
    </row>
    <row r="30" spans="1:6" x14ac:dyDescent="0.35">
      <c r="A30" t="s">
        <v>30</v>
      </c>
      <c r="B30" t="str">
        <f t="shared" si="0"/>
        <v>MOBILITY_FREIGHT_SD_TRANSPORTATION</v>
      </c>
      <c r="C30" t="s">
        <v>26</v>
      </c>
      <c r="D30" t="s">
        <v>23</v>
      </c>
      <c r="E30" t="s">
        <v>34</v>
      </c>
      <c r="F30">
        <f>v3_Éric!$E$23/100*VLOOKUP(Brut!B30,Value_2023!A:D,4,FALSE)</f>
        <v>3583.8879999999999</v>
      </c>
    </row>
    <row r="31" spans="1:6" x14ac:dyDescent="0.35">
      <c r="A31" t="s">
        <v>30</v>
      </c>
      <c r="B31" t="str">
        <f t="shared" si="0"/>
        <v>ELECTRICITY_EHV_EXPORT_EXPORT</v>
      </c>
      <c r="C31" t="s">
        <v>9</v>
      </c>
      <c r="D31" t="s">
        <v>10</v>
      </c>
      <c r="E31" t="s">
        <v>32</v>
      </c>
      <c r="F31">
        <f>v3_Éric!$E$25/100*VLOOKUP(Brut!B31,Value_2023!A:D,4,FALSE)</f>
        <v>17778</v>
      </c>
    </row>
    <row r="32" spans="1:6" x14ac:dyDescent="0.35">
      <c r="A32" t="s">
        <v>88</v>
      </c>
      <c r="C32" t="s">
        <v>78</v>
      </c>
      <c r="E32" t="s">
        <v>114</v>
      </c>
      <c r="F32" s="4">
        <v>1000000</v>
      </c>
    </row>
    <row r="33" spans="1:7" x14ac:dyDescent="0.35">
      <c r="A33" t="s">
        <v>88</v>
      </c>
      <c r="C33" t="s">
        <v>139</v>
      </c>
      <c r="E33" t="s">
        <v>114</v>
      </c>
      <c r="F33">
        <v>2000</v>
      </c>
    </row>
    <row r="34" spans="1:7" x14ac:dyDescent="0.35">
      <c r="A34" t="s">
        <v>88</v>
      </c>
      <c r="C34" t="s">
        <v>140</v>
      </c>
      <c r="E34" t="s">
        <v>114</v>
      </c>
      <c r="F34">
        <v>2000</v>
      </c>
    </row>
    <row r="35" spans="1:7" x14ac:dyDescent="0.35">
      <c r="A35" t="s">
        <v>89</v>
      </c>
      <c r="C35" t="s">
        <v>97</v>
      </c>
      <c r="E35" t="s">
        <v>32</v>
      </c>
      <c r="F35">
        <f>v3_Éric!E28/100*'2023_r'!$C2</f>
        <v>0</v>
      </c>
      <c r="G35" t="s">
        <v>102</v>
      </c>
    </row>
    <row r="36" spans="1:7" x14ac:dyDescent="0.35">
      <c r="A36" t="s">
        <v>89</v>
      </c>
      <c r="C36" t="s">
        <v>98</v>
      </c>
      <c r="E36" t="s">
        <v>32</v>
      </c>
      <c r="F36">
        <f>v3_Éric!E29/100*'2023_r'!$C3</f>
        <v>0</v>
      </c>
      <c r="G36" t="s">
        <v>103</v>
      </c>
    </row>
    <row r="37" spans="1:7" x14ac:dyDescent="0.35">
      <c r="A37" t="s">
        <v>89</v>
      </c>
      <c r="C37" t="s">
        <v>99</v>
      </c>
      <c r="E37" t="s">
        <v>32</v>
      </c>
      <c r="F37">
        <f>v3_Éric!E30/100*'2023_r'!$C4</f>
        <v>0</v>
      </c>
      <c r="G37" t="s">
        <v>104</v>
      </c>
    </row>
    <row r="38" spans="1:7" x14ac:dyDescent="0.35">
      <c r="A38" t="s">
        <v>89</v>
      </c>
      <c r="C38" t="s">
        <v>100</v>
      </c>
      <c r="E38" t="s">
        <v>32</v>
      </c>
      <c r="F38">
        <f>v3_Éric!E31/100*'2023_r'!$C5</f>
        <v>0</v>
      </c>
      <c r="G38" t="s">
        <v>105</v>
      </c>
    </row>
    <row r="39" spans="1:7" x14ac:dyDescent="0.35">
      <c r="A39" t="s">
        <v>89</v>
      </c>
      <c r="C39" t="s">
        <v>101</v>
      </c>
      <c r="E39" t="s">
        <v>32</v>
      </c>
      <c r="F39">
        <f>v3_Éric!E32/100*'2023_r'!$C6</f>
        <v>1988</v>
      </c>
      <c r="G39" t="s">
        <v>106</v>
      </c>
    </row>
    <row r="40" spans="1:7" x14ac:dyDescent="0.35">
      <c r="A40" t="s">
        <v>89</v>
      </c>
      <c r="C40" t="s">
        <v>142</v>
      </c>
      <c r="E40" t="s">
        <v>32</v>
      </c>
      <c r="F40">
        <f>v3_Éric!E33/100*'2023_r'!$C7</f>
        <v>0</v>
      </c>
    </row>
    <row r="41" spans="1:7" x14ac:dyDescent="0.35">
      <c r="A41" t="s">
        <v>129</v>
      </c>
      <c r="E41" t="s">
        <v>111</v>
      </c>
      <c r="F41">
        <f>v3_Éric!E$24/100*'2023_r'!C8</f>
        <v>0.93074999999999997</v>
      </c>
    </row>
    <row r="42" spans="1:7" x14ac:dyDescent="0.35">
      <c r="A42" t="s">
        <v>130</v>
      </c>
      <c r="E42" t="s">
        <v>111</v>
      </c>
      <c r="F42">
        <f>v3_Éric!E$24/100*'2023_r'!C8</f>
        <v>0.93074999999999997</v>
      </c>
    </row>
    <row r="43" spans="1:7" x14ac:dyDescent="0.35">
      <c r="A43" t="s">
        <v>131</v>
      </c>
      <c r="E43" t="s">
        <v>111</v>
      </c>
      <c r="F43">
        <f>v3_Éric!E$24/100*'2023_r'!C9</f>
        <v>0.55224999999999991</v>
      </c>
    </row>
    <row r="44" spans="1:7" x14ac:dyDescent="0.35">
      <c r="A44" t="s">
        <v>132</v>
      </c>
      <c r="E44" t="s">
        <v>111</v>
      </c>
      <c r="F44">
        <f>v3_Éric!E$24/100*'2023_r'!C9</f>
        <v>0.55224999999999991</v>
      </c>
    </row>
    <row r="45" spans="1:7" x14ac:dyDescent="0.35">
      <c r="A45" t="s">
        <v>133</v>
      </c>
      <c r="E45" t="s">
        <v>111</v>
      </c>
      <c r="F45">
        <f>MIN(1-F43,'2023_r'!C10)</f>
        <v>0.44775000000000009</v>
      </c>
    </row>
    <row r="46" spans="1:7" x14ac:dyDescent="0.35">
      <c r="A46" t="s">
        <v>134</v>
      </c>
      <c r="E46" t="s">
        <v>111</v>
      </c>
      <c r="F46">
        <f>MIN(1-F44,'2023_r'!C10)</f>
        <v>0.44775000000000009</v>
      </c>
    </row>
    <row r="47" spans="1:7" x14ac:dyDescent="0.35">
      <c r="A47" t="s">
        <v>137</v>
      </c>
      <c r="E47" t="s">
        <v>111</v>
      </c>
      <c r="F47">
        <f>MIN(1-F43-F45, '2023_r'!C11)</f>
        <v>0</v>
      </c>
    </row>
    <row r="48" spans="1:7" x14ac:dyDescent="0.35">
      <c r="A48" t="s">
        <v>138</v>
      </c>
      <c r="E48" t="s">
        <v>111</v>
      </c>
      <c r="F48">
        <f>MIN(1-F44-F46, '2023_r'!C11)</f>
        <v>0</v>
      </c>
    </row>
    <row r="49" spans="1:6" x14ac:dyDescent="0.35">
      <c r="A49" t="s">
        <v>96</v>
      </c>
      <c r="C49" t="s">
        <v>117</v>
      </c>
      <c r="E49" t="s">
        <v>111</v>
      </c>
      <c r="F49">
        <f>v3_Éric!E18</f>
        <v>0.05</v>
      </c>
    </row>
    <row r="50" spans="1:6" x14ac:dyDescent="0.35">
      <c r="A50" t="s">
        <v>96</v>
      </c>
      <c r="C50" t="s">
        <v>118</v>
      </c>
      <c r="E50" t="s">
        <v>111</v>
      </c>
      <c r="F50">
        <f>v3_Éric!E19</f>
        <v>0</v>
      </c>
    </row>
    <row r="51" spans="1:6" x14ac:dyDescent="0.35">
      <c r="A51" t="s">
        <v>96</v>
      </c>
      <c r="C51" t="s">
        <v>119</v>
      </c>
      <c r="E51" t="s">
        <v>111</v>
      </c>
      <c r="F51">
        <f>v3_Éric!E20</f>
        <v>0.95</v>
      </c>
    </row>
    <row r="52" spans="1:6" x14ac:dyDescent="0.35">
      <c r="A52" t="s">
        <v>96</v>
      </c>
      <c r="C52" t="s">
        <v>120</v>
      </c>
      <c r="E52" t="s">
        <v>111</v>
      </c>
      <c r="F52">
        <f>v3_Éric!E21</f>
        <v>0</v>
      </c>
    </row>
    <row r="53" spans="1:6" x14ac:dyDescent="0.35">
      <c r="A53" t="s">
        <v>96</v>
      </c>
      <c r="C53" t="s">
        <v>121</v>
      </c>
      <c r="E53" t="s">
        <v>111</v>
      </c>
      <c r="F53">
        <f t="shared" ref="F53:F56" si="1">F49</f>
        <v>0.05</v>
      </c>
    </row>
    <row r="54" spans="1:6" x14ac:dyDescent="0.35">
      <c r="A54" t="s">
        <v>96</v>
      </c>
      <c r="C54" t="s">
        <v>122</v>
      </c>
      <c r="E54" t="s">
        <v>111</v>
      </c>
      <c r="F54">
        <f t="shared" si="1"/>
        <v>0</v>
      </c>
    </row>
    <row r="55" spans="1:6" x14ac:dyDescent="0.35">
      <c r="A55" t="s">
        <v>96</v>
      </c>
      <c r="C55" t="s">
        <v>123</v>
      </c>
      <c r="E55" t="s">
        <v>111</v>
      </c>
      <c r="F55">
        <f t="shared" si="1"/>
        <v>0.95</v>
      </c>
    </row>
    <row r="56" spans="1:6" x14ac:dyDescent="0.35">
      <c r="A56" t="s">
        <v>96</v>
      </c>
      <c r="C56" t="s">
        <v>124</v>
      </c>
      <c r="E56" t="s">
        <v>111</v>
      </c>
      <c r="F56">
        <f t="shared" si="1"/>
        <v>0</v>
      </c>
    </row>
    <row r="57" spans="1:6" x14ac:dyDescent="0.35">
      <c r="A57" t="s">
        <v>96</v>
      </c>
      <c r="C57" t="s">
        <v>125</v>
      </c>
      <c r="E57" t="s">
        <v>111</v>
      </c>
      <c r="F57">
        <f t="shared" ref="F57:F60" si="2">F49</f>
        <v>0.05</v>
      </c>
    </row>
    <row r="58" spans="1:6" x14ac:dyDescent="0.35">
      <c r="A58" t="s">
        <v>96</v>
      </c>
      <c r="C58" t="s">
        <v>126</v>
      </c>
      <c r="E58" t="s">
        <v>111</v>
      </c>
      <c r="F58">
        <f t="shared" si="2"/>
        <v>0</v>
      </c>
    </row>
    <row r="59" spans="1:6" x14ac:dyDescent="0.35">
      <c r="A59" t="s">
        <v>96</v>
      </c>
      <c r="C59" t="s">
        <v>127</v>
      </c>
      <c r="E59" t="s">
        <v>111</v>
      </c>
      <c r="F59">
        <f t="shared" si="2"/>
        <v>0.95</v>
      </c>
    </row>
    <row r="60" spans="1:6" x14ac:dyDescent="0.35">
      <c r="A60" t="s">
        <v>96</v>
      </c>
      <c r="C60" t="s">
        <v>128</v>
      </c>
      <c r="E60" t="s">
        <v>111</v>
      </c>
      <c r="F60">
        <f t="shared" si="2"/>
        <v>0</v>
      </c>
    </row>
    <row r="61" spans="1:6" x14ac:dyDescent="0.35">
      <c r="A61" t="s">
        <v>107</v>
      </c>
      <c r="E61" t="s">
        <v>111</v>
      </c>
      <c r="F61">
        <f>(1-(1-'2023_r'!C12) * v3_Éric!E15/100)</f>
        <v>0.82291999999999998</v>
      </c>
    </row>
    <row r="62" spans="1:6" x14ac:dyDescent="0.35">
      <c r="A62" t="s">
        <v>108</v>
      </c>
      <c r="E62" t="s">
        <v>111</v>
      </c>
      <c r="F62">
        <f>F61</f>
        <v>0.82291999999999998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7F68-D0A1-4050-A57C-DAD31300DC3E}">
  <dimension ref="A1:G62"/>
  <sheetViews>
    <sheetView topLeftCell="A58" zoomScale="85" zoomScaleNormal="85" workbookViewId="0">
      <selection activeCell="F62" sqref="F62"/>
    </sheetView>
  </sheetViews>
  <sheetFormatPr defaultColWidth="10.90625" defaultRowHeight="14.5" x14ac:dyDescent="0.35"/>
  <cols>
    <col min="1" max="1" width="27.81640625" bestFit="1" customWidth="1"/>
    <col min="2" max="2" width="39" bestFit="1" customWidth="1"/>
    <col min="3" max="3" width="22.90625" bestFit="1" customWidth="1"/>
    <col min="4" max="4" width="15.81640625" bestFit="1" customWidth="1"/>
    <col min="5" max="5" width="8.81640625" bestFit="1" customWidth="1"/>
    <col min="6" max="6" width="10.81640625" bestFit="1" customWidth="1"/>
    <col min="7" max="7" width="27.54296875" bestFit="1" customWidth="1"/>
  </cols>
  <sheetData>
    <row r="1" spans="1:7" s="2" customFormat="1" x14ac:dyDescent="0.35">
      <c r="A1" s="2" t="s">
        <v>35</v>
      </c>
      <c r="B1" s="2" t="s">
        <v>74</v>
      </c>
      <c r="C1" s="2" t="s">
        <v>36</v>
      </c>
      <c r="D1" s="2" t="s">
        <v>37</v>
      </c>
      <c r="E1" s="2" t="s">
        <v>31</v>
      </c>
      <c r="F1" s="2" t="s">
        <v>38</v>
      </c>
      <c r="G1" s="2" t="s">
        <v>40</v>
      </c>
    </row>
    <row r="2" spans="1:7" x14ac:dyDescent="0.35">
      <c r="A2" t="s">
        <v>30</v>
      </c>
      <c r="B2" t="str">
        <f>_xlfn.CONCAT(C2,"_",D2)</f>
        <v>ELECTRICITY_EHV_INDUSTRY</v>
      </c>
      <c r="C2" t="s">
        <v>7</v>
      </c>
      <c r="D2" t="s">
        <v>8</v>
      </c>
      <c r="E2" t="s">
        <v>32</v>
      </c>
      <c r="F2">
        <f>v3_Éric!$E$3/100*VLOOKUP(Brut!B2,Value_2023!A:D,4,FALSE)</f>
        <v>4962.7829999999994</v>
      </c>
    </row>
    <row r="3" spans="1:7" x14ac:dyDescent="0.35">
      <c r="A3" t="s">
        <v>30</v>
      </c>
      <c r="B3" t="str">
        <f t="shared" ref="B3:B31" si="0">_xlfn.CONCAT(C3,"_",D3)</f>
        <v>ELECTRICITY_HV_INDUSTRY</v>
      </c>
      <c r="C3" t="s">
        <v>11</v>
      </c>
      <c r="D3" t="s">
        <v>8</v>
      </c>
      <c r="E3" t="s">
        <v>32</v>
      </c>
      <c r="F3">
        <f>v3_Éric!$E$3/100*VLOOKUP(Brut!B3,Value_2023!A:D,4,FALSE)</f>
        <v>51097.353999999999</v>
      </c>
    </row>
    <row r="4" spans="1:7" x14ac:dyDescent="0.35">
      <c r="A4" t="s">
        <v>30</v>
      </c>
      <c r="B4" t="str">
        <f t="shared" si="0"/>
        <v>ELECTRICITY_MV_INDUSTRY</v>
      </c>
      <c r="C4" t="s">
        <v>15</v>
      </c>
      <c r="D4" t="s">
        <v>8</v>
      </c>
      <c r="E4" t="s">
        <v>32</v>
      </c>
      <c r="F4">
        <f>v3_Éric!$E$3/100*VLOOKUP(Brut!B4,Value_2023!A:D,4,FALSE)</f>
        <v>8085.7209999999995</v>
      </c>
    </row>
    <row r="5" spans="1:7" x14ac:dyDescent="0.35">
      <c r="A5" t="s">
        <v>30</v>
      </c>
      <c r="B5" t="str">
        <f t="shared" si="0"/>
        <v>HEAT_HIGH_T_INDUSTRY</v>
      </c>
      <c r="C5" t="s">
        <v>17</v>
      </c>
      <c r="D5" t="s">
        <v>8</v>
      </c>
      <c r="E5" t="s">
        <v>32</v>
      </c>
      <c r="F5">
        <f>v3_Éric!$E$3/100*VLOOKUP(Brut!B5,Value_2023!A:D,4,FALSE)</f>
        <v>52093.593999999997</v>
      </c>
    </row>
    <row r="6" spans="1:7" x14ac:dyDescent="0.35">
      <c r="A6" t="s">
        <v>30</v>
      </c>
      <c r="B6" t="str">
        <f t="shared" si="0"/>
        <v>HEAT_LOW_T_HW_INDUSTRY</v>
      </c>
      <c r="C6" t="s">
        <v>18</v>
      </c>
      <c r="D6" t="s">
        <v>8</v>
      </c>
      <c r="E6" t="s">
        <v>32</v>
      </c>
      <c r="F6">
        <f>v3_Éric!$E$3/100*VLOOKUP(Brut!B6,Value_2023!A:D,4,FALSE)</f>
        <v>433.608</v>
      </c>
    </row>
    <row r="7" spans="1:7" x14ac:dyDescent="0.35">
      <c r="A7" t="s">
        <v>30</v>
      </c>
      <c r="B7" t="str">
        <f t="shared" si="0"/>
        <v>HEAT_LOW_T_SH_INDUSTRY</v>
      </c>
      <c r="C7" t="s">
        <v>20</v>
      </c>
      <c r="D7" t="s">
        <v>8</v>
      </c>
      <c r="E7" t="s">
        <v>32</v>
      </c>
      <c r="F7">
        <f>v3_Éric!$E$3/100*VLOOKUP(Brut!B7,Value_2023!A:D,4,FALSE)</f>
        <v>2267.3839999999996</v>
      </c>
    </row>
    <row r="8" spans="1:7" x14ac:dyDescent="0.35">
      <c r="A8" t="s">
        <v>30</v>
      </c>
      <c r="B8" t="str">
        <f t="shared" si="0"/>
        <v>LIGHTING_INDUSTRY</v>
      </c>
      <c r="C8" t="s">
        <v>21</v>
      </c>
      <c r="D8" t="s">
        <v>8</v>
      </c>
      <c r="E8" t="s">
        <v>32</v>
      </c>
      <c r="F8">
        <f>v3_Éric!$E$3/100*VLOOKUP(Brut!B8,Value_2023!A:D,4,FALSE)</f>
        <v>4094.4189999999999</v>
      </c>
    </row>
    <row r="9" spans="1:7" x14ac:dyDescent="0.35">
      <c r="A9" t="s">
        <v>30</v>
      </c>
      <c r="B9" t="str">
        <f t="shared" si="0"/>
        <v>HEAT_LOW_T_HW_HOUSEHOLDS</v>
      </c>
      <c r="C9" t="s">
        <v>18</v>
      </c>
      <c r="D9" t="s">
        <v>13</v>
      </c>
      <c r="E9" t="s">
        <v>32</v>
      </c>
      <c r="F9">
        <f>v3_Éric!$E$5/100*VLOOKUP(Brut!B9,Value_2023!A:D,4,FALSE)</f>
        <v>6657.96</v>
      </c>
    </row>
    <row r="10" spans="1:7" x14ac:dyDescent="0.35">
      <c r="A10" t="s">
        <v>30</v>
      </c>
      <c r="B10" t="str">
        <f t="shared" si="0"/>
        <v>ELECTRICITY_LV_HOUSEHOLDS</v>
      </c>
      <c r="C10" t="s">
        <v>12</v>
      </c>
      <c r="D10" t="s">
        <v>13</v>
      </c>
      <c r="E10" t="s">
        <v>32</v>
      </c>
      <c r="F10">
        <f>v3_Éric!$E$6/100*VLOOKUP(Brut!B10,Value_2023!A:D,4,FALSE)</f>
        <v>8117.96</v>
      </c>
    </row>
    <row r="11" spans="1:7" x14ac:dyDescent="0.35">
      <c r="A11" t="s">
        <v>30</v>
      </c>
      <c r="B11" t="str">
        <f t="shared" si="0"/>
        <v>HEAT_LOW_T_SH_HOUSEHOLDS</v>
      </c>
      <c r="C11" t="s">
        <v>20</v>
      </c>
      <c r="D11" t="s">
        <v>13</v>
      </c>
      <c r="E11" t="s">
        <v>32</v>
      </c>
      <c r="F11">
        <f>v3_Éric!$E$7/100*VLOOKUP(Brut!B11,Value_2023!A:D,4,FALSE)</f>
        <v>27126.26</v>
      </c>
    </row>
    <row r="12" spans="1:7" x14ac:dyDescent="0.35">
      <c r="A12" t="s">
        <v>30</v>
      </c>
      <c r="B12" t="str">
        <f t="shared" si="0"/>
        <v>ELECTRICITY_LV_SERVICES</v>
      </c>
      <c r="C12" t="s">
        <v>12</v>
      </c>
      <c r="D12" t="s">
        <v>14</v>
      </c>
      <c r="E12" t="s">
        <v>32</v>
      </c>
      <c r="F12">
        <f>v3_Éric!$E$8/100*VLOOKUP(B12,Value_2023!A:D,4,FALSE)</f>
        <v>11233.79</v>
      </c>
    </row>
    <row r="13" spans="1:7" x14ac:dyDescent="0.35">
      <c r="A13" t="s">
        <v>30</v>
      </c>
      <c r="B13" t="str">
        <f t="shared" si="0"/>
        <v>ELECTRICITY_MV_SERVICES</v>
      </c>
      <c r="C13" t="s">
        <v>15</v>
      </c>
      <c r="D13" t="s">
        <v>14</v>
      </c>
      <c r="E13" t="s">
        <v>32</v>
      </c>
      <c r="F13">
        <f>v3_Éric!$E$8/100*VLOOKUP(B13,Value_2023!A:D,4,FALSE)</f>
        <v>3523.39</v>
      </c>
    </row>
    <row r="14" spans="1:7" x14ac:dyDescent="0.35">
      <c r="A14" t="s">
        <v>30</v>
      </c>
      <c r="B14" t="str">
        <f t="shared" si="0"/>
        <v>HEAT_HIGH_T_SERVICES</v>
      </c>
      <c r="C14" t="s">
        <v>17</v>
      </c>
      <c r="D14" t="s">
        <v>14</v>
      </c>
      <c r="E14" t="s">
        <v>32</v>
      </c>
      <c r="F14">
        <f>v3_Éric!$E$8/100*VLOOKUP(B14,Value_2023!A:D,4,FALSE)</f>
        <v>1065.93</v>
      </c>
    </row>
    <row r="15" spans="1:7" x14ac:dyDescent="0.35">
      <c r="A15" t="s">
        <v>30</v>
      </c>
      <c r="B15" t="str">
        <f t="shared" si="0"/>
        <v>HEAT_LOW_T_HW_SERVICES</v>
      </c>
      <c r="C15" t="s">
        <v>18</v>
      </c>
      <c r="D15" t="s">
        <v>14</v>
      </c>
      <c r="E15" t="s">
        <v>32</v>
      </c>
      <c r="F15">
        <f>v3_Éric!$E$8/100*VLOOKUP(B15,Value_2023!A:D,4,FALSE)</f>
        <v>2874.75</v>
      </c>
    </row>
    <row r="16" spans="1:7" x14ac:dyDescent="0.35">
      <c r="A16" t="s">
        <v>30</v>
      </c>
      <c r="B16" t="str">
        <f t="shared" si="0"/>
        <v>HEAT_LOW_T_SC_SERVICES</v>
      </c>
      <c r="C16" t="s">
        <v>19</v>
      </c>
      <c r="D16" t="s">
        <v>14</v>
      </c>
      <c r="E16" t="s">
        <v>32</v>
      </c>
      <c r="F16">
        <f>v3_Éric!$E$8/100*VLOOKUP(B16,Value_2023!A:D,4,FALSE)</f>
        <v>2970.86</v>
      </c>
    </row>
    <row r="17" spans="1:6" x14ac:dyDescent="0.35">
      <c r="A17" t="s">
        <v>30</v>
      </c>
      <c r="B17" t="str">
        <f t="shared" si="0"/>
        <v>HEAT_LOW_T_SH_SERVICES</v>
      </c>
      <c r="C17" t="s">
        <v>20</v>
      </c>
      <c r="D17" t="s">
        <v>14</v>
      </c>
      <c r="E17" t="s">
        <v>32</v>
      </c>
      <c r="F17">
        <f>v3_Éric!$E$8/100*VLOOKUP(B17,Value_2023!A:D,4,FALSE)</f>
        <v>20755.02</v>
      </c>
    </row>
    <row r="18" spans="1:6" x14ac:dyDescent="0.35">
      <c r="A18" t="s">
        <v>30</v>
      </c>
      <c r="B18" t="str">
        <f t="shared" si="0"/>
        <v>LIGHTING_SERVICES</v>
      </c>
      <c r="C18" t="s">
        <v>21</v>
      </c>
      <c r="D18" t="s">
        <v>14</v>
      </c>
      <c r="E18" t="s">
        <v>32</v>
      </c>
      <c r="F18">
        <f>v3_Éric!$E$8/100*VLOOKUP(B18,Value_2023!A:D,4,FALSE)</f>
        <v>12036.27</v>
      </c>
    </row>
    <row r="19" spans="1:6" x14ac:dyDescent="0.35">
      <c r="A19" t="s">
        <v>30</v>
      </c>
      <c r="B19" t="str">
        <f t="shared" si="0"/>
        <v>ELECTRICITY_MV_AGRICULTURE</v>
      </c>
      <c r="C19" t="s">
        <v>15</v>
      </c>
      <c r="D19" t="s">
        <v>16</v>
      </c>
      <c r="E19" t="s">
        <v>32</v>
      </c>
      <c r="F19">
        <f>v3_Éric!$E$9/100*VLOOKUP(Brut!B19,Value_2023!A:D,4,FALSE)</f>
        <v>2982.4049999999997</v>
      </c>
    </row>
    <row r="20" spans="1:6" x14ac:dyDescent="0.35">
      <c r="A20" t="s">
        <v>30</v>
      </c>
      <c r="B20" t="str">
        <f t="shared" si="0"/>
        <v>HEAT_LOW_T_HW_AGRICULTURE</v>
      </c>
      <c r="C20" t="s">
        <v>18</v>
      </c>
      <c r="D20" t="s">
        <v>16</v>
      </c>
      <c r="E20" t="s">
        <v>32</v>
      </c>
      <c r="F20">
        <f>v3_Éric!$E$9/100*VLOOKUP(Brut!B20,Value_2023!A:D,4,FALSE)</f>
        <v>182.595</v>
      </c>
    </row>
    <row r="21" spans="1:6" x14ac:dyDescent="0.35">
      <c r="A21" t="s">
        <v>30</v>
      </c>
      <c r="B21" t="str">
        <f t="shared" si="0"/>
        <v>HEAT_LOW_T_SH_AGRICULTURE</v>
      </c>
      <c r="C21" t="s">
        <v>20</v>
      </c>
      <c r="D21" t="s">
        <v>16</v>
      </c>
      <c r="E21" t="s">
        <v>32</v>
      </c>
      <c r="F21">
        <f>v3_Éric!$E$9/100*VLOOKUP(Brut!B21,Value_2023!A:D,4,FALSE)</f>
        <v>1643.37</v>
      </c>
    </row>
    <row r="22" spans="1:6" x14ac:dyDescent="0.35">
      <c r="A22" t="s">
        <v>30</v>
      </c>
      <c r="B22" t="str">
        <f t="shared" si="0"/>
        <v>LIGHTING_AGRICULTURE</v>
      </c>
      <c r="C22" t="s">
        <v>21</v>
      </c>
      <c r="D22" t="s">
        <v>16</v>
      </c>
      <c r="E22" t="s">
        <v>32</v>
      </c>
      <c r="F22">
        <f>v3_Éric!$E$9/100*VLOOKUP(Brut!B22,Value_2023!A:D,4,FALSE)</f>
        <v>124.26</v>
      </c>
    </row>
    <row r="23" spans="1:6" x14ac:dyDescent="0.35">
      <c r="A23" t="s">
        <v>30</v>
      </c>
      <c r="B23" t="str">
        <f t="shared" si="0"/>
        <v>MOBILITY_FREIGHT_SD_AGRICULTURE</v>
      </c>
      <c r="C23" t="s">
        <v>26</v>
      </c>
      <c r="D23" t="s">
        <v>16</v>
      </c>
      <c r="E23" t="s">
        <v>32</v>
      </c>
      <c r="F23">
        <f>v3_Éric!$E$9/100*VLOOKUP(Brut!B23,Value_2023!A:D,4,FALSE)</f>
        <v>4854.1499999999996</v>
      </c>
    </row>
    <row r="24" spans="1:6" x14ac:dyDescent="0.35">
      <c r="A24" t="s">
        <v>30</v>
      </c>
      <c r="B24" t="str">
        <f t="shared" si="0"/>
        <v>MOBILITY_PASSENGER_LD_TRANSPORTATION</v>
      </c>
      <c r="C24" t="s">
        <v>27</v>
      </c>
      <c r="D24" t="s">
        <v>23</v>
      </c>
      <c r="E24" t="s">
        <v>33</v>
      </c>
      <c r="F24">
        <f>v3_Éric!E11/100*VLOOKUP(Brut!B24,Value_2023!A:D,4,FALSE)</f>
        <v>41413.429200000006</v>
      </c>
    </row>
    <row r="25" spans="1:6" x14ac:dyDescent="0.35">
      <c r="A25" t="s">
        <v>30</v>
      </c>
      <c r="B25" t="str">
        <f t="shared" si="0"/>
        <v>MOBILITY_PASSENGER_MD_TRANSPORTATION</v>
      </c>
      <c r="C25" t="s">
        <v>28</v>
      </c>
      <c r="D25" t="s">
        <v>23</v>
      </c>
      <c r="E25" t="s">
        <v>33</v>
      </c>
      <c r="F25">
        <f>v3_Éric!E12/100*VLOOKUP(Brut!B25,Value_2023!A:D,4,FALSE)</f>
        <v>36950.575199999999</v>
      </c>
    </row>
    <row r="26" spans="1:6" x14ac:dyDescent="0.35">
      <c r="A26" t="s">
        <v>30</v>
      </c>
      <c r="B26" t="str">
        <f t="shared" si="0"/>
        <v>MOBILITY_PASSENGER_SD_TRANSPORTATION</v>
      </c>
      <c r="C26" t="s">
        <v>29</v>
      </c>
      <c r="D26" t="s">
        <v>23</v>
      </c>
      <c r="E26" t="s">
        <v>33</v>
      </c>
      <c r="F26">
        <f>v3_Éric!E13/100*VLOOKUP(Brut!B26,Value_2023!A:D,4,FALSE)</f>
        <v>6427.1490000000003</v>
      </c>
    </row>
    <row r="27" spans="1:6" x14ac:dyDescent="0.35">
      <c r="A27" t="s">
        <v>30</v>
      </c>
      <c r="B27" t="str">
        <f t="shared" si="0"/>
        <v>MOBILITY_FREIGHT_ELD_TRANSPORTATION</v>
      </c>
      <c r="C27" t="s">
        <v>22</v>
      </c>
      <c r="D27" t="s">
        <v>23</v>
      </c>
      <c r="E27" t="s">
        <v>34</v>
      </c>
      <c r="F27">
        <f>v3_Éric!$E$23/100*VLOOKUP(Brut!B27,Value_2023!A:D,4,FALSE)</f>
        <v>44077.036</v>
      </c>
    </row>
    <row r="28" spans="1:6" x14ac:dyDescent="0.35">
      <c r="A28" t="s">
        <v>30</v>
      </c>
      <c r="B28" t="str">
        <f t="shared" si="0"/>
        <v>MOBILITY_FREIGHT_LD_TRANSPORTATION</v>
      </c>
      <c r="C28" t="s">
        <v>24</v>
      </c>
      <c r="D28" t="s">
        <v>23</v>
      </c>
      <c r="E28" t="s">
        <v>34</v>
      </c>
      <c r="F28">
        <f>v3_Éric!$E$23/100*VLOOKUP(Brut!B28,Value_2023!A:D,4,FALSE)</f>
        <v>8719.1320000000014</v>
      </c>
    </row>
    <row r="29" spans="1:6" x14ac:dyDescent="0.35">
      <c r="A29" t="s">
        <v>30</v>
      </c>
      <c r="B29" t="str">
        <f t="shared" si="0"/>
        <v>MOBILITY_FREIGHT_MD_TRANSPORTATION</v>
      </c>
      <c r="C29" t="s">
        <v>25</v>
      </c>
      <c r="D29" t="s">
        <v>23</v>
      </c>
      <c r="E29" t="s">
        <v>34</v>
      </c>
      <c r="F29">
        <f>v3_Éric!$E$23/100*VLOOKUP(Brut!B29,Value_2023!A:D,4,FALSE)</f>
        <v>11349.296000000002</v>
      </c>
    </row>
    <row r="30" spans="1:6" x14ac:dyDescent="0.35">
      <c r="A30" t="s">
        <v>30</v>
      </c>
      <c r="B30" t="str">
        <f t="shared" si="0"/>
        <v>MOBILITY_FREIGHT_SD_TRANSPORTATION</v>
      </c>
      <c r="C30" t="s">
        <v>26</v>
      </c>
      <c r="D30" t="s">
        <v>23</v>
      </c>
      <c r="E30" t="s">
        <v>34</v>
      </c>
      <c r="F30">
        <f>v3_Éric!$E$23/100*VLOOKUP(Brut!B30,Value_2023!A:D,4,FALSE)</f>
        <v>3583.8879999999999</v>
      </c>
    </row>
    <row r="31" spans="1:6" x14ac:dyDescent="0.35">
      <c r="A31" t="s">
        <v>30</v>
      </c>
      <c r="B31" t="str">
        <f t="shared" si="0"/>
        <v>ELECTRICITY_EHV_EXPORT_EXPORT</v>
      </c>
      <c r="C31" t="s">
        <v>9</v>
      </c>
      <c r="D31" t="s">
        <v>10</v>
      </c>
      <c r="E31" t="s">
        <v>32</v>
      </c>
      <c r="F31">
        <f>v3_Éric!$E$25/100*VLOOKUP(Brut!B31,Value_2023!A:D,4,FALSE)</f>
        <v>17778</v>
      </c>
    </row>
    <row r="32" spans="1:6" x14ac:dyDescent="0.35">
      <c r="A32" t="s">
        <v>88</v>
      </c>
      <c r="C32" t="s">
        <v>78</v>
      </c>
      <c r="E32" t="s">
        <v>114</v>
      </c>
      <c r="F32" s="4">
        <v>2000</v>
      </c>
    </row>
    <row r="33" spans="1:7" x14ac:dyDescent="0.35">
      <c r="A33" t="s">
        <v>88</v>
      </c>
      <c r="C33" t="s">
        <v>139</v>
      </c>
      <c r="E33" t="s">
        <v>114</v>
      </c>
      <c r="F33">
        <v>0</v>
      </c>
    </row>
    <row r="34" spans="1:7" x14ac:dyDescent="0.35">
      <c r="A34" t="s">
        <v>88</v>
      </c>
      <c r="C34" t="s">
        <v>140</v>
      </c>
      <c r="E34" t="s">
        <v>114</v>
      </c>
      <c r="F34">
        <v>0</v>
      </c>
    </row>
    <row r="35" spans="1:7" x14ac:dyDescent="0.35">
      <c r="A35" t="s">
        <v>89</v>
      </c>
      <c r="C35" t="s">
        <v>97</v>
      </c>
      <c r="E35" t="s">
        <v>32</v>
      </c>
      <c r="F35">
        <f>v3_Éric!E28/100*'2023_r'!$C2</f>
        <v>0</v>
      </c>
      <c r="G35" t="s">
        <v>102</v>
      </c>
    </row>
    <row r="36" spans="1:7" x14ac:dyDescent="0.35">
      <c r="A36" t="s">
        <v>89</v>
      </c>
      <c r="C36" t="s">
        <v>98</v>
      </c>
      <c r="E36" t="s">
        <v>32</v>
      </c>
      <c r="F36">
        <f>v3_Éric!E29/100*'2023_r'!$C3</f>
        <v>0</v>
      </c>
      <c r="G36" t="s">
        <v>103</v>
      </c>
    </row>
    <row r="37" spans="1:7" x14ac:dyDescent="0.35">
      <c r="A37" t="s">
        <v>89</v>
      </c>
      <c r="C37" t="s">
        <v>99</v>
      </c>
      <c r="E37" t="s">
        <v>32</v>
      </c>
      <c r="F37">
        <f>v3_Éric!E30/100*'2023_r'!$C4</f>
        <v>0</v>
      </c>
      <c r="G37" t="s">
        <v>104</v>
      </c>
    </row>
    <row r="38" spans="1:7" x14ac:dyDescent="0.35">
      <c r="A38" t="s">
        <v>89</v>
      </c>
      <c r="C38" t="s">
        <v>100</v>
      </c>
      <c r="E38" t="s">
        <v>32</v>
      </c>
      <c r="F38">
        <f>v3_Éric!E31/100*'2023_r'!$C5</f>
        <v>0</v>
      </c>
      <c r="G38" t="s">
        <v>105</v>
      </c>
    </row>
    <row r="39" spans="1:7" x14ac:dyDescent="0.35">
      <c r="A39" t="s">
        <v>89</v>
      </c>
      <c r="C39" t="s">
        <v>101</v>
      </c>
      <c r="E39" t="s">
        <v>32</v>
      </c>
      <c r="F39">
        <f>v3_Éric!E32/100*'2023_r'!$C6</f>
        <v>1988</v>
      </c>
      <c r="G39" t="s">
        <v>106</v>
      </c>
    </row>
    <row r="40" spans="1:7" x14ac:dyDescent="0.35">
      <c r="A40" t="s">
        <v>89</v>
      </c>
      <c r="C40" t="s">
        <v>142</v>
      </c>
      <c r="E40" t="s">
        <v>32</v>
      </c>
      <c r="F40">
        <f>v3_Éric!E33/100*'2023_r'!$C7</f>
        <v>0</v>
      </c>
    </row>
    <row r="41" spans="1:7" x14ac:dyDescent="0.35">
      <c r="A41" t="s">
        <v>129</v>
      </c>
      <c r="E41" t="s">
        <v>111</v>
      </c>
      <c r="F41">
        <f>v3_Éric!E$24/100*'2023_r'!C8</f>
        <v>0.93074999999999997</v>
      </c>
    </row>
    <row r="42" spans="1:7" x14ac:dyDescent="0.35">
      <c r="A42" t="s">
        <v>130</v>
      </c>
      <c r="E42" t="s">
        <v>111</v>
      </c>
      <c r="F42">
        <f>v3_Éric!E$24/100*'2023_r'!C8</f>
        <v>0.93074999999999997</v>
      </c>
    </row>
    <row r="43" spans="1:7" x14ac:dyDescent="0.35">
      <c r="A43" t="s">
        <v>131</v>
      </c>
      <c r="E43" t="s">
        <v>111</v>
      </c>
      <c r="F43">
        <f>v3_Éric!E$24/100*'2023_r'!C9</f>
        <v>0.55224999999999991</v>
      </c>
    </row>
    <row r="44" spans="1:7" x14ac:dyDescent="0.35">
      <c r="A44" t="s">
        <v>132</v>
      </c>
      <c r="E44" t="s">
        <v>111</v>
      </c>
      <c r="F44">
        <f>v3_Éric!E$24/100*'2023_r'!C9</f>
        <v>0.55224999999999991</v>
      </c>
    </row>
    <row r="45" spans="1:7" x14ac:dyDescent="0.35">
      <c r="A45" t="s">
        <v>133</v>
      </c>
      <c r="E45" t="s">
        <v>111</v>
      </c>
      <c r="F45">
        <f>MIN(1-F43,'2023_r'!C10)</f>
        <v>0.44775000000000009</v>
      </c>
    </row>
    <row r="46" spans="1:7" x14ac:dyDescent="0.35">
      <c r="A46" t="s">
        <v>134</v>
      </c>
      <c r="E46" t="s">
        <v>111</v>
      </c>
      <c r="F46">
        <f>MIN(1-F44,'2023_r'!C10)</f>
        <v>0.44775000000000009</v>
      </c>
    </row>
    <row r="47" spans="1:7" x14ac:dyDescent="0.35">
      <c r="A47" t="s">
        <v>137</v>
      </c>
      <c r="E47" t="s">
        <v>111</v>
      </c>
      <c r="F47">
        <f>MIN(1-F43-F45, '2023_r'!C11)</f>
        <v>0</v>
      </c>
    </row>
    <row r="48" spans="1:7" x14ac:dyDescent="0.35">
      <c r="A48" t="s">
        <v>138</v>
      </c>
      <c r="E48" t="s">
        <v>111</v>
      </c>
      <c r="F48">
        <f>MIN(1-F44-F46, '2023_r'!C11)</f>
        <v>0</v>
      </c>
    </row>
    <row r="49" spans="1:6" x14ac:dyDescent="0.35">
      <c r="A49" t="s">
        <v>96</v>
      </c>
      <c r="C49" t="s">
        <v>117</v>
      </c>
      <c r="E49" t="s">
        <v>111</v>
      </c>
      <c r="F49">
        <f>v3_Éric!E18</f>
        <v>0.05</v>
      </c>
    </row>
    <row r="50" spans="1:6" x14ac:dyDescent="0.35">
      <c r="A50" t="s">
        <v>96</v>
      </c>
      <c r="C50" t="s">
        <v>118</v>
      </c>
      <c r="E50" t="s">
        <v>111</v>
      </c>
      <c r="F50">
        <f>v3_Éric!E19</f>
        <v>0</v>
      </c>
    </row>
    <row r="51" spans="1:6" x14ac:dyDescent="0.35">
      <c r="A51" t="s">
        <v>96</v>
      </c>
      <c r="C51" t="s">
        <v>119</v>
      </c>
      <c r="E51" t="s">
        <v>111</v>
      </c>
      <c r="F51">
        <f>v3_Éric!E20</f>
        <v>0.95</v>
      </c>
    </row>
    <row r="52" spans="1:6" x14ac:dyDescent="0.35">
      <c r="A52" t="s">
        <v>96</v>
      </c>
      <c r="C52" t="s">
        <v>120</v>
      </c>
      <c r="E52" t="s">
        <v>111</v>
      </c>
      <c r="F52">
        <f>v3_Éric!E21</f>
        <v>0</v>
      </c>
    </row>
    <row r="53" spans="1:6" x14ac:dyDescent="0.35">
      <c r="A53" t="s">
        <v>96</v>
      </c>
      <c r="C53" t="s">
        <v>121</v>
      </c>
      <c r="E53" t="s">
        <v>111</v>
      </c>
      <c r="F53">
        <f t="shared" ref="F53:F56" si="1">F49</f>
        <v>0.05</v>
      </c>
    </row>
    <row r="54" spans="1:6" x14ac:dyDescent="0.35">
      <c r="A54" t="s">
        <v>96</v>
      </c>
      <c r="C54" t="s">
        <v>122</v>
      </c>
      <c r="E54" t="s">
        <v>111</v>
      </c>
      <c r="F54">
        <f t="shared" si="1"/>
        <v>0</v>
      </c>
    </row>
    <row r="55" spans="1:6" x14ac:dyDescent="0.35">
      <c r="A55" t="s">
        <v>96</v>
      </c>
      <c r="C55" t="s">
        <v>123</v>
      </c>
      <c r="E55" t="s">
        <v>111</v>
      </c>
      <c r="F55">
        <f t="shared" si="1"/>
        <v>0.95</v>
      </c>
    </row>
    <row r="56" spans="1:6" x14ac:dyDescent="0.35">
      <c r="A56" t="s">
        <v>96</v>
      </c>
      <c r="C56" t="s">
        <v>124</v>
      </c>
      <c r="E56" t="s">
        <v>111</v>
      </c>
      <c r="F56">
        <f t="shared" si="1"/>
        <v>0</v>
      </c>
    </row>
    <row r="57" spans="1:6" x14ac:dyDescent="0.35">
      <c r="A57" t="s">
        <v>96</v>
      </c>
      <c r="C57" t="s">
        <v>125</v>
      </c>
      <c r="E57" t="s">
        <v>111</v>
      </c>
      <c r="F57">
        <f t="shared" ref="F57:F60" si="2">F49</f>
        <v>0.05</v>
      </c>
    </row>
    <row r="58" spans="1:6" x14ac:dyDescent="0.35">
      <c r="A58" t="s">
        <v>96</v>
      </c>
      <c r="C58" t="s">
        <v>126</v>
      </c>
      <c r="E58" t="s">
        <v>111</v>
      </c>
      <c r="F58">
        <f t="shared" si="2"/>
        <v>0</v>
      </c>
    </row>
    <row r="59" spans="1:6" x14ac:dyDescent="0.35">
      <c r="A59" t="s">
        <v>96</v>
      </c>
      <c r="C59" t="s">
        <v>127</v>
      </c>
      <c r="E59" t="s">
        <v>111</v>
      </c>
      <c r="F59">
        <f t="shared" si="2"/>
        <v>0.95</v>
      </c>
    </row>
    <row r="60" spans="1:6" x14ac:dyDescent="0.35">
      <c r="A60" t="s">
        <v>96</v>
      </c>
      <c r="C60" t="s">
        <v>128</v>
      </c>
      <c r="E60" t="s">
        <v>111</v>
      </c>
      <c r="F60">
        <f t="shared" si="2"/>
        <v>0</v>
      </c>
    </row>
    <row r="61" spans="1:6" x14ac:dyDescent="0.35">
      <c r="A61" t="s">
        <v>107</v>
      </c>
      <c r="E61" t="s">
        <v>111</v>
      </c>
      <c r="F61">
        <f>(1-(1-'2023_r'!C12) * v3_Éric!E15/100)</f>
        <v>0.82291999999999998</v>
      </c>
    </row>
    <row r="62" spans="1:6" x14ac:dyDescent="0.35">
      <c r="A62" t="s">
        <v>108</v>
      </c>
      <c r="E62" t="s">
        <v>111</v>
      </c>
      <c r="F62">
        <f>F61</f>
        <v>0.82291999999999998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45CD-3965-46FA-B2A3-DE80958EA743}">
  <dimension ref="A1:K37"/>
  <sheetViews>
    <sheetView zoomScale="85" zoomScaleNormal="85" workbookViewId="0">
      <selection activeCell="C15" sqref="C15"/>
    </sheetView>
  </sheetViews>
  <sheetFormatPr defaultColWidth="10.90625" defaultRowHeight="16" x14ac:dyDescent="0.4"/>
  <cols>
    <col min="1" max="1" width="34.1796875" style="29" customWidth="1"/>
    <col min="2" max="6" width="10.90625" style="29"/>
    <col min="7" max="9" width="10.90625" style="30"/>
  </cols>
  <sheetData>
    <row r="1" spans="1:11" x14ac:dyDescent="0.4">
      <c r="A1" s="12" t="s">
        <v>41</v>
      </c>
      <c r="B1" s="12"/>
      <c r="C1" s="12"/>
      <c r="D1" s="12"/>
      <c r="E1" s="12"/>
    </row>
    <row r="2" spans="1:11" x14ac:dyDescent="0.4">
      <c r="A2" s="12" t="s">
        <v>39</v>
      </c>
      <c r="B2" s="12" t="s">
        <v>42</v>
      </c>
      <c r="C2" s="12" t="s">
        <v>43</v>
      </c>
      <c r="D2" s="12" t="s">
        <v>44</v>
      </c>
      <c r="E2" s="12" t="s">
        <v>45</v>
      </c>
      <c r="F2" s="13" t="s">
        <v>74</v>
      </c>
    </row>
    <row r="3" spans="1:11" x14ac:dyDescent="0.4">
      <c r="A3" s="12" t="s">
        <v>46</v>
      </c>
      <c r="B3" s="12" t="s">
        <v>47</v>
      </c>
      <c r="C3" s="14">
        <v>190</v>
      </c>
      <c r="D3" s="14">
        <v>200</v>
      </c>
      <c r="E3" s="14">
        <v>70</v>
      </c>
    </row>
    <row r="4" spans="1:11" x14ac:dyDescent="0.4">
      <c r="A4" s="12" t="s">
        <v>48</v>
      </c>
      <c r="B4" s="12" t="s">
        <v>47</v>
      </c>
      <c r="C4" s="12"/>
      <c r="D4" s="12"/>
      <c r="E4" s="12"/>
    </row>
    <row r="5" spans="1:11" x14ac:dyDescent="0.4">
      <c r="A5" s="14" t="s">
        <v>49</v>
      </c>
      <c r="B5" s="12" t="s">
        <v>47</v>
      </c>
      <c r="C5" s="14">
        <v>100</v>
      </c>
      <c r="D5" s="14">
        <v>50</v>
      </c>
      <c r="E5" s="14">
        <v>50</v>
      </c>
      <c r="F5" s="31" t="s">
        <v>75</v>
      </c>
    </row>
    <row r="6" spans="1:11" x14ac:dyDescent="0.4">
      <c r="A6" s="14" t="s">
        <v>50</v>
      </c>
      <c r="B6" s="12" t="s">
        <v>47</v>
      </c>
      <c r="C6" s="14">
        <v>145</v>
      </c>
      <c r="D6" s="14">
        <v>75</v>
      </c>
      <c r="E6" s="14">
        <v>50</v>
      </c>
      <c r="F6" s="29" t="s">
        <v>76</v>
      </c>
    </row>
    <row r="7" spans="1:11" x14ac:dyDescent="0.4">
      <c r="A7" s="14" t="s">
        <v>51</v>
      </c>
      <c r="B7" s="12" t="s">
        <v>47</v>
      </c>
      <c r="C7" s="14">
        <v>125</v>
      </c>
      <c r="D7" s="14">
        <v>50</v>
      </c>
      <c r="E7" s="14">
        <v>50</v>
      </c>
      <c r="F7" s="29" t="s">
        <v>77</v>
      </c>
    </row>
    <row r="8" spans="1:11" x14ac:dyDescent="0.4">
      <c r="A8" s="12" t="s">
        <v>52</v>
      </c>
      <c r="B8" s="12" t="s">
        <v>47</v>
      </c>
      <c r="C8" s="14">
        <v>120</v>
      </c>
      <c r="D8" s="14">
        <v>60</v>
      </c>
      <c r="E8" s="14">
        <v>100</v>
      </c>
    </row>
    <row r="9" spans="1:11" x14ac:dyDescent="0.4">
      <c r="A9" s="12" t="s">
        <v>53</v>
      </c>
      <c r="B9" s="12" t="s">
        <v>47</v>
      </c>
      <c r="C9" s="14">
        <v>90</v>
      </c>
      <c r="D9" s="14">
        <v>65</v>
      </c>
      <c r="E9" s="14">
        <v>150</v>
      </c>
    </row>
    <row r="10" spans="1:11" x14ac:dyDescent="0.4">
      <c r="A10" s="12" t="s">
        <v>54</v>
      </c>
      <c r="B10" s="12" t="s">
        <v>47</v>
      </c>
      <c r="C10" s="12"/>
      <c r="D10" s="12"/>
      <c r="E10" s="12"/>
    </row>
    <row r="11" spans="1:11" x14ac:dyDescent="0.4">
      <c r="A11" s="14" t="s">
        <v>55</v>
      </c>
      <c r="B11" s="12"/>
      <c r="C11" s="14">
        <v>110</v>
      </c>
      <c r="D11" s="14">
        <v>90</v>
      </c>
      <c r="E11" s="14">
        <v>66</v>
      </c>
    </row>
    <row r="12" spans="1:11" x14ac:dyDescent="0.4">
      <c r="A12" s="14" t="s">
        <v>56</v>
      </c>
      <c r="B12" s="12"/>
      <c r="C12" s="14">
        <v>110</v>
      </c>
      <c r="D12" s="14">
        <v>90</v>
      </c>
      <c r="E12" s="14">
        <v>66</v>
      </c>
    </row>
    <row r="13" spans="1:11" x14ac:dyDescent="0.4">
      <c r="A13" s="14" t="s">
        <v>57</v>
      </c>
      <c r="B13" s="12"/>
      <c r="C13" s="14">
        <v>125</v>
      </c>
      <c r="D13" s="14">
        <v>10</v>
      </c>
      <c r="E13" s="14">
        <v>10</v>
      </c>
    </row>
    <row r="14" spans="1:11" x14ac:dyDescent="0.4">
      <c r="A14" s="15" t="s">
        <v>58</v>
      </c>
      <c r="B14" s="12"/>
      <c r="C14" s="12"/>
      <c r="D14" s="12"/>
      <c r="E14" s="12"/>
    </row>
    <row r="15" spans="1:11" x14ac:dyDescent="0.4">
      <c r="A15" s="12" t="s">
        <v>59</v>
      </c>
      <c r="B15" s="12" t="s">
        <v>47</v>
      </c>
      <c r="C15" s="14">
        <v>100</v>
      </c>
      <c r="D15" s="14">
        <v>60</v>
      </c>
      <c r="E15" s="14">
        <v>20</v>
      </c>
    </row>
    <row r="16" spans="1:11" x14ac:dyDescent="0.4">
      <c r="A16" s="14" t="s">
        <v>81</v>
      </c>
      <c r="B16" s="12" t="s">
        <v>47</v>
      </c>
      <c r="C16" s="14">
        <v>100</v>
      </c>
      <c r="D16" s="14">
        <v>20</v>
      </c>
      <c r="E16" s="14">
        <v>5</v>
      </c>
      <c r="K16" s="5"/>
    </row>
    <row r="17" spans="1:11" x14ac:dyDescent="0.4">
      <c r="A17" s="14" t="s">
        <v>60</v>
      </c>
      <c r="B17" s="12" t="s">
        <v>47</v>
      </c>
      <c r="C17" s="14">
        <v>50</v>
      </c>
      <c r="D17" s="14">
        <v>100</v>
      </c>
      <c r="E17" s="14">
        <v>100</v>
      </c>
      <c r="K17" s="5"/>
    </row>
    <row r="18" spans="1:11" x14ac:dyDescent="0.4">
      <c r="A18" s="16" t="s">
        <v>92</v>
      </c>
      <c r="B18" s="17" t="s">
        <v>94</v>
      </c>
      <c r="C18" s="18">
        <v>0.5</v>
      </c>
      <c r="D18" s="18">
        <v>0.2</v>
      </c>
      <c r="E18" s="19">
        <v>0.05</v>
      </c>
      <c r="F18" s="29" t="s">
        <v>95</v>
      </c>
      <c r="K18" s="6"/>
    </row>
    <row r="19" spans="1:11" x14ac:dyDescent="0.4">
      <c r="A19" s="20" t="s">
        <v>91</v>
      </c>
      <c r="B19" s="12" t="s">
        <v>94</v>
      </c>
      <c r="C19" s="21">
        <v>0.5</v>
      </c>
      <c r="D19" s="22">
        <v>0</v>
      </c>
      <c r="E19" s="23">
        <v>0</v>
      </c>
      <c r="F19" s="29" t="s">
        <v>95</v>
      </c>
      <c r="K19" s="6"/>
    </row>
    <row r="20" spans="1:11" x14ac:dyDescent="0.4">
      <c r="A20" s="20" t="s">
        <v>93</v>
      </c>
      <c r="B20" s="12" t="s">
        <v>94</v>
      </c>
      <c r="C20" s="21">
        <v>0</v>
      </c>
      <c r="D20" s="22">
        <v>0.8</v>
      </c>
      <c r="E20" s="23">
        <v>0.95</v>
      </c>
      <c r="F20" s="29" t="s">
        <v>95</v>
      </c>
      <c r="K20" s="5"/>
    </row>
    <row r="21" spans="1:11" x14ac:dyDescent="0.4">
      <c r="A21" s="24" t="s">
        <v>90</v>
      </c>
      <c r="B21" s="25" t="s">
        <v>94</v>
      </c>
      <c r="C21" s="26">
        <v>0</v>
      </c>
      <c r="D21" s="27">
        <v>0</v>
      </c>
      <c r="E21" s="28">
        <v>0</v>
      </c>
      <c r="F21" s="29" t="s">
        <v>95</v>
      </c>
      <c r="K21" s="5"/>
    </row>
    <row r="22" spans="1:11" x14ac:dyDescent="0.4">
      <c r="A22" s="12" t="s">
        <v>61</v>
      </c>
      <c r="B22" s="12" t="s">
        <v>47</v>
      </c>
      <c r="C22" s="14">
        <v>100</v>
      </c>
      <c r="D22" s="14">
        <v>200</v>
      </c>
      <c r="E22" s="14">
        <v>300</v>
      </c>
    </row>
    <row r="23" spans="1:11" x14ac:dyDescent="0.4">
      <c r="A23" s="12" t="s">
        <v>62</v>
      </c>
      <c r="B23" s="12" t="s">
        <v>47</v>
      </c>
      <c r="C23" s="14">
        <v>170</v>
      </c>
      <c r="D23" s="14">
        <v>150</v>
      </c>
      <c r="E23" s="14">
        <v>40</v>
      </c>
    </row>
    <row r="24" spans="1:11" x14ac:dyDescent="0.4">
      <c r="A24" s="12" t="s">
        <v>63</v>
      </c>
      <c r="B24" s="12" t="s">
        <v>47</v>
      </c>
      <c r="C24" s="14">
        <v>115</v>
      </c>
      <c r="D24" s="14">
        <v>175</v>
      </c>
      <c r="E24" s="14">
        <v>250</v>
      </c>
    </row>
    <row r="25" spans="1:11" x14ac:dyDescent="0.4">
      <c r="A25" s="12" t="s">
        <v>64</v>
      </c>
      <c r="B25" s="12" t="s">
        <v>47</v>
      </c>
      <c r="C25" s="14">
        <v>130</v>
      </c>
      <c r="D25" s="14">
        <v>200</v>
      </c>
      <c r="E25" s="14">
        <v>50</v>
      </c>
    </row>
    <row r="26" spans="1:11" x14ac:dyDescent="0.4">
      <c r="A26" s="12" t="s">
        <v>65</v>
      </c>
      <c r="B26" s="12" t="s">
        <v>47</v>
      </c>
      <c r="C26" s="33">
        <v>150</v>
      </c>
      <c r="D26" s="33">
        <v>175</v>
      </c>
      <c r="E26" s="33">
        <v>100</v>
      </c>
    </row>
    <row r="27" spans="1:11" x14ac:dyDescent="0.4">
      <c r="A27" s="12" t="s">
        <v>66</v>
      </c>
      <c r="B27" s="12"/>
      <c r="C27" s="12"/>
      <c r="D27" s="12"/>
      <c r="E27" s="12"/>
    </row>
    <row r="28" spans="1:11" x14ac:dyDescent="0.4">
      <c r="A28" s="12" t="s">
        <v>67</v>
      </c>
      <c r="B28" s="12" t="s">
        <v>47</v>
      </c>
      <c r="C28" s="14">
        <v>50</v>
      </c>
      <c r="D28" s="14">
        <v>0</v>
      </c>
      <c r="E28" s="14">
        <v>0</v>
      </c>
    </row>
    <row r="29" spans="1:11" x14ac:dyDescent="0.4">
      <c r="A29" s="12" t="s">
        <v>68</v>
      </c>
      <c r="B29" s="12" t="s">
        <v>47</v>
      </c>
      <c r="C29" s="14">
        <v>100</v>
      </c>
      <c r="D29" s="14">
        <v>70</v>
      </c>
      <c r="E29" s="14">
        <v>0</v>
      </c>
    </row>
    <row r="30" spans="1:11" x14ac:dyDescent="0.4">
      <c r="A30" s="12" t="s">
        <v>69</v>
      </c>
      <c r="B30" s="12" t="s">
        <v>47</v>
      </c>
      <c r="C30" s="14">
        <v>50</v>
      </c>
      <c r="D30" s="14">
        <v>10</v>
      </c>
      <c r="E30" s="14">
        <v>0</v>
      </c>
    </row>
    <row r="31" spans="1:11" x14ac:dyDescent="0.4">
      <c r="A31" s="12" t="s">
        <v>70</v>
      </c>
      <c r="B31" s="12" t="s">
        <v>47</v>
      </c>
      <c r="C31" s="14">
        <v>0</v>
      </c>
      <c r="D31" s="14">
        <v>0</v>
      </c>
      <c r="E31" s="14">
        <v>0</v>
      </c>
    </row>
    <row r="32" spans="1:11" x14ac:dyDescent="0.4">
      <c r="A32" s="12" t="s">
        <v>71</v>
      </c>
      <c r="B32" s="12" t="s">
        <v>47</v>
      </c>
      <c r="C32" s="14">
        <v>125</v>
      </c>
      <c r="D32" s="14">
        <v>10</v>
      </c>
      <c r="E32" s="14">
        <v>10</v>
      </c>
    </row>
    <row r="33" spans="1:6" x14ac:dyDescent="0.4">
      <c r="A33" s="12" t="s">
        <v>141</v>
      </c>
      <c r="B33" s="12" t="s">
        <v>47</v>
      </c>
      <c r="C33" s="14">
        <v>0</v>
      </c>
      <c r="D33" s="14">
        <v>0</v>
      </c>
      <c r="E33" s="14">
        <v>0</v>
      </c>
    </row>
    <row r="34" spans="1:6" x14ac:dyDescent="0.4">
      <c r="A34" s="12" t="s">
        <v>72</v>
      </c>
      <c r="B34" s="34" t="s">
        <v>73</v>
      </c>
      <c r="C34" s="34"/>
      <c r="D34" s="34"/>
      <c r="E34" s="12"/>
    </row>
    <row r="36" spans="1:6" x14ac:dyDescent="0.4">
      <c r="A36" s="12" t="s">
        <v>147</v>
      </c>
    </row>
    <row r="37" spans="1:6" x14ac:dyDescent="0.4">
      <c r="A37" s="29" t="s">
        <v>79</v>
      </c>
      <c r="C37" s="32">
        <f>15900</f>
        <v>15900</v>
      </c>
      <c r="F37" s="29" t="s">
        <v>80</v>
      </c>
    </row>
  </sheetData>
  <mergeCells count="1">
    <mergeCell ref="B34:D3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5E53-BD79-4A77-B711-D1BEAE9DBE53}">
  <dimension ref="A1:E34"/>
  <sheetViews>
    <sheetView workbookViewId="0">
      <selection activeCell="C37" sqref="C37"/>
    </sheetView>
  </sheetViews>
  <sheetFormatPr defaultColWidth="10.90625" defaultRowHeight="14.5" x14ac:dyDescent="0.35"/>
  <cols>
    <col min="1" max="1" width="39.81640625" bestFit="1" customWidth="1"/>
    <col min="2" max="2" width="23.1796875" bestFit="1" customWidth="1"/>
    <col min="3" max="3" width="16.453125" bestFit="1" customWidth="1"/>
    <col min="4" max="4" width="21.81640625" bestFit="1" customWidth="1"/>
  </cols>
  <sheetData>
    <row r="1" spans="1:5" s="2" customFormat="1" x14ac:dyDescent="0.35">
      <c r="A1" s="2" t="s">
        <v>74</v>
      </c>
      <c r="B1" s="2" t="s">
        <v>36</v>
      </c>
      <c r="C1" s="2" t="s">
        <v>37</v>
      </c>
      <c r="D1" s="2" t="s">
        <v>30</v>
      </c>
      <c r="E1" s="2" t="s">
        <v>31</v>
      </c>
    </row>
    <row r="2" spans="1:5" x14ac:dyDescent="0.35">
      <c r="A2" t="str">
        <f t="shared" ref="A2:A33" si="0">_xlfn.CONCAT(B2,"_",C2)</f>
        <v>ELECTRICITY_EHV_INDUSTRY</v>
      </c>
      <c r="B2" t="s">
        <v>7</v>
      </c>
      <c r="C2" t="s">
        <v>8</v>
      </c>
      <c r="D2">
        <v>7089.69</v>
      </c>
      <c r="E2" t="s">
        <v>32</v>
      </c>
    </row>
    <row r="3" spans="1:5" x14ac:dyDescent="0.35">
      <c r="A3" t="str">
        <f t="shared" si="0"/>
        <v>ELECTRICITY_EHV_EXPORT_EXPORT</v>
      </c>
      <c r="B3" t="s">
        <v>9</v>
      </c>
      <c r="C3" t="s">
        <v>10</v>
      </c>
      <c r="D3">
        <v>35556</v>
      </c>
      <c r="E3" t="s">
        <v>32</v>
      </c>
    </row>
    <row r="4" spans="1:5" x14ac:dyDescent="0.35">
      <c r="A4" t="str">
        <f t="shared" si="0"/>
        <v>ELECTRICITY_HV_INDUSTRY</v>
      </c>
      <c r="B4" t="s">
        <v>11</v>
      </c>
      <c r="C4" t="s">
        <v>8</v>
      </c>
      <c r="D4">
        <v>72996.22</v>
      </c>
      <c r="E4" t="s">
        <v>32</v>
      </c>
    </row>
    <row r="5" spans="1:5" x14ac:dyDescent="0.35">
      <c r="A5" t="str">
        <f t="shared" si="0"/>
        <v>ELECTRICITY_LV_HOUSEHOLDS</v>
      </c>
      <c r="B5" t="s">
        <v>12</v>
      </c>
      <c r="C5" t="s">
        <v>13</v>
      </c>
      <c r="D5">
        <v>16235.92</v>
      </c>
      <c r="E5" t="s">
        <v>32</v>
      </c>
    </row>
    <row r="6" spans="1:5" x14ac:dyDescent="0.35">
      <c r="A6" t="str">
        <f t="shared" si="0"/>
        <v>ELECTRICITY_LV_SERVICES</v>
      </c>
      <c r="B6" t="s">
        <v>12</v>
      </c>
      <c r="C6" t="s">
        <v>14</v>
      </c>
      <c r="D6">
        <v>11233.79</v>
      </c>
      <c r="E6" t="s">
        <v>32</v>
      </c>
    </row>
    <row r="7" spans="1:5" x14ac:dyDescent="0.35">
      <c r="A7" t="str">
        <f t="shared" si="0"/>
        <v>ELECTRICITY_MV_AGRICULTURE</v>
      </c>
      <c r="B7" t="s">
        <v>15</v>
      </c>
      <c r="C7" t="s">
        <v>16</v>
      </c>
      <c r="D7">
        <v>1988.27</v>
      </c>
      <c r="E7" t="s">
        <v>32</v>
      </c>
    </row>
    <row r="8" spans="1:5" x14ac:dyDescent="0.35">
      <c r="A8" t="str">
        <f t="shared" si="0"/>
        <v>ELECTRICITY_MV_INDUSTRY</v>
      </c>
      <c r="B8" t="s">
        <v>15</v>
      </c>
      <c r="C8" t="s">
        <v>8</v>
      </c>
      <c r="D8">
        <v>11551.03</v>
      </c>
      <c r="E8" t="s">
        <v>32</v>
      </c>
    </row>
    <row r="9" spans="1:5" x14ac:dyDescent="0.35">
      <c r="A9" t="str">
        <f t="shared" si="0"/>
        <v>ELECTRICITY_MV_SERVICES</v>
      </c>
      <c r="B9" t="s">
        <v>15</v>
      </c>
      <c r="C9" t="s">
        <v>14</v>
      </c>
      <c r="D9">
        <v>3523.39</v>
      </c>
      <c r="E9" t="s">
        <v>32</v>
      </c>
    </row>
    <row r="10" spans="1:5" x14ac:dyDescent="0.35">
      <c r="A10" t="str">
        <f t="shared" si="0"/>
        <v>HEAT_HIGH_T_INDUSTRY</v>
      </c>
      <c r="B10" t="s">
        <v>17</v>
      </c>
      <c r="C10" t="s">
        <v>8</v>
      </c>
      <c r="D10">
        <v>74419.42</v>
      </c>
      <c r="E10" t="s">
        <v>32</v>
      </c>
    </row>
    <row r="11" spans="1:5" x14ac:dyDescent="0.35">
      <c r="A11" t="str">
        <f t="shared" si="0"/>
        <v>HEAT_HIGH_T_SERVICES</v>
      </c>
      <c r="B11" t="s">
        <v>17</v>
      </c>
      <c r="C11" t="s">
        <v>14</v>
      </c>
      <c r="D11">
        <v>1065.93</v>
      </c>
      <c r="E11" t="s">
        <v>32</v>
      </c>
    </row>
    <row r="12" spans="1:5" x14ac:dyDescent="0.35">
      <c r="A12" t="str">
        <f t="shared" si="0"/>
        <v>HEAT_LOW_T_HW_AGRICULTURE</v>
      </c>
      <c r="B12" t="s">
        <v>18</v>
      </c>
      <c r="C12" t="s">
        <v>16</v>
      </c>
      <c r="D12">
        <v>121.73</v>
      </c>
      <c r="E12" t="s">
        <v>32</v>
      </c>
    </row>
    <row r="13" spans="1:5" x14ac:dyDescent="0.35">
      <c r="A13" t="str">
        <f t="shared" si="0"/>
        <v>HEAT_LOW_T_HW_HOUSEHOLDS</v>
      </c>
      <c r="B13" t="s">
        <v>18</v>
      </c>
      <c r="C13" t="s">
        <v>13</v>
      </c>
      <c r="D13">
        <v>13315.92</v>
      </c>
      <c r="E13" t="s">
        <v>32</v>
      </c>
    </row>
    <row r="14" spans="1:5" x14ac:dyDescent="0.35">
      <c r="A14" t="str">
        <f t="shared" si="0"/>
        <v>HEAT_LOW_T_HW_INDUSTRY</v>
      </c>
      <c r="B14" t="s">
        <v>18</v>
      </c>
      <c r="C14" t="s">
        <v>8</v>
      </c>
      <c r="D14">
        <v>619.44000000000005</v>
      </c>
      <c r="E14" t="s">
        <v>32</v>
      </c>
    </row>
    <row r="15" spans="1:5" x14ac:dyDescent="0.35">
      <c r="A15" t="str">
        <f t="shared" si="0"/>
        <v>HEAT_LOW_T_HW_SERVICES</v>
      </c>
      <c r="B15" t="s">
        <v>18</v>
      </c>
      <c r="C15" t="s">
        <v>14</v>
      </c>
      <c r="D15">
        <v>2874.75</v>
      </c>
      <c r="E15" t="s">
        <v>32</v>
      </c>
    </row>
    <row r="16" spans="1:5" x14ac:dyDescent="0.35">
      <c r="A16" t="str">
        <f t="shared" si="0"/>
        <v>HEAT_LOW_T_SC_HOUSEHOLDS</v>
      </c>
      <c r="B16" t="s">
        <v>19</v>
      </c>
      <c r="C16" t="s">
        <v>13</v>
      </c>
      <c r="D16">
        <v>2858.15</v>
      </c>
      <c r="E16" t="s">
        <v>32</v>
      </c>
    </row>
    <row r="17" spans="1:5" x14ac:dyDescent="0.35">
      <c r="A17" t="str">
        <f t="shared" si="0"/>
        <v>HEAT_LOW_T_SC_SERVICES</v>
      </c>
      <c r="B17" t="s">
        <v>19</v>
      </c>
      <c r="C17" t="s">
        <v>14</v>
      </c>
      <c r="D17">
        <v>2970.86</v>
      </c>
      <c r="E17" t="s">
        <v>32</v>
      </c>
    </row>
    <row r="18" spans="1:5" x14ac:dyDescent="0.35">
      <c r="A18" t="str">
        <f t="shared" si="0"/>
        <v>HEAT_LOW_T_SH_AGRICULTURE</v>
      </c>
      <c r="B18" t="s">
        <v>20</v>
      </c>
      <c r="C18" t="s">
        <v>16</v>
      </c>
      <c r="D18">
        <v>1095.58</v>
      </c>
      <c r="E18" t="s">
        <v>32</v>
      </c>
    </row>
    <row r="19" spans="1:5" x14ac:dyDescent="0.35">
      <c r="A19" t="str">
        <f t="shared" si="0"/>
        <v>HEAT_LOW_T_SH_HOUSEHOLDS</v>
      </c>
      <c r="B19" t="s">
        <v>20</v>
      </c>
      <c r="C19" t="s">
        <v>13</v>
      </c>
      <c r="D19">
        <v>54252.52</v>
      </c>
      <c r="E19" t="s">
        <v>32</v>
      </c>
    </row>
    <row r="20" spans="1:5" x14ac:dyDescent="0.35">
      <c r="A20" t="str">
        <f t="shared" si="0"/>
        <v>HEAT_LOW_T_SH_INDUSTRY</v>
      </c>
      <c r="B20" t="s">
        <v>20</v>
      </c>
      <c r="C20" t="s">
        <v>8</v>
      </c>
      <c r="D20">
        <v>3239.12</v>
      </c>
      <c r="E20" t="s">
        <v>32</v>
      </c>
    </row>
    <row r="21" spans="1:5" x14ac:dyDescent="0.35">
      <c r="A21" t="str">
        <f t="shared" si="0"/>
        <v>HEAT_LOW_T_SH_SERVICES</v>
      </c>
      <c r="B21" t="s">
        <v>20</v>
      </c>
      <c r="C21" t="s">
        <v>14</v>
      </c>
      <c r="D21">
        <v>20755.02</v>
      </c>
      <c r="E21" t="s">
        <v>32</v>
      </c>
    </row>
    <row r="22" spans="1:5" x14ac:dyDescent="0.35">
      <c r="A22" t="str">
        <f t="shared" si="0"/>
        <v>LIGHTING_AGRICULTURE</v>
      </c>
      <c r="B22" t="s">
        <v>21</v>
      </c>
      <c r="C22" t="s">
        <v>16</v>
      </c>
      <c r="D22">
        <v>82.84</v>
      </c>
      <c r="E22" t="s">
        <v>32</v>
      </c>
    </row>
    <row r="23" spans="1:5" x14ac:dyDescent="0.35">
      <c r="A23" t="str">
        <f t="shared" si="0"/>
        <v>LIGHTING_HOUSEHOLDS</v>
      </c>
      <c r="B23" t="s">
        <v>21</v>
      </c>
      <c r="C23" t="s">
        <v>13</v>
      </c>
      <c r="D23">
        <v>4941.8</v>
      </c>
      <c r="E23" t="s">
        <v>32</v>
      </c>
    </row>
    <row r="24" spans="1:5" x14ac:dyDescent="0.35">
      <c r="A24" t="str">
        <f t="shared" si="0"/>
        <v>LIGHTING_INDUSTRY</v>
      </c>
      <c r="B24" t="s">
        <v>21</v>
      </c>
      <c r="C24" t="s">
        <v>8</v>
      </c>
      <c r="D24">
        <v>5849.17</v>
      </c>
      <c r="E24" t="s">
        <v>32</v>
      </c>
    </row>
    <row r="25" spans="1:5" x14ac:dyDescent="0.35">
      <c r="A25" t="str">
        <f t="shared" si="0"/>
        <v>LIGHTING_SERVICES</v>
      </c>
      <c r="B25" t="s">
        <v>21</v>
      </c>
      <c r="C25" t="s">
        <v>14</v>
      </c>
      <c r="D25">
        <v>12036.27</v>
      </c>
      <c r="E25" t="s">
        <v>32</v>
      </c>
    </row>
    <row r="26" spans="1:5" x14ac:dyDescent="0.35">
      <c r="A26" t="str">
        <f t="shared" si="0"/>
        <v>MOBILITY_FREIGHT_ELD_TRANSPORTATION</v>
      </c>
      <c r="B26" t="s">
        <v>22</v>
      </c>
      <c r="C26" t="s">
        <v>23</v>
      </c>
      <c r="D26">
        <v>110192.59</v>
      </c>
      <c r="E26" t="s">
        <v>34</v>
      </c>
    </row>
    <row r="27" spans="1:5" x14ac:dyDescent="0.35">
      <c r="A27" t="str">
        <f t="shared" si="0"/>
        <v>MOBILITY_FREIGHT_LD_TRANSPORTATION</v>
      </c>
      <c r="B27" t="s">
        <v>24</v>
      </c>
      <c r="C27" t="s">
        <v>23</v>
      </c>
      <c r="D27">
        <v>21797.83</v>
      </c>
      <c r="E27" t="s">
        <v>34</v>
      </c>
    </row>
    <row r="28" spans="1:5" x14ac:dyDescent="0.35">
      <c r="A28" t="str">
        <f t="shared" si="0"/>
        <v>MOBILITY_FREIGHT_MD_TRANSPORTATION</v>
      </c>
      <c r="B28" t="s">
        <v>25</v>
      </c>
      <c r="C28" t="s">
        <v>23</v>
      </c>
      <c r="D28">
        <v>28373.24</v>
      </c>
      <c r="E28" t="s">
        <v>34</v>
      </c>
    </row>
    <row r="29" spans="1:5" x14ac:dyDescent="0.35">
      <c r="A29" t="str">
        <f t="shared" si="0"/>
        <v>MOBILITY_FREIGHT_SD_AGRICULTURE</v>
      </c>
      <c r="B29" t="s">
        <v>26</v>
      </c>
      <c r="C29" t="s">
        <v>16</v>
      </c>
      <c r="D29">
        <v>3236.1</v>
      </c>
      <c r="E29" t="s">
        <v>34</v>
      </c>
    </row>
    <row r="30" spans="1:5" x14ac:dyDescent="0.35">
      <c r="A30" t="str">
        <f t="shared" si="0"/>
        <v>MOBILITY_FREIGHT_SD_TRANSPORTATION</v>
      </c>
      <c r="B30" t="s">
        <v>26</v>
      </c>
      <c r="C30" t="s">
        <v>23</v>
      </c>
      <c r="D30">
        <v>8959.7199999999993</v>
      </c>
      <c r="E30" t="s">
        <v>34</v>
      </c>
    </row>
    <row r="31" spans="1:5" x14ac:dyDescent="0.35">
      <c r="A31" t="str">
        <f t="shared" si="0"/>
        <v>MOBILITY_PASSENGER_LD_TRANSPORTATION</v>
      </c>
      <c r="B31" t="s">
        <v>27</v>
      </c>
      <c r="C31" t="s">
        <v>23</v>
      </c>
      <c r="D31">
        <v>62747.62</v>
      </c>
      <c r="E31" t="s">
        <v>33</v>
      </c>
    </row>
    <row r="32" spans="1:5" x14ac:dyDescent="0.35">
      <c r="A32" t="str">
        <f t="shared" si="0"/>
        <v>MOBILITY_PASSENGER_MD_TRANSPORTATION</v>
      </c>
      <c r="B32" t="s">
        <v>28</v>
      </c>
      <c r="C32" t="s">
        <v>23</v>
      </c>
      <c r="D32">
        <v>55985.72</v>
      </c>
      <c r="E32" t="s">
        <v>33</v>
      </c>
    </row>
    <row r="33" spans="1:5" x14ac:dyDescent="0.35">
      <c r="A33" t="str">
        <f t="shared" si="0"/>
        <v>MOBILITY_PASSENGER_SD_TRANSPORTATION</v>
      </c>
      <c r="B33" t="s">
        <v>29</v>
      </c>
      <c r="C33" t="s">
        <v>23</v>
      </c>
      <c r="D33">
        <v>64271.49</v>
      </c>
      <c r="E33" t="s">
        <v>33</v>
      </c>
    </row>
    <row r="34" spans="1:5" x14ac:dyDescent="0.35">
      <c r="A34" t="str">
        <f>_xlfn.CONCAT(B34,"_",C34)</f>
        <v>ELECTRICITY_EHV_EXPORT_EXPORT</v>
      </c>
      <c r="B34" t="s">
        <v>9</v>
      </c>
      <c r="C34" t="s">
        <v>10</v>
      </c>
      <c r="D34">
        <v>35.56</v>
      </c>
      <c r="E3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52EE-0F3F-45DD-8744-4D4AF512979D}">
  <dimension ref="A1:D12"/>
  <sheetViews>
    <sheetView workbookViewId="0">
      <selection activeCell="C12" sqref="C12"/>
    </sheetView>
  </sheetViews>
  <sheetFormatPr defaultColWidth="10.90625" defaultRowHeight="14.5" x14ac:dyDescent="0.35"/>
  <cols>
    <col min="1" max="1" width="32.81640625" bestFit="1" customWidth="1"/>
    <col min="2" max="2" width="9.26953125" bestFit="1" customWidth="1"/>
    <col min="3" max="3" width="6.81640625" bestFit="1" customWidth="1"/>
    <col min="4" max="4" width="4.90625" bestFit="1" customWidth="1"/>
  </cols>
  <sheetData>
    <row r="1" spans="1:4" s="2" customFormat="1" x14ac:dyDescent="0.35">
      <c r="A1" s="2" t="s">
        <v>113</v>
      </c>
      <c r="B1" s="2" t="s">
        <v>36</v>
      </c>
      <c r="C1" s="2" t="s">
        <v>38</v>
      </c>
      <c r="D1" s="2" t="s">
        <v>31</v>
      </c>
    </row>
    <row r="2" spans="1:4" x14ac:dyDescent="0.35">
      <c r="A2" t="s">
        <v>112</v>
      </c>
      <c r="B2" t="s">
        <v>97</v>
      </c>
      <c r="C2">
        <f>61.34*1000</f>
        <v>61340</v>
      </c>
      <c r="D2" t="s">
        <v>32</v>
      </c>
    </row>
    <row r="3" spans="1:4" x14ac:dyDescent="0.35">
      <c r="A3" t="s">
        <v>112</v>
      </c>
      <c r="B3" t="s">
        <v>98</v>
      </c>
      <c r="C3">
        <f>35.85*1000</f>
        <v>35850</v>
      </c>
      <c r="D3" t="s">
        <v>32</v>
      </c>
    </row>
    <row r="4" spans="1:4" x14ac:dyDescent="0.35">
      <c r="A4" t="s">
        <v>112</v>
      </c>
      <c r="B4" t="s">
        <v>99</v>
      </c>
      <c r="C4">
        <f>74.84*1000</f>
        <v>74840</v>
      </c>
      <c r="D4" t="s">
        <v>32</v>
      </c>
    </row>
    <row r="5" spans="1:4" x14ac:dyDescent="0.35">
      <c r="A5" t="s">
        <v>112</v>
      </c>
      <c r="B5" t="s">
        <v>100</v>
      </c>
      <c r="C5">
        <f>26.49*1000</f>
        <v>26490</v>
      </c>
      <c r="D5" t="s">
        <v>32</v>
      </c>
    </row>
    <row r="6" spans="1:4" x14ac:dyDescent="0.35">
      <c r="A6" t="s">
        <v>112</v>
      </c>
      <c r="B6" t="s">
        <v>101</v>
      </c>
      <c r="C6">
        <f>19.88*1000</f>
        <v>19880</v>
      </c>
      <c r="D6" t="s">
        <v>32</v>
      </c>
    </row>
    <row r="7" spans="1:4" x14ac:dyDescent="0.35">
      <c r="A7" t="s">
        <v>112</v>
      </c>
      <c r="B7" t="s">
        <v>142</v>
      </c>
      <c r="C7">
        <v>3420</v>
      </c>
      <c r="D7" t="s">
        <v>32</v>
      </c>
    </row>
    <row r="8" spans="1:4" x14ac:dyDescent="0.35">
      <c r="A8" t="s">
        <v>115</v>
      </c>
      <c r="C8">
        <f>37.23/100</f>
        <v>0.37229999999999996</v>
      </c>
      <c r="D8" t="s">
        <v>111</v>
      </c>
    </row>
    <row r="9" spans="1:4" x14ac:dyDescent="0.35">
      <c r="A9" t="s">
        <v>116</v>
      </c>
      <c r="C9">
        <f>22.09/100</f>
        <v>0.22089999999999999</v>
      </c>
      <c r="D9" t="s">
        <v>111</v>
      </c>
    </row>
    <row r="10" spans="1:4" x14ac:dyDescent="0.35">
      <c r="A10" t="s">
        <v>135</v>
      </c>
      <c r="C10">
        <v>0.58789999999999998</v>
      </c>
      <c r="D10" t="s">
        <v>111</v>
      </c>
    </row>
    <row r="11" spans="1:4" x14ac:dyDescent="0.35">
      <c r="A11" t="s">
        <v>136</v>
      </c>
      <c r="C11">
        <v>6.3E-3</v>
      </c>
      <c r="D11" t="s">
        <v>111</v>
      </c>
    </row>
    <row r="12" spans="1:4" x14ac:dyDescent="0.35">
      <c r="A12" t="s">
        <v>148</v>
      </c>
      <c r="C12">
        <v>0.11459999999999999</v>
      </c>
      <c r="D1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DB5B-9F28-4607-98C0-E45E813E1A24}">
  <dimension ref="A1:B2"/>
  <sheetViews>
    <sheetView workbookViewId="0">
      <selection activeCell="E12" sqref="E12"/>
    </sheetView>
  </sheetViews>
  <sheetFormatPr defaultColWidth="10.90625" defaultRowHeight="14.5" x14ac:dyDescent="0.35"/>
  <sheetData>
    <row r="1" spans="1:2" x14ac:dyDescent="0.35">
      <c r="A1" s="2" t="s">
        <v>4</v>
      </c>
      <c r="B1" s="2" t="s">
        <v>5</v>
      </c>
    </row>
    <row r="2" spans="1:2" x14ac:dyDescent="0.35">
      <c r="A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Brut</vt:lpstr>
      <vt:lpstr>Acc_Verte</vt:lpstr>
      <vt:lpstr>Sobre</vt:lpstr>
      <vt:lpstr>Sobre_Lim_Cap</vt:lpstr>
      <vt:lpstr>v3_Éric</vt:lpstr>
      <vt:lpstr>Value_2023</vt:lpstr>
      <vt:lpstr>2023_r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Greffe, Titouan</dc:creator>
  <cp:lastModifiedBy>Matthieu Souttre</cp:lastModifiedBy>
  <dcterms:created xsi:type="dcterms:W3CDTF">2025-12-02T14:24:03Z</dcterms:created>
  <dcterms:modified xsi:type="dcterms:W3CDTF">2026-06-10T21:38:14Z</dcterms:modified>
</cp:coreProperties>
</file>