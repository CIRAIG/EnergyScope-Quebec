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olo/Documents/PdM_code/EnergyScope-Quebec/projects/critical_materials/excel_files/"/>
    </mc:Choice>
  </mc:AlternateContent>
  <xr:revisionPtr revIDLastSave="0" documentId="13_ncr:1_{42DBF1C3-BF2D-9E45-B825-BF0B60F3C491}" xr6:coauthVersionLast="47" xr6:coauthVersionMax="47" xr10:uidLastSave="{00000000-0000-0000-0000-000000000000}"/>
  <bookViews>
    <workbookView xWindow="0" yWindow="500" windowWidth="36380" windowHeight="19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N9" i="1"/>
  <c r="J23" i="1"/>
  <c r="H23" i="1"/>
  <c r="J20" i="1"/>
  <c r="H20" i="1"/>
  <c r="J9" i="1"/>
  <c r="H9" i="1"/>
  <c r="J7" i="1"/>
  <c r="H7" i="1"/>
  <c r="J6" i="1"/>
  <c r="H6" i="1"/>
  <c r="F23" i="1"/>
  <c r="E23" i="1"/>
  <c r="F20" i="1"/>
  <c r="E20" i="1"/>
  <c r="F9" i="1"/>
  <c r="E9" i="1"/>
  <c r="F6" i="1"/>
  <c r="E6" i="1"/>
  <c r="AI9" i="1"/>
</calcChain>
</file>

<file path=xl/sharedStrings.xml><?xml version="1.0" encoding="utf-8"?>
<sst xmlns="http://schemas.openxmlformats.org/spreadsheetml/2006/main" count="170" uniqueCount="106">
  <si>
    <t>AFC</t>
  </si>
  <si>
    <t>CCGT</t>
  </si>
  <si>
    <t>CCGT_BIOGAS</t>
  </si>
  <si>
    <t>CCGT_BIOGAS_CC</t>
  </si>
  <si>
    <t>CCGT_CC</t>
  </si>
  <si>
    <t>COAL_IGCC</t>
  </si>
  <si>
    <t>COAL_IGCC_CC</t>
  </si>
  <si>
    <t>COAL_US</t>
  </si>
  <si>
    <t>COAL_US_CC</t>
  </si>
  <si>
    <t>GEOTHERMAL</t>
  </si>
  <si>
    <t>H2_CCGT</t>
  </si>
  <si>
    <t>H2_NG_CCGT</t>
  </si>
  <si>
    <t>H2_NG_CCGT_CCS</t>
  </si>
  <si>
    <t>H2_SNG_CCGT</t>
  </si>
  <si>
    <t>H2_SNG_CCGT_CCS</t>
  </si>
  <si>
    <t>HYDRO_DAM</t>
  </si>
  <si>
    <t>HYDRO_GAS_CHP</t>
  </si>
  <si>
    <t>HYDRO_RIVER</t>
  </si>
  <si>
    <t>HYDRO_STORAGE</t>
  </si>
  <si>
    <t>NEW_HYDRO_DAM</t>
  </si>
  <si>
    <t>NEW_HYDRO_RIVER</t>
  </si>
  <si>
    <t>NEW_WIND_ONSHORE</t>
  </si>
  <si>
    <t>NUCLEAR</t>
  </si>
  <si>
    <t>OCGT_BIOGAS_LARGE</t>
  </si>
  <si>
    <t>OCGT_BIOGAS_SMALL</t>
  </si>
  <si>
    <t>OCGT_LARGE</t>
  </si>
  <si>
    <t>OCGT_SMALL</t>
  </si>
  <si>
    <t>PAFC</t>
  </si>
  <si>
    <t>PEMFC</t>
  </si>
  <si>
    <t>PV_GROUND</t>
  </si>
  <si>
    <t>PV_ROOF</t>
  </si>
  <si>
    <t>SOFC</t>
  </si>
  <si>
    <t>TIDAL</t>
  </si>
  <si>
    <t>WIND_OFFSHORE</t>
  </si>
  <si>
    <t>WIND_ONSHORE</t>
  </si>
  <si>
    <t>Metal_Intensity [t/GW]</t>
  </si>
  <si>
    <t>Aluminum</t>
  </si>
  <si>
    <t>Boron</t>
  </si>
  <si>
    <t>Cadmium</t>
  </si>
  <si>
    <t>Chromium</t>
  </si>
  <si>
    <t>Cobalt</t>
  </si>
  <si>
    <t>Concrete</t>
  </si>
  <si>
    <t>Copper</t>
  </si>
  <si>
    <t>Dysprosium</t>
  </si>
  <si>
    <t>Gallium</t>
  </si>
  <si>
    <t>Germanium</t>
  </si>
  <si>
    <t>Glass</t>
  </si>
  <si>
    <t>Hafnium</t>
  </si>
  <si>
    <t>Indium</t>
  </si>
  <si>
    <t>Iron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</si>
  <si>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</si>
  <si>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</si>
  <si>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</si>
  <si>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</si>
  <si>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</si>
  <si>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</si>
  <si>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</si>
  <si>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</si>
  <si>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Polymers</t>
  </si>
  <si>
    <t>Praesodymium</t>
  </si>
  <si>
    <t>Selenium</t>
  </si>
  <si>
    <t>Silicon</t>
  </si>
  <si>
    <t>Silver</t>
  </si>
  <si>
    <t>Tantalum</t>
  </si>
  <si>
    <t>Tellurium</t>
  </si>
  <si>
    <t>Terbium</t>
  </si>
  <si>
    <t>Tin</t>
  </si>
  <si>
    <t>Tungsten</t>
  </si>
  <si>
    <t>Vanadium</t>
  </si>
  <si>
    <t>Yttrium</t>
  </si>
  <si>
    <t>Zinc</t>
  </si>
  <si>
    <t>Zirconium</t>
  </si>
  <si>
    <t xml:space="preserve">HYDRO </t>
  </si>
  <si>
    <t>Wind_DD-EESG_Onshore</t>
  </si>
  <si>
    <t>Wind_GB-DFIG_SCIG_Onshore</t>
  </si>
  <si>
    <t>Wind_DD-PMSG_Onshore</t>
  </si>
  <si>
    <t>Wind_GB-PMSG_Onshore</t>
  </si>
  <si>
    <t>Nuclear_PWR</t>
  </si>
  <si>
    <t>Geothermal</t>
  </si>
  <si>
    <t>Wind_DD-EESG_Offshore</t>
  </si>
  <si>
    <t>Wind_GB-DFIG_SCIG_Offshore</t>
  </si>
  <si>
    <t>Wind_DD-PMSG_Offshore</t>
  </si>
  <si>
    <t>Wind_GB-PMSG_Offshore</t>
  </si>
  <si>
    <t>Sol_C-si_Silver</t>
  </si>
  <si>
    <t>Sol_C-si_Copper</t>
  </si>
  <si>
    <t>Sol_CdTe</t>
  </si>
  <si>
    <t>Sol_CIGS</t>
  </si>
  <si>
    <t>Sol_a-SiGe</t>
  </si>
  <si>
    <t>Pas de MI</t>
  </si>
  <si>
    <t>LCA</t>
  </si>
  <si>
    <t>lien</t>
  </si>
  <si>
    <t>https://docs.nlr.gov/docs/fy00osti/27715.pdf</t>
  </si>
  <si>
    <t>Foss_NaturalGas</t>
  </si>
  <si>
    <t>Foss_Coal</t>
  </si>
  <si>
    <t>Foss_Hydrogen</t>
  </si>
  <si>
    <t>Bieuville</t>
  </si>
  <si>
    <t>Bieuville + World bank</t>
  </si>
  <si>
    <t>CCS</t>
  </si>
  <si>
    <t>Moss</t>
  </si>
  <si>
    <t>CHP</t>
  </si>
  <si>
    <t>World bank</t>
  </si>
  <si>
    <t>Confident data</t>
  </si>
  <si>
    <t>Fairly confident</t>
  </si>
  <si>
    <t>Assumptions made</t>
  </si>
  <si>
    <t>Not confident</t>
  </si>
  <si>
    <t>CCGT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</si>
</sst>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 (Corps)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1" fillId="3" borderId="1" xfId="0" applyFont="1" applyFill="1" applyBorder="1"/>
    <xf numFmtId="0" fontId="2" fillId="0" borderId="0" xfId="1"/>
    <xf numFmtId="0" fontId="0" fillId="4" borderId="0" xfId="0" applyFill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0" xfId="0" applyFont="1" applyFill="1"/>
    <xf numFmtId="0" fontId="4" fillId="6" borderId="1" xfId="0" applyFont="1" applyFill="1" applyBorder="1"/>
    <xf numFmtId="0" fontId="0" fillId="8" borderId="0" xfId="0" applyFill="1"/>
    <xf numFmtId="0" fontId="0" fillId="6" borderId="0" xfId="0" applyFill="1"/>
    <xf numFmtId="0" fontId="0" fillId="5" borderId="0" xfId="0" applyFill="1"/>
    <xf numFmtId="0" fontId="5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893-025-01762-y" TargetMode="External"/><Relationship Id="rId13" Type="http://schemas.openxmlformats.org/officeDocument/2006/relationships/hyperlink" Target="https://www.nature.com/articles/s41893-025-01762-y" TargetMode="External"/><Relationship Id="rId3" Type="http://schemas.openxmlformats.org/officeDocument/2006/relationships/hyperlink" Target="https://www.nature.com/articles/s41893-025-01762-y" TargetMode="External"/><Relationship Id="rId7" Type="http://schemas.openxmlformats.org/officeDocument/2006/relationships/hyperlink" Target="https://www.nature.com/articles/s41893-025-01762-y" TargetMode="External"/><Relationship Id="rId12" Type="http://schemas.openxmlformats.org/officeDocument/2006/relationships/hyperlink" Target="https://op.europa.eu/fr/publication-detail/-/publication/505c089c-7655-4546-bd17-83f91d581190/language-en" TargetMode="External"/><Relationship Id="rId2" Type="http://schemas.openxmlformats.org/officeDocument/2006/relationships/hyperlink" Target="https://docs.nlr.gov/docs/fy00osti/27715.pdf" TargetMode="External"/><Relationship Id="rId1" Type="http://schemas.openxmlformats.org/officeDocument/2006/relationships/hyperlink" Target="https://www.researchgate.net/publication/223266664_Life_cycle_assessment_of_an_alkaline_fuel_cell_CHP_system?" TargetMode="External"/><Relationship Id="rId6" Type="http://schemas.openxmlformats.org/officeDocument/2006/relationships/hyperlink" Target="https://www.nature.com/articles/s41893-025-01762-y" TargetMode="External"/><Relationship Id="rId11" Type="http://schemas.openxmlformats.org/officeDocument/2006/relationships/hyperlink" Target="https://op.europa.eu/fr/publication-detail/-/publication/505c089c-7655-4546-bd17-83f91d581190/language-en" TargetMode="External"/><Relationship Id="rId5" Type="http://schemas.openxmlformats.org/officeDocument/2006/relationships/hyperlink" Target="https://www.nature.com/articles/s41893-025-01762-y" TargetMode="External"/><Relationship Id="rId10" Type="http://schemas.openxmlformats.org/officeDocument/2006/relationships/hyperlink" Target="https://www.nature.com/articles/s41893-025-01762-y" TargetMode="External"/><Relationship Id="rId4" Type="http://schemas.openxmlformats.org/officeDocument/2006/relationships/hyperlink" Target="https://www.nature.com/articles/s41893-025-01762-y" TargetMode="External"/><Relationship Id="rId9" Type="http://schemas.openxmlformats.org/officeDocument/2006/relationships/hyperlink" Target="https://www.nature.com/articles/s41893-025-01762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9"/>
  <sheetViews>
    <sheetView tabSelected="1" workbookViewId="0">
      <pane xSplit="1" topLeftCell="E1" activePane="topRight" state="frozen"/>
      <selection pane="topRight" activeCell="M47" sqref="M47"/>
    </sheetView>
  </sheetViews>
  <sheetFormatPr baseColWidth="10" defaultColWidth="8.83203125" defaultRowHeight="15" x14ac:dyDescent="0.2"/>
  <cols>
    <col min="1" max="1" width="18.5" bestFit="1" customWidth="1"/>
    <col min="4" max="4" width="13.5" bestFit="1" customWidth="1"/>
    <col min="5" max="5" width="14.5" bestFit="1" customWidth="1"/>
    <col min="6" max="6" width="13.5" bestFit="1" customWidth="1"/>
    <col min="7" max="7" width="9.6640625" bestFit="1" customWidth="1"/>
    <col min="8" max="8" width="12.5" bestFit="1" customWidth="1"/>
    <col min="10" max="10" width="10.83203125" bestFit="1" customWidth="1"/>
    <col min="11" max="11" width="11.5" bestFit="1" customWidth="1"/>
    <col min="13" max="13" width="11.33203125" bestFit="1" customWidth="1"/>
    <col min="14" max="14" width="15" bestFit="1" customWidth="1"/>
    <col min="15" max="15" width="12.1640625" bestFit="1" customWidth="1"/>
    <col min="16" max="16" width="15.83203125" bestFit="1" customWidth="1"/>
    <col min="18" max="18" width="14.33203125" bestFit="1" customWidth="1"/>
    <col min="19" max="19" width="11.6640625" bestFit="1" customWidth="1"/>
    <col min="20" max="20" width="14.1640625" bestFit="1" customWidth="1"/>
    <col min="21" max="21" width="15.5" bestFit="1" customWidth="1"/>
    <col min="22" max="22" width="16.33203125" bestFit="1" customWidth="1"/>
    <col min="23" max="23" width="18.5" bestFit="1" customWidth="1"/>
    <col min="24" max="24" width="24.5" bestFit="1" customWidth="1"/>
    <col min="25" max="25" width="21.1640625" bestFit="1" customWidth="1"/>
    <col min="26" max="26" width="21" bestFit="1" customWidth="1"/>
    <col min="27" max="27" width="11.6640625" bestFit="1" customWidth="1"/>
    <col min="28" max="28" width="17.6640625" bestFit="1" customWidth="1"/>
    <col min="29" max="29" width="17.83203125" bestFit="1" customWidth="1"/>
    <col min="30" max="31" width="13.5" bestFit="1" customWidth="1"/>
    <col min="38" max="38" width="14.33203125" bestFit="1" customWidth="1"/>
    <col min="45" max="45" width="20.1640625" bestFit="1" customWidth="1"/>
  </cols>
  <sheetData>
    <row r="1" spans="1:51" x14ac:dyDescent="0.2">
      <c r="A1" s="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M1" t="s">
        <v>31</v>
      </c>
      <c r="AN1" t="s">
        <v>32</v>
      </c>
      <c r="AO1" t="s">
        <v>33</v>
      </c>
      <c r="AS1" t="s">
        <v>34</v>
      </c>
    </row>
    <row r="2" spans="1:51" x14ac:dyDescent="0.2">
      <c r="B2" s="6"/>
      <c r="C2" s="4" t="s">
        <v>92</v>
      </c>
      <c r="D2" s="4" t="s">
        <v>92</v>
      </c>
      <c r="E2" s="8" t="s">
        <v>92</v>
      </c>
      <c r="F2" s="8" t="s">
        <v>92</v>
      </c>
      <c r="G2" s="8" t="s">
        <v>93</v>
      </c>
      <c r="H2" s="7" t="s">
        <v>93</v>
      </c>
      <c r="I2" s="4" t="s">
        <v>93</v>
      </c>
      <c r="J2" s="10" t="s">
        <v>93</v>
      </c>
      <c r="K2" s="4" t="s">
        <v>78</v>
      </c>
      <c r="L2" s="8" t="s">
        <v>94</v>
      </c>
      <c r="M2" s="8" t="s">
        <v>94</v>
      </c>
      <c r="N2" s="7" t="s">
        <v>94</v>
      </c>
      <c r="O2" s="8" t="s">
        <v>94</v>
      </c>
      <c r="P2" s="7" t="s">
        <v>94</v>
      </c>
      <c r="Q2" s="3" t="s">
        <v>72</v>
      </c>
      <c r="R2" s="6" t="s">
        <v>99</v>
      </c>
      <c r="S2" s="3" t="s">
        <v>72</v>
      </c>
      <c r="T2" s="3" t="s">
        <v>72</v>
      </c>
      <c r="U2" s="3" t="s">
        <v>72</v>
      </c>
      <c r="V2" s="3" t="s">
        <v>72</v>
      </c>
      <c r="W2" s="4" t="s">
        <v>73</v>
      </c>
      <c r="X2" s="4" t="s">
        <v>74</v>
      </c>
      <c r="Y2" s="4" t="s">
        <v>75</v>
      </c>
      <c r="Z2" s="4" t="s">
        <v>76</v>
      </c>
      <c r="AA2" s="4" t="s">
        <v>77</v>
      </c>
      <c r="AB2" s="8" t="s">
        <v>92</v>
      </c>
      <c r="AC2" s="8" t="s">
        <v>92</v>
      </c>
      <c r="AD2" s="8" t="s">
        <v>92</v>
      </c>
      <c r="AE2" s="8" t="s">
        <v>92</v>
      </c>
      <c r="AF2" s="6"/>
      <c r="AG2" s="6"/>
      <c r="AH2" s="4" t="s">
        <v>83</v>
      </c>
      <c r="AI2" s="4" t="s">
        <v>84</v>
      </c>
      <c r="AJ2" s="4" t="s">
        <v>85</v>
      </c>
      <c r="AK2" s="4" t="s">
        <v>86</v>
      </c>
      <c r="AL2" s="4" t="s">
        <v>87</v>
      </c>
      <c r="AM2" s="6"/>
      <c r="AN2" s="6"/>
      <c r="AO2" s="4" t="s">
        <v>79</v>
      </c>
      <c r="AP2" s="4" t="s">
        <v>80</v>
      </c>
      <c r="AQ2" s="4" t="s">
        <v>81</v>
      </c>
      <c r="AR2" s="4" t="s">
        <v>82</v>
      </c>
      <c r="AS2" s="4" t="s">
        <v>73</v>
      </c>
      <c r="AT2" s="4" t="s">
        <v>74</v>
      </c>
      <c r="AU2" s="4" t="s">
        <v>75</v>
      </c>
      <c r="AV2" s="4" t="s">
        <v>76</v>
      </c>
      <c r="AX2" s="9" t="s">
        <v>97</v>
      </c>
      <c r="AY2" s="9" t="s">
        <v>99</v>
      </c>
    </row>
    <row r="3" spans="1:51" x14ac:dyDescent="0.2">
      <c r="A3" s="1" t="s">
        <v>36</v>
      </c>
      <c r="B3">
        <v>121.125</v>
      </c>
      <c r="C3" s="2">
        <v>922.2</v>
      </c>
      <c r="D3" s="2">
        <v>922.2</v>
      </c>
      <c r="E3" s="2">
        <v>922.2</v>
      </c>
      <c r="F3" s="2">
        <v>922.2</v>
      </c>
      <c r="G3" s="2">
        <v>1033.5</v>
      </c>
      <c r="H3" s="2">
        <v>1033.5</v>
      </c>
      <c r="I3" s="2">
        <v>1033.5</v>
      </c>
      <c r="J3" s="2">
        <v>1033.5</v>
      </c>
      <c r="K3" s="2">
        <v>2386</v>
      </c>
      <c r="L3" s="2">
        <v>922.19999999999982</v>
      </c>
      <c r="M3" s="2">
        <v>922.19999999999982</v>
      </c>
      <c r="N3" s="2">
        <v>922.19999999999982</v>
      </c>
      <c r="O3" s="2">
        <v>922.19999999999982</v>
      </c>
      <c r="P3" s="2">
        <v>922.19999999999982</v>
      </c>
      <c r="Q3" s="2">
        <v>3400</v>
      </c>
      <c r="R3" s="2">
        <v>922.2</v>
      </c>
      <c r="S3" s="2">
        <v>3400</v>
      </c>
      <c r="T3" s="2">
        <v>3400</v>
      </c>
      <c r="U3" s="2">
        <v>3400</v>
      </c>
      <c r="V3" s="2">
        <v>3400</v>
      </c>
      <c r="W3" s="2">
        <v>700</v>
      </c>
      <c r="X3" s="2">
        <v>1400</v>
      </c>
      <c r="Y3" s="2">
        <v>500</v>
      </c>
      <c r="Z3" s="2">
        <v>1600</v>
      </c>
      <c r="AA3" s="2">
        <v>61104.4</v>
      </c>
      <c r="AB3" s="2">
        <v>922.2</v>
      </c>
      <c r="AC3" s="2">
        <v>922.2</v>
      </c>
      <c r="AD3" s="2">
        <v>922.2</v>
      </c>
      <c r="AE3" s="2">
        <v>922.2</v>
      </c>
      <c r="AH3" s="2">
        <v>10953</v>
      </c>
      <c r="AI3" s="2">
        <v>10953</v>
      </c>
      <c r="AJ3" s="2">
        <v>10953</v>
      </c>
      <c r="AK3" s="2">
        <v>10953</v>
      </c>
      <c r="AL3" s="2">
        <v>10953</v>
      </c>
      <c r="AO3" s="2">
        <v>700</v>
      </c>
      <c r="AP3" s="2">
        <v>1400</v>
      </c>
      <c r="AQ3" s="2">
        <v>500</v>
      </c>
      <c r="AR3" s="2">
        <v>1600</v>
      </c>
      <c r="AS3" s="2">
        <v>700</v>
      </c>
      <c r="AT3" s="2">
        <v>1400</v>
      </c>
      <c r="AU3" s="2">
        <v>500</v>
      </c>
      <c r="AV3" s="2">
        <v>1600</v>
      </c>
      <c r="AX3" s="2">
        <v>0</v>
      </c>
      <c r="AY3" s="2">
        <v>0</v>
      </c>
    </row>
    <row r="4" spans="1:51" x14ac:dyDescent="0.2">
      <c r="A4" s="1" t="s">
        <v>37</v>
      </c>
      <c r="B4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6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O4" s="2">
        <v>0</v>
      </c>
      <c r="AP4" s="2">
        <v>0</v>
      </c>
      <c r="AQ4" s="2">
        <v>6</v>
      </c>
      <c r="AR4" s="2">
        <v>1</v>
      </c>
      <c r="AS4" s="2">
        <v>0</v>
      </c>
      <c r="AT4" s="2">
        <v>0</v>
      </c>
      <c r="AU4" s="2">
        <v>6</v>
      </c>
      <c r="AV4" s="2">
        <v>1</v>
      </c>
      <c r="AX4" s="2">
        <v>0</v>
      </c>
      <c r="AY4" s="2">
        <v>0</v>
      </c>
    </row>
    <row r="5" spans="1:51" x14ac:dyDescent="0.2">
      <c r="A5" s="1" t="s">
        <v>38</v>
      </c>
      <c r="B5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0.4</v>
      </c>
      <c r="AB5" s="2">
        <v>0</v>
      </c>
      <c r="AC5" s="2">
        <v>0</v>
      </c>
      <c r="AD5" s="2">
        <v>0</v>
      </c>
      <c r="AE5" s="2">
        <v>0</v>
      </c>
      <c r="AH5" s="2">
        <v>0</v>
      </c>
      <c r="AI5" s="2">
        <v>0</v>
      </c>
      <c r="AJ5" s="2">
        <v>87</v>
      </c>
      <c r="AK5" s="2">
        <v>0</v>
      </c>
      <c r="AL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X5" s="2">
        <v>0</v>
      </c>
      <c r="AY5" s="2">
        <v>0</v>
      </c>
    </row>
    <row r="6" spans="1:51" x14ac:dyDescent="0.2">
      <c r="A6" s="1" t="s">
        <v>39</v>
      </c>
      <c r="B6">
        <v>0</v>
      </c>
      <c r="C6" s="2">
        <v>48.34</v>
      </c>
      <c r="D6" s="2">
        <v>48.34</v>
      </c>
      <c r="E6" s="2">
        <f>48.34+326</f>
        <v>374.34000000000003</v>
      </c>
      <c r="F6" s="2">
        <f>48.34+326</f>
        <v>374.34000000000003</v>
      </c>
      <c r="G6" s="2">
        <v>307.5</v>
      </c>
      <c r="H6" s="2">
        <f>307.5+326</f>
        <v>633.5</v>
      </c>
      <c r="I6" s="2">
        <v>307.5</v>
      </c>
      <c r="J6" s="2">
        <f>307.5+326</f>
        <v>633.5</v>
      </c>
      <c r="K6" s="2">
        <v>64405</v>
      </c>
      <c r="L6" s="2">
        <v>0</v>
      </c>
      <c r="M6" s="2">
        <v>0</v>
      </c>
      <c r="N6" s="2">
        <v>326</v>
      </c>
      <c r="O6" s="2">
        <v>0</v>
      </c>
      <c r="P6" s="2">
        <v>0</v>
      </c>
      <c r="Q6" s="2">
        <v>1500</v>
      </c>
      <c r="R6" s="2">
        <v>48.34</v>
      </c>
      <c r="S6" s="2">
        <v>1500</v>
      </c>
      <c r="T6" s="2">
        <v>1500</v>
      </c>
      <c r="U6" s="2">
        <v>1500</v>
      </c>
      <c r="V6" s="2">
        <v>1500</v>
      </c>
      <c r="W6" s="2">
        <v>525</v>
      </c>
      <c r="X6" s="2">
        <v>470</v>
      </c>
      <c r="Y6" s="2">
        <v>525</v>
      </c>
      <c r="Z6" s="2">
        <v>580</v>
      </c>
      <c r="AA6" s="2">
        <v>2190</v>
      </c>
      <c r="AB6" s="2">
        <v>48.34</v>
      </c>
      <c r="AC6" s="2">
        <v>48.34</v>
      </c>
      <c r="AD6" s="2">
        <v>48.34</v>
      </c>
      <c r="AE6" s="2">
        <v>48.34</v>
      </c>
      <c r="AH6" s="2">
        <v>3761</v>
      </c>
      <c r="AI6" s="2">
        <v>3761</v>
      </c>
      <c r="AJ6" s="2">
        <v>3761</v>
      </c>
      <c r="AK6" s="2">
        <v>3761</v>
      </c>
      <c r="AL6" s="2">
        <v>3761</v>
      </c>
      <c r="AO6" s="2">
        <v>525</v>
      </c>
      <c r="AP6" s="2">
        <v>470</v>
      </c>
      <c r="AQ6" s="2">
        <v>525</v>
      </c>
      <c r="AR6" s="2">
        <v>580</v>
      </c>
      <c r="AS6" s="2">
        <v>525</v>
      </c>
      <c r="AT6" s="2">
        <v>470</v>
      </c>
      <c r="AU6" s="2">
        <v>525</v>
      </c>
      <c r="AV6" s="2">
        <v>580</v>
      </c>
      <c r="AX6" s="2">
        <v>326</v>
      </c>
      <c r="AY6" s="2">
        <v>1033</v>
      </c>
    </row>
    <row r="7" spans="1:51" x14ac:dyDescent="0.2">
      <c r="A7" s="1" t="s">
        <v>40</v>
      </c>
      <c r="B7">
        <v>0</v>
      </c>
      <c r="C7" s="2">
        <v>0</v>
      </c>
      <c r="D7" s="2">
        <v>0</v>
      </c>
      <c r="E7" s="2">
        <v>7.5</v>
      </c>
      <c r="F7" s="2">
        <v>7.5</v>
      </c>
      <c r="G7" s="2">
        <v>201.46</v>
      </c>
      <c r="H7" s="2">
        <f>201.46+7.5</f>
        <v>208.96</v>
      </c>
      <c r="I7" s="2">
        <v>201.46</v>
      </c>
      <c r="J7" s="2">
        <f>201.46+7.5</f>
        <v>208.96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1.4285714285714299E-2</v>
      </c>
      <c r="X7" s="2">
        <v>0.553968253968255</v>
      </c>
      <c r="Y7" s="2">
        <v>0.2349206349206347</v>
      </c>
      <c r="Z7" s="2">
        <v>0.19682539682539602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X7" s="2">
        <v>7.5</v>
      </c>
      <c r="AY7" s="2">
        <v>0</v>
      </c>
    </row>
    <row r="8" spans="1:51" x14ac:dyDescent="0.2">
      <c r="A8" s="1" t="s">
        <v>41</v>
      </c>
      <c r="B8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459000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369000</v>
      </c>
      <c r="X8" s="2">
        <v>355000</v>
      </c>
      <c r="Y8" s="2">
        <v>243000</v>
      </c>
      <c r="Z8" s="2">
        <v>413000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H8" s="2">
        <v>60700</v>
      </c>
      <c r="AI8" s="2">
        <v>60700</v>
      </c>
      <c r="AJ8" s="2">
        <v>60700</v>
      </c>
      <c r="AK8" s="2">
        <v>60700</v>
      </c>
      <c r="AL8" s="2">
        <v>60700</v>
      </c>
      <c r="AO8" s="2">
        <v>369000</v>
      </c>
      <c r="AP8" s="2">
        <v>355000</v>
      </c>
      <c r="AQ8" s="2">
        <v>243000</v>
      </c>
      <c r="AR8" s="2">
        <v>413000</v>
      </c>
      <c r="AS8" s="2">
        <v>369000</v>
      </c>
      <c r="AT8" s="2">
        <v>355000</v>
      </c>
      <c r="AU8" s="2">
        <v>243000</v>
      </c>
      <c r="AV8" s="2">
        <v>413000</v>
      </c>
      <c r="AX8" s="2">
        <v>0</v>
      </c>
      <c r="AY8" s="2">
        <v>0</v>
      </c>
    </row>
    <row r="9" spans="1:51" x14ac:dyDescent="0.2">
      <c r="A9" s="1" t="s">
        <v>42</v>
      </c>
      <c r="B9">
        <v>1226.5</v>
      </c>
      <c r="C9" s="2">
        <v>1110</v>
      </c>
      <c r="D9" s="2">
        <v>1110</v>
      </c>
      <c r="E9" s="2">
        <f>1110+692</f>
        <v>1802</v>
      </c>
      <c r="F9" s="2">
        <f>1110+692</f>
        <v>1802</v>
      </c>
      <c r="G9" s="2">
        <v>1150</v>
      </c>
      <c r="H9" s="2">
        <f>1150+692</f>
        <v>1842</v>
      </c>
      <c r="I9" s="2">
        <v>1150</v>
      </c>
      <c r="J9" s="2">
        <f>1150+692</f>
        <v>1842</v>
      </c>
      <c r="K9" s="2">
        <v>2175</v>
      </c>
      <c r="L9" s="2">
        <v>1110</v>
      </c>
      <c r="M9" s="2">
        <v>1110</v>
      </c>
      <c r="N9" s="2">
        <f>1110+692</f>
        <v>1802</v>
      </c>
      <c r="O9" s="2">
        <v>1110</v>
      </c>
      <c r="P9" s="2">
        <f>1110+692</f>
        <v>1802</v>
      </c>
      <c r="Q9" s="2">
        <v>3160</v>
      </c>
      <c r="R9" s="2">
        <v>1110</v>
      </c>
      <c r="S9" s="2">
        <v>3160</v>
      </c>
      <c r="T9" s="2">
        <v>3160</v>
      </c>
      <c r="U9" s="2">
        <v>3160</v>
      </c>
      <c r="V9" s="2">
        <v>3160</v>
      </c>
      <c r="W9" s="2">
        <v>5000</v>
      </c>
      <c r="X9" s="2">
        <v>1400</v>
      </c>
      <c r="Y9" s="2">
        <v>8000</v>
      </c>
      <c r="Z9" s="2">
        <v>950</v>
      </c>
      <c r="AA9" s="2">
        <v>1473.4</v>
      </c>
      <c r="AB9" s="2">
        <v>1110</v>
      </c>
      <c r="AC9" s="2">
        <v>1110</v>
      </c>
      <c r="AD9" s="2">
        <v>1110</v>
      </c>
      <c r="AE9" s="2">
        <v>1110</v>
      </c>
      <c r="AH9" s="2">
        <v>3765</v>
      </c>
      <c r="AI9" s="2">
        <f>AH9+AH29</f>
        <v>3795</v>
      </c>
      <c r="AJ9" s="2">
        <v>3698.0333333333333</v>
      </c>
      <c r="AK9" s="2">
        <v>3123.42</v>
      </c>
      <c r="AL9" s="2">
        <v>3187.82</v>
      </c>
      <c r="AO9" s="2">
        <v>5000</v>
      </c>
      <c r="AP9" s="2">
        <v>1400</v>
      </c>
      <c r="AQ9" s="2">
        <v>8000</v>
      </c>
      <c r="AR9" s="2">
        <v>950</v>
      </c>
      <c r="AS9" s="2">
        <v>5000</v>
      </c>
      <c r="AT9" s="2">
        <v>1400</v>
      </c>
      <c r="AU9" s="2">
        <v>8000</v>
      </c>
      <c r="AV9" s="2">
        <v>950</v>
      </c>
      <c r="AX9" s="2">
        <v>692</v>
      </c>
      <c r="AY9" s="2">
        <v>44448</v>
      </c>
    </row>
    <row r="10" spans="1:51" x14ac:dyDescent="0.2">
      <c r="A10" s="1" t="s">
        <v>43</v>
      </c>
      <c r="B10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2</v>
      </c>
      <c r="Y10" s="2">
        <v>17</v>
      </c>
      <c r="Z10" s="2">
        <v>6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O10" s="2">
        <v>6</v>
      </c>
      <c r="AP10" s="2">
        <v>2</v>
      </c>
      <c r="AQ10" s="2">
        <v>17</v>
      </c>
      <c r="AR10" s="2">
        <v>6</v>
      </c>
      <c r="AS10" s="2">
        <v>6</v>
      </c>
      <c r="AT10" s="2">
        <v>2</v>
      </c>
      <c r="AU10" s="2">
        <v>17</v>
      </c>
      <c r="AV10" s="2">
        <v>6</v>
      </c>
      <c r="AX10" s="2">
        <v>0</v>
      </c>
      <c r="AY10" s="2">
        <v>0</v>
      </c>
    </row>
    <row r="11" spans="1:51" x14ac:dyDescent="0.2">
      <c r="A11" s="1" t="s">
        <v>44</v>
      </c>
      <c r="B11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H11" s="2">
        <v>0</v>
      </c>
      <c r="AI11" s="2">
        <v>0</v>
      </c>
      <c r="AJ11" s="2">
        <v>0</v>
      </c>
      <c r="AK11" s="2">
        <v>9</v>
      </c>
      <c r="AL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X11" s="2">
        <v>0</v>
      </c>
      <c r="AY11" s="2">
        <v>0</v>
      </c>
    </row>
    <row r="12" spans="1:51" x14ac:dyDescent="0.2">
      <c r="A12" s="1" t="s">
        <v>45</v>
      </c>
      <c r="B1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48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X12" s="2">
        <v>0</v>
      </c>
      <c r="AY12" s="2">
        <v>0</v>
      </c>
    </row>
    <row r="13" spans="1:51" x14ac:dyDescent="0.2">
      <c r="A13" s="1" t="s">
        <v>46</v>
      </c>
      <c r="B1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8100</v>
      </c>
      <c r="X13" s="2">
        <v>7700</v>
      </c>
      <c r="Y13" s="2">
        <v>8100</v>
      </c>
      <c r="Z13" s="2">
        <v>8400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H13" s="2">
        <v>46400</v>
      </c>
      <c r="AI13" s="2">
        <v>46400</v>
      </c>
      <c r="AJ13" s="2">
        <v>46400</v>
      </c>
      <c r="AK13" s="2">
        <v>46400</v>
      </c>
      <c r="AL13" s="2">
        <v>46400</v>
      </c>
      <c r="AO13" s="2">
        <v>8100</v>
      </c>
      <c r="AP13" s="2">
        <v>7700</v>
      </c>
      <c r="AQ13" s="2">
        <v>8100</v>
      </c>
      <c r="AR13" s="2">
        <v>8400</v>
      </c>
      <c r="AS13" s="2">
        <v>8100</v>
      </c>
      <c r="AT13" s="2">
        <v>7700</v>
      </c>
      <c r="AU13" s="2">
        <v>8100</v>
      </c>
      <c r="AV13" s="2">
        <v>8400</v>
      </c>
      <c r="AX13" s="2">
        <v>0</v>
      </c>
      <c r="AY13" s="2">
        <v>0</v>
      </c>
    </row>
    <row r="14" spans="1:51" x14ac:dyDescent="0.2">
      <c r="A14" s="1" t="s">
        <v>47</v>
      </c>
      <c r="B14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0.5</v>
      </c>
      <c r="AB14" s="2">
        <v>0</v>
      </c>
      <c r="AC14" s="2">
        <v>0</v>
      </c>
      <c r="AD14" s="2">
        <v>0</v>
      </c>
      <c r="AE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X14" s="2">
        <v>0</v>
      </c>
      <c r="AY14" s="2">
        <v>0</v>
      </c>
    </row>
    <row r="15" spans="1:51" x14ac:dyDescent="0.2">
      <c r="A15" s="1" t="s">
        <v>48</v>
      </c>
      <c r="B15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1.4</v>
      </c>
      <c r="AB15" s="2">
        <v>0</v>
      </c>
      <c r="AC15" s="2">
        <v>0</v>
      </c>
      <c r="AD15" s="2">
        <v>0</v>
      </c>
      <c r="AE15" s="2">
        <v>0</v>
      </c>
      <c r="AH15" s="2">
        <v>0</v>
      </c>
      <c r="AI15" s="2">
        <v>0</v>
      </c>
      <c r="AJ15" s="2">
        <v>0</v>
      </c>
      <c r="AK15" s="2">
        <v>28</v>
      </c>
      <c r="AL15" s="2">
        <v>5.32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X15" s="2">
        <v>0</v>
      </c>
      <c r="AY15" s="2">
        <v>0</v>
      </c>
    </row>
    <row r="16" spans="1:51" x14ac:dyDescent="0.2">
      <c r="A16" s="1" t="s">
        <v>49</v>
      </c>
      <c r="B16">
        <v>0</v>
      </c>
      <c r="C16" s="2">
        <v>6341</v>
      </c>
      <c r="D16" s="2">
        <v>6341</v>
      </c>
      <c r="E16" s="2">
        <v>6341</v>
      </c>
      <c r="F16" s="2">
        <v>6341</v>
      </c>
      <c r="G16" s="2">
        <v>75386.940300000002</v>
      </c>
      <c r="H16" s="2">
        <v>75386.940300000002</v>
      </c>
      <c r="I16" s="2">
        <v>75386.940300000002</v>
      </c>
      <c r="J16" s="2">
        <v>75386.940300000002</v>
      </c>
      <c r="K16" s="2">
        <v>2097520</v>
      </c>
      <c r="L16" s="2">
        <v>15205.682519999998</v>
      </c>
      <c r="M16" s="2">
        <v>15205.682519999998</v>
      </c>
      <c r="N16" s="2">
        <v>15205.682519999998</v>
      </c>
      <c r="O16" s="2">
        <v>15205.682519999998</v>
      </c>
      <c r="P16" s="2">
        <v>15205.682519999998</v>
      </c>
      <c r="Q16" s="2">
        <v>222090.14300000001</v>
      </c>
      <c r="R16" s="2">
        <v>6341</v>
      </c>
      <c r="S16" s="2">
        <v>222090.14300000001</v>
      </c>
      <c r="T16" s="2">
        <v>222090.14300000001</v>
      </c>
      <c r="U16" s="2">
        <v>222090.14300000001</v>
      </c>
      <c r="V16" s="2">
        <v>222090.14300000001</v>
      </c>
      <c r="W16" s="2">
        <v>149988</v>
      </c>
      <c r="X16" s="2">
        <v>128581.8</v>
      </c>
      <c r="Y16" s="2">
        <v>126933</v>
      </c>
      <c r="Z16" s="2">
        <v>126088</v>
      </c>
      <c r="AA16" s="2">
        <v>476186.76</v>
      </c>
      <c r="AB16" s="2">
        <v>6341</v>
      </c>
      <c r="AC16" s="2">
        <v>6341</v>
      </c>
      <c r="AD16" s="2">
        <v>6341</v>
      </c>
      <c r="AE16" s="2">
        <v>6341</v>
      </c>
      <c r="AH16" s="2">
        <v>66446.94</v>
      </c>
      <c r="AI16" s="2">
        <v>66446.94</v>
      </c>
      <c r="AJ16" s="2">
        <v>66446.94</v>
      </c>
      <c r="AK16" s="2">
        <v>66446.94</v>
      </c>
      <c r="AL16" s="2">
        <v>66446.94</v>
      </c>
      <c r="AO16" s="2">
        <v>149988</v>
      </c>
      <c r="AP16" s="2">
        <v>128581.8</v>
      </c>
      <c r="AQ16" s="2">
        <v>126933</v>
      </c>
      <c r="AR16" s="2">
        <v>126088</v>
      </c>
      <c r="AS16" s="2">
        <v>149988</v>
      </c>
      <c r="AT16" s="2">
        <v>128581.8</v>
      </c>
      <c r="AU16" s="2">
        <v>126933</v>
      </c>
      <c r="AV16" s="2">
        <v>126088</v>
      </c>
      <c r="AX16" s="2">
        <v>0</v>
      </c>
      <c r="AY16" s="2">
        <v>0</v>
      </c>
    </row>
    <row r="17" spans="1:51" x14ac:dyDescent="0.2">
      <c r="A17" s="1" t="s">
        <v>50</v>
      </c>
      <c r="B17">
        <v>0</v>
      </c>
      <c r="C17" s="2">
        <v>5</v>
      </c>
      <c r="D17" s="2">
        <v>5</v>
      </c>
      <c r="E17" s="2">
        <v>5</v>
      </c>
      <c r="F17" s="2">
        <v>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300</v>
      </c>
      <c r="R17" s="2">
        <v>5</v>
      </c>
      <c r="S17" s="2">
        <v>300</v>
      </c>
      <c r="T17" s="2">
        <v>300</v>
      </c>
      <c r="U17" s="2">
        <v>300</v>
      </c>
      <c r="V17" s="2">
        <v>300</v>
      </c>
      <c r="W17" s="2">
        <v>0</v>
      </c>
      <c r="X17" s="2">
        <v>0</v>
      </c>
      <c r="Y17" s="2">
        <v>0</v>
      </c>
      <c r="Z17" s="2">
        <v>0</v>
      </c>
      <c r="AA17" s="2">
        <v>4</v>
      </c>
      <c r="AB17" s="2">
        <v>5</v>
      </c>
      <c r="AC17" s="2">
        <v>5</v>
      </c>
      <c r="AD17" s="2">
        <v>5</v>
      </c>
      <c r="AE17" s="2">
        <v>5</v>
      </c>
      <c r="AH17" s="2">
        <v>39</v>
      </c>
      <c r="AI17" s="2">
        <v>39</v>
      </c>
      <c r="AJ17" s="2">
        <v>8</v>
      </c>
      <c r="AK17" s="2">
        <v>0</v>
      </c>
      <c r="AL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X17" s="2">
        <v>0</v>
      </c>
      <c r="AY17" s="2">
        <v>0.5</v>
      </c>
    </row>
    <row r="18" spans="1:51" x14ac:dyDescent="0.2">
      <c r="A18" s="1" t="s">
        <v>51</v>
      </c>
      <c r="B18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X18" s="2">
        <v>0</v>
      </c>
      <c r="AY18" s="2">
        <v>0</v>
      </c>
    </row>
    <row r="19" spans="1:51" x14ac:dyDescent="0.2">
      <c r="A19" s="1" t="s">
        <v>52</v>
      </c>
      <c r="B19">
        <v>0</v>
      </c>
      <c r="C19" s="2">
        <v>2</v>
      </c>
      <c r="D19" s="2">
        <v>2</v>
      </c>
      <c r="E19" s="2">
        <v>2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100</v>
      </c>
      <c r="R19" s="2">
        <v>2</v>
      </c>
      <c r="S19" s="2">
        <v>100</v>
      </c>
      <c r="T19" s="2">
        <v>100</v>
      </c>
      <c r="U19" s="2">
        <v>100</v>
      </c>
      <c r="V19" s="2">
        <v>100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2</v>
      </c>
      <c r="AC19" s="2">
        <v>2</v>
      </c>
      <c r="AD19" s="2">
        <v>2</v>
      </c>
      <c r="AE19" s="2">
        <v>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X19" s="2">
        <v>0</v>
      </c>
      <c r="AY19" s="2">
        <v>0</v>
      </c>
    </row>
    <row r="20" spans="1:51" x14ac:dyDescent="0.2">
      <c r="A20" s="1" t="s">
        <v>53</v>
      </c>
      <c r="B20">
        <v>0</v>
      </c>
      <c r="C20" s="2">
        <v>27</v>
      </c>
      <c r="D20" s="2">
        <v>27</v>
      </c>
      <c r="E20" s="2">
        <f>27+3761</f>
        <v>3788</v>
      </c>
      <c r="F20" s="2">
        <f>27+3761</f>
        <v>3788</v>
      </c>
      <c r="G20" s="2">
        <v>4.63</v>
      </c>
      <c r="H20" s="2">
        <f>4.63+3761</f>
        <v>3765.63</v>
      </c>
      <c r="I20" s="2">
        <v>4.63</v>
      </c>
      <c r="J20" s="2">
        <f>4.63+3761</f>
        <v>3765.63</v>
      </c>
      <c r="K20" s="2">
        <v>4325</v>
      </c>
      <c r="L20" s="2">
        <v>0</v>
      </c>
      <c r="M20" s="2">
        <v>0</v>
      </c>
      <c r="N20" s="2">
        <v>3761</v>
      </c>
      <c r="O20" s="2">
        <v>0</v>
      </c>
      <c r="P20" s="2">
        <v>3761</v>
      </c>
      <c r="Q20" s="2">
        <v>200</v>
      </c>
      <c r="R20" s="2">
        <v>27</v>
      </c>
      <c r="S20" s="2">
        <v>200</v>
      </c>
      <c r="T20" s="2">
        <v>200</v>
      </c>
      <c r="U20" s="2">
        <v>200</v>
      </c>
      <c r="V20" s="2">
        <v>200</v>
      </c>
      <c r="W20" s="2">
        <v>790</v>
      </c>
      <c r="X20" s="2">
        <v>780</v>
      </c>
      <c r="Y20" s="2">
        <v>790</v>
      </c>
      <c r="Z20" s="2">
        <v>800</v>
      </c>
      <c r="AA20" s="2">
        <v>147.69</v>
      </c>
      <c r="AB20" s="2">
        <v>27</v>
      </c>
      <c r="AC20" s="2">
        <v>27</v>
      </c>
      <c r="AD20" s="2">
        <v>27</v>
      </c>
      <c r="AE20" s="2">
        <v>27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O20" s="2">
        <v>790</v>
      </c>
      <c r="AP20" s="2">
        <v>780</v>
      </c>
      <c r="AQ20" s="2">
        <v>790</v>
      </c>
      <c r="AR20" s="2">
        <v>800</v>
      </c>
      <c r="AS20" s="2">
        <v>790</v>
      </c>
      <c r="AT20" s="2">
        <v>780</v>
      </c>
      <c r="AU20" s="2">
        <v>790</v>
      </c>
      <c r="AV20" s="2">
        <v>800</v>
      </c>
      <c r="AX20" s="2">
        <v>3761</v>
      </c>
      <c r="AY20" s="2">
        <v>108</v>
      </c>
    </row>
    <row r="21" spans="1:51" x14ac:dyDescent="0.2">
      <c r="A21" s="1" t="s">
        <v>54</v>
      </c>
      <c r="B21">
        <v>0</v>
      </c>
      <c r="C21" s="2">
        <v>0</v>
      </c>
      <c r="D21" s="2">
        <v>0</v>
      </c>
      <c r="E21" s="2">
        <v>7.5</v>
      </c>
      <c r="F21" s="2">
        <v>7.5</v>
      </c>
      <c r="G21" s="2">
        <v>0</v>
      </c>
      <c r="H21" s="2">
        <v>7.5</v>
      </c>
      <c r="I21" s="2">
        <v>0</v>
      </c>
      <c r="J21" s="2">
        <v>7.5</v>
      </c>
      <c r="K21" s="2">
        <v>7209</v>
      </c>
      <c r="L21" s="2">
        <v>0</v>
      </c>
      <c r="M21" s="2">
        <v>0</v>
      </c>
      <c r="N21" s="2">
        <v>7.5</v>
      </c>
      <c r="O21" s="2">
        <v>0</v>
      </c>
      <c r="P21" s="2">
        <v>7.5</v>
      </c>
      <c r="Q21" s="2">
        <v>250</v>
      </c>
      <c r="R21" s="2">
        <v>0</v>
      </c>
      <c r="S21" s="2">
        <v>250</v>
      </c>
      <c r="T21" s="2">
        <v>250</v>
      </c>
      <c r="U21" s="2">
        <v>250</v>
      </c>
      <c r="V21" s="2">
        <v>250</v>
      </c>
      <c r="W21" s="2">
        <v>109</v>
      </c>
      <c r="X21" s="2">
        <v>99</v>
      </c>
      <c r="Y21" s="2">
        <v>109</v>
      </c>
      <c r="Z21" s="2">
        <v>119</v>
      </c>
      <c r="AA21" s="2">
        <v>70.8</v>
      </c>
      <c r="AB21" s="2">
        <v>0</v>
      </c>
      <c r="AC21" s="2">
        <v>0</v>
      </c>
      <c r="AD21" s="2">
        <v>0</v>
      </c>
      <c r="AE21" s="2">
        <v>0</v>
      </c>
      <c r="AH21" s="2">
        <v>200</v>
      </c>
      <c r="AI21" s="2">
        <v>200</v>
      </c>
      <c r="AJ21" s="2">
        <v>200</v>
      </c>
      <c r="AK21" s="2">
        <v>200</v>
      </c>
      <c r="AL21" s="2">
        <v>200</v>
      </c>
      <c r="AO21" s="2">
        <v>109</v>
      </c>
      <c r="AP21" s="2">
        <v>99</v>
      </c>
      <c r="AQ21" s="2">
        <v>109</v>
      </c>
      <c r="AR21" s="2">
        <v>119</v>
      </c>
      <c r="AS21" s="2">
        <v>109</v>
      </c>
      <c r="AT21" s="2">
        <v>99</v>
      </c>
      <c r="AU21" s="2">
        <v>109</v>
      </c>
      <c r="AV21" s="2">
        <v>119</v>
      </c>
      <c r="AX21" s="2">
        <v>7.5</v>
      </c>
      <c r="AY21" s="2">
        <v>0</v>
      </c>
    </row>
    <row r="22" spans="1:51" x14ac:dyDescent="0.2">
      <c r="A22" s="1" t="s">
        <v>55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28</v>
      </c>
      <c r="X22" s="2">
        <v>12</v>
      </c>
      <c r="Y22" s="2">
        <v>186</v>
      </c>
      <c r="Z22" s="2">
        <v>51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O22" s="2">
        <v>28</v>
      </c>
      <c r="AP22" s="2">
        <v>12</v>
      </c>
      <c r="AQ22" s="2">
        <v>186</v>
      </c>
      <c r="AR22" s="2">
        <v>51</v>
      </c>
      <c r="AS22" s="2">
        <v>28</v>
      </c>
      <c r="AT22" s="2">
        <v>12</v>
      </c>
      <c r="AU22" s="2">
        <v>186</v>
      </c>
      <c r="AV22" s="2">
        <v>51</v>
      </c>
      <c r="AX22" s="2">
        <v>0</v>
      </c>
      <c r="AY22" s="2">
        <v>0</v>
      </c>
    </row>
    <row r="23" spans="1:51" x14ac:dyDescent="0.2">
      <c r="A23" s="1" t="s">
        <v>56</v>
      </c>
      <c r="B23">
        <v>686.375</v>
      </c>
      <c r="C23" s="2">
        <v>15.75</v>
      </c>
      <c r="D23" s="2">
        <v>15.75</v>
      </c>
      <c r="E23" s="2">
        <f>15.75+1145</f>
        <v>1160.75</v>
      </c>
      <c r="F23" s="2">
        <f>15.75+1145</f>
        <v>1160.75</v>
      </c>
      <c r="G23" s="2">
        <v>721.04</v>
      </c>
      <c r="H23" s="2">
        <f>721.04+1145</f>
        <v>1866.04</v>
      </c>
      <c r="I23" s="2">
        <v>721.04</v>
      </c>
      <c r="J23" s="2">
        <f>721.04+1145</f>
        <v>1866.04</v>
      </c>
      <c r="K23" s="2">
        <v>120155</v>
      </c>
      <c r="L23" s="2">
        <v>0</v>
      </c>
      <c r="M23" s="2">
        <v>0</v>
      </c>
      <c r="N23" s="2">
        <v>1145</v>
      </c>
      <c r="O23" s="2">
        <v>0</v>
      </c>
      <c r="P23" s="2">
        <v>1145</v>
      </c>
      <c r="Q23" s="2">
        <v>0</v>
      </c>
      <c r="R23" s="2">
        <v>15.75</v>
      </c>
      <c r="S23" s="2">
        <v>0</v>
      </c>
      <c r="T23" s="2">
        <v>0</v>
      </c>
      <c r="U23" s="2">
        <v>0</v>
      </c>
      <c r="V23" s="2">
        <v>0</v>
      </c>
      <c r="W23" s="2">
        <v>340</v>
      </c>
      <c r="X23" s="2">
        <v>430</v>
      </c>
      <c r="Y23" s="2">
        <v>240</v>
      </c>
      <c r="Z23" s="2">
        <v>440</v>
      </c>
      <c r="AA23" s="2">
        <v>1297.4000000000001</v>
      </c>
      <c r="AB23" s="2">
        <v>15.75</v>
      </c>
      <c r="AC23" s="2">
        <v>15.75</v>
      </c>
      <c r="AD23" s="2">
        <v>15.75</v>
      </c>
      <c r="AE23" s="2">
        <v>15.75</v>
      </c>
      <c r="AH23" s="2">
        <v>1.3</v>
      </c>
      <c r="AI23" s="2">
        <v>1.3</v>
      </c>
      <c r="AJ23" s="2">
        <v>16</v>
      </c>
      <c r="AK23" s="2">
        <v>0</v>
      </c>
      <c r="AL23" s="2">
        <v>0</v>
      </c>
      <c r="AO23" s="2">
        <v>340</v>
      </c>
      <c r="AP23" s="2">
        <v>430</v>
      </c>
      <c r="AQ23" s="2">
        <v>240</v>
      </c>
      <c r="AR23" s="2">
        <v>440</v>
      </c>
      <c r="AS23" s="2">
        <v>340</v>
      </c>
      <c r="AT23" s="2">
        <v>430</v>
      </c>
      <c r="AU23" s="2">
        <v>240</v>
      </c>
      <c r="AV23" s="2">
        <v>440</v>
      </c>
      <c r="AX23" s="2">
        <v>1145</v>
      </c>
      <c r="AY23" s="2">
        <v>541</v>
      </c>
    </row>
    <row r="24" spans="1:51" x14ac:dyDescent="0.2">
      <c r="A24" s="1" t="s">
        <v>57</v>
      </c>
      <c r="B24">
        <v>0</v>
      </c>
      <c r="C24" s="2">
        <v>0</v>
      </c>
      <c r="D24" s="2">
        <v>0</v>
      </c>
      <c r="E24" s="2">
        <v>100</v>
      </c>
      <c r="F24" s="2">
        <v>100</v>
      </c>
      <c r="G24" s="2">
        <v>0</v>
      </c>
      <c r="H24" s="2">
        <v>100</v>
      </c>
      <c r="I24" s="2">
        <v>0</v>
      </c>
      <c r="J24" s="2">
        <v>100</v>
      </c>
      <c r="K24" s="2">
        <v>128</v>
      </c>
      <c r="L24" s="2">
        <v>0</v>
      </c>
      <c r="M24" s="2">
        <v>0</v>
      </c>
      <c r="N24" s="2">
        <v>100</v>
      </c>
      <c r="O24" s="2">
        <v>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2</v>
      </c>
      <c r="AB24" s="2">
        <v>0</v>
      </c>
      <c r="AC24" s="2">
        <v>0</v>
      </c>
      <c r="AD24" s="2">
        <v>0</v>
      </c>
      <c r="AE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X24" s="2">
        <v>100</v>
      </c>
      <c r="AY24" s="2">
        <v>0</v>
      </c>
    </row>
    <row r="25" spans="1:51" x14ac:dyDescent="0.2">
      <c r="A25" s="1" t="s">
        <v>58</v>
      </c>
      <c r="B25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732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4600</v>
      </c>
      <c r="X25" s="2">
        <v>4600</v>
      </c>
      <c r="Y25" s="2">
        <v>4600</v>
      </c>
      <c r="Z25" s="2">
        <v>4600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H25" s="2">
        <v>8600</v>
      </c>
      <c r="AI25" s="2">
        <v>8600</v>
      </c>
      <c r="AJ25" s="2">
        <v>8600</v>
      </c>
      <c r="AK25" s="2">
        <v>8600</v>
      </c>
      <c r="AL25" s="2">
        <v>8600</v>
      </c>
      <c r="AO25" s="2">
        <v>4600</v>
      </c>
      <c r="AP25" s="2">
        <v>4600</v>
      </c>
      <c r="AQ25" s="2">
        <v>4600</v>
      </c>
      <c r="AR25" s="2">
        <v>4600</v>
      </c>
      <c r="AS25" s="2">
        <v>4600</v>
      </c>
      <c r="AT25" s="2">
        <v>4600</v>
      </c>
      <c r="AU25" s="2">
        <v>4600</v>
      </c>
      <c r="AV25" s="2">
        <v>4600</v>
      </c>
      <c r="AX25" s="2">
        <v>0</v>
      </c>
      <c r="AY25" s="2">
        <v>0</v>
      </c>
    </row>
    <row r="26" spans="1:51" x14ac:dyDescent="0.2">
      <c r="A26" s="1" t="s">
        <v>59</v>
      </c>
      <c r="B26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9</v>
      </c>
      <c r="X26" s="2">
        <v>0</v>
      </c>
      <c r="Y26" s="2">
        <v>35</v>
      </c>
      <c r="Z26" s="2">
        <v>4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O26" s="2">
        <v>9</v>
      </c>
      <c r="AP26" s="2">
        <v>0</v>
      </c>
      <c r="AQ26" s="2">
        <v>35</v>
      </c>
      <c r="AR26" s="2">
        <v>4</v>
      </c>
      <c r="AS26" s="2">
        <v>9</v>
      </c>
      <c r="AT26" s="2">
        <v>0</v>
      </c>
      <c r="AU26" s="2">
        <v>35</v>
      </c>
      <c r="AV26" s="2">
        <v>4</v>
      </c>
      <c r="AX26" s="2">
        <v>0</v>
      </c>
      <c r="AY26" s="2">
        <v>0</v>
      </c>
    </row>
    <row r="27" spans="1:51" x14ac:dyDescent="0.2">
      <c r="A27" s="1" t="s">
        <v>60</v>
      </c>
      <c r="B27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H27" s="2">
        <v>0</v>
      </c>
      <c r="AI27" s="2">
        <v>0</v>
      </c>
      <c r="AJ27" s="2">
        <v>0</v>
      </c>
      <c r="AK27" s="2">
        <v>61</v>
      </c>
      <c r="AL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X27" s="2">
        <v>0</v>
      </c>
      <c r="AY27" s="2">
        <v>0</v>
      </c>
    </row>
    <row r="28" spans="1:51" x14ac:dyDescent="0.2">
      <c r="A28" s="1" t="s">
        <v>61</v>
      </c>
      <c r="B28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H28" s="2">
        <v>4000</v>
      </c>
      <c r="AI28" s="2">
        <v>4000</v>
      </c>
      <c r="AJ28" s="2">
        <v>0</v>
      </c>
      <c r="AK28" s="2">
        <v>0</v>
      </c>
      <c r="AL28" s="2">
        <v>150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X28" s="2">
        <v>0</v>
      </c>
      <c r="AY28" s="2">
        <v>0</v>
      </c>
    </row>
    <row r="29" spans="1:51" x14ac:dyDescent="0.2">
      <c r="A29" s="1" t="s">
        <v>62</v>
      </c>
      <c r="B29">
        <v>475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7.5</v>
      </c>
      <c r="AB29" s="2">
        <v>0</v>
      </c>
      <c r="AC29" s="2">
        <v>0</v>
      </c>
      <c r="AD29" s="2">
        <v>0</v>
      </c>
      <c r="AE29" s="2">
        <v>0</v>
      </c>
      <c r="AH29" s="2">
        <v>30</v>
      </c>
      <c r="AI29" s="2">
        <v>0</v>
      </c>
      <c r="AJ29" s="2">
        <v>0</v>
      </c>
      <c r="AK29" s="2">
        <v>0</v>
      </c>
      <c r="AL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X29" s="2">
        <v>0</v>
      </c>
      <c r="AY29" s="2">
        <v>0</v>
      </c>
    </row>
    <row r="30" spans="1:51" x14ac:dyDescent="0.2">
      <c r="A30" s="1" t="s">
        <v>63</v>
      </c>
      <c r="B30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64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X30" s="2">
        <v>0</v>
      </c>
      <c r="AY30" s="2">
        <v>0</v>
      </c>
    </row>
    <row r="31" spans="1:51" x14ac:dyDescent="0.2">
      <c r="A31" s="1" t="s">
        <v>64</v>
      </c>
      <c r="B31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H31" s="2">
        <v>0</v>
      </c>
      <c r="AI31" s="2">
        <v>0</v>
      </c>
      <c r="AJ31" s="2">
        <v>92</v>
      </c>
      <c r="AK31" s="2">
        <v>0</v>
      </c>
      <c r="AL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X31" s="2">
        <v>0</v>
      </c>
      <c r="AY31" s="2">
        <v>0</v>
      </c>
    </row>
    <row r="32" spans="1:51" x14ac:dyDescent="0.2">
      <c r="A32" s="1" t="s">
        <v>65</v>
      </c>
      <c r="B3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7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O32" s="2">
        <v>1</v>
      </c>
      <c r="AP32" s="2">
        <v>0</v>
      </c>
      <c r="AQ32" s="2">
        <v>7</v>
      </c>
      <c r="AR32" s="2">
        <v>1</v>
      </c>
      <c r="AS32" s="2">
        <v>1</v>
      </c>
      <c r="AT32" s="2">
        <v>0</v>
      </c>
      <c r="AU32" s="2">
        <v>7</v>
      </c>
      <c r="AV32" s="2">
        <v>1</v>
      </c>
      <c r="AX32" s="2">
        <v>0</v>
      </c>
      <c r="AY32" s="2">
        <v>0</v>
      </c>
    </row>
    <row r="33" spans="1:51" x14ac:dyDescent="0.2">
      <c r="A33" s="1" t="s">
        <v>66</v>
      </c>
      <c r="B33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5</v>
      </c>
      <c r="AB33" s="2">
        <v>0</v>
      </c>
      <c r="AC33" s="2">
        <v>0</v>
      </c>
      <c r="AD33" s="2">
        <v>0</v>
      </c>
      <c r="AE33" s="2">
        <v>0</v>
      </c>
      <c r="AH33" s="2">
        <v>332</v>
      </c>
      <c r="AI33" s="2">
        <v>332</v>
      </c>
      <c r="AJ33" s="2">
        <v>332</v>
      </c>
      <c r="AK33" s="2">
        <v>332</v>
      </c>
      <c r="AL33" s="2">
        <v>332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X33" s="2">
        <v>0</v>
      </c>
      <c r="AY33" s="2">
        <v>168</v>
      </c>
    </row>
    <row r="34" spans="1:51" x14ac:dyDescent="0.2">
      <c r="A34" s="1" t="s">
        <v>67</v>
      </c>
      <c r="B34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5</v>
      </c>
      <c r="AB34" s="2">
        <v>0</v>
      </c>
      <c r="AC34" s="2">
        <v>0</v>
      </c>
      <c r="AD34" s="2">
        <v>0</v>
      </c>
      <c r="AE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X34" s="2">
        <v>0</v>
      </c>
      <c r="AY34" s="2">
        <v>0</v>
      </c>
    </row>
    <row r="35" spans="1:51" x14ac:dyDescent="0.2">
      <c r="A35" s="1" t="s">
        <v>68</v>
      </c>
      <c r="B35">
        <v>0</v>
      </c>
      <c r="C35" s="2">
        <v>0</v>
      </c>
      <c r="D35" s="2">
        <v>0</v>
      </c>
      <c r="E35" s="2">
        <v>100</v>
      </c>
      <c r="F35" s="2">
        <v>100</v>
      </c>
      <c r="G35" s="2">
        <v>0</v>
      </c>
      <c r="H35" s="2">
        <v>100</v>
      </c>
      <c r="I35" s="2">
        <v>0</v>
      </c>
      <c r="J35" s="2">
        <v>100</v>
      </c>
      <c r="K35" s="2">
        <v>0</v>
      </c>
      <c r="L35" s="2">
        <v>0</v>
      </c>
      <c r="M35" s="2">
        <v>0</v>
      </c>
      <c r="N35" s="2">
        <v>100</v>
      </c>
      <c r="O35" s="2">
        <v>0</v>
      </c>
      <c r="P35" s="2">
        <v>100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3</v>
      </c>
      <c r="AB35" s="2">
        <v>0</v>
      </c>
      <c r="AC35" s="2">
        <v>0</v>
      </c>
      <c r="AD35" s="2">
        <v>0</v>
      </c>
      <c r="AE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X35" s="2">
        <v>100</v>
      </c>
      <c r="AY35" s="2">
        <v>0</v>
      </c>
    </row>
    <row r="36" spans="1:51" x14ac:dyDescent="0.2">
      <c r="A36" s="1" t="s">
        <v>69</v>
      </c>
      <c r="B36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0</v>
      </c>
      <c r="AD36" s="2">
        <v>0</v>
      </c>
      <c r="AE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X36" s="2">
        <v>0</v>
      </c>
      <c r="AY36" s="2">
        <v>0</v>
      </c>
    </row>
    <row r="37" spans="1:51" x14ac:dyDescent="0.2">
      <c r="A37" s="1" t="s">
        <v>70</v>
      </c>
      <c r="B37">
        <v>0</v>
      </c>
      <c r="C37" s="2">
        <v>20</v>
      </c>
      <c r="D37" s="2">
        <v>20</v>
      </c>
      <c r="E37" s="2">
        <v>20</v>
      </c>
      <c r="F37" s="2">
        <v>20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400</v>
      </c>
      <c r="R37" s="2">
        <v>20</v>
      </c>
      <c r="S37" s="2">
        <v>400</v>
      </c>
      <c r="T37" s="2">
        <v>400</v>
      </c>
      <c r="U37" s="2">
        <v>400</v>
      </c>
      <c r="V37" s="2">
        <v>400</v>
      </c>
      <c r="W37" s="2">
        <v>5500</v>
      </c>
      <c r="X37" s="2">
        <v>5500</v>
      </c>
      <c r="Y37" s="2">
        <v>5500</v>
      </c>
      <c r="Z37" s="2">
        <v>5500</v>
      </c>
      <c r="AA37" s="2">
        <v>48</v>
      </c>
      <c r="AB37" s="2">
        <v>20</v>
      </c>
      <c r="AC37" s="2">
        <v>20</v>
      </c>
      <c r="AD37" s="2">
        <v>20</v>
      </c>
      <c r="AE37" s="2">
        <v>20</v>
      </c>
      <c r="AH37" s="2">
        <v>1400</v>
      </c>
      <c r="AI37" s="2">
        <v>1400</v>
      </c>
      <c r="AJ37" s="2">
        <v>1400</v>
      </c>
      <c r="AK37" s="2">
        <v>1400</v>
      </c>
      <c r="AL37" s="2">
        <v>1400</v>
      </c>
      <c r="AO37" s="2">
        <v>5500</v>
      </c>
      <c r="AP37" s="2">
        <v>5500</v>
      </c>
      <c r="AQ37" s="2">
        <v>5500</v>
      </c>
      <c r="AR37" s="2">
        <v>5500</v>
      </c>
      <c r="AS37" s="2">
        <v>5500</v>
      </c>
      <c r="AT37" s="2">
        <v>5500</v>
      </c>
      <c r="AU37" s="2">
        <v>5500</v>
      </c>
      <c r="AV37" s="2">
        <v>5500</v>
      </c>
      <c r="AX37" s="2">
        <v>0</v>
      </c>
      <c r="AY37" s="2">
        <v>9</v>
      </c>
    </row>
    <row r="38" spans="1:51" x14ac:dyDescent="0.2">
      <c r="A38" s="1" t="s">
        <v>71</v>
      </c>
      <c r="B38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31</v>
      </c>
      <c r="AB38" s="2">
        <v>0</v>
      </c>
      <c r="AC38" s="2">
        <v>0</v>
      </c>
      <c r="AD38" s="2">
        <v>0</v>
      </c>
      <c r="AE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X38" s="2">
        <v>0</v>
      </c>
      <c r="AY38" s="2">
        <v>0</v>
      </c>
    </row>
    <row r="39" spans="1:51" x14ac:dyDescent="0.2">
      <c r="B39" t="s">
        <v>88</v>
      </c>
      <c r="C39" s="5" t="s">
        <v>95</v>
      </c>
      <c r="D39" s="5" t="s">
        <v>95</v>
      </c>
      <c r="E39" s="5" t="s">
        <v>96</v>
      </c>
      <c r="F39" s="5" t="s">
        <v>96</v>
      </c>
      <c r="G39" s="5" t="s">
        <v>95</v>
      </c>
      <c r="H39" s="5" t="s">
        <v>96</v>
      </c>
      <c r="I39" s="5" t="s">
        <v>98</v>
      </c>
      <c r="J39" s="5" t="s">
        <v>96</v>
      </c>
      <c r="K39" s="5" t="s">
        <v>95</v>
      </c>
      <c r="L39" s="5" t="s">
        <v>95</v>
      </c>
      <c r="M39" s="5" t="s">
        <v>95</v>
      </c>
      <c r="N39" s="5" t="s">
        <v>96</v>
      </c>
      <c r="O39" s="5" t="s">
        <v>95</v>
      </c>
      <c r="P39" s="5" t="s">
        <v>96</v>
      </c>
      <c r="Q39" s="5" t="s">
        <v>95</v>
      </c>
      <c r="R39" s="14" t="s">
        <v>105</v>
      </c>
      <c r="S39" s="5" t="s">
        <v>95</v>
      </c>
      <c r="T39" s="5" t="s">
        <v>95</v>
      </c>
      <c r="U39" s="5" t="s">
        <v>95</v>
      </c>
      <c r="V39" s="5" t="s">
        <v>95</v>
      </c>
      <c r="W39" s="5" t="s">
        <v>95</v>
      </c>
      <c r="X39" s="5" t="s">
        <v>95</v>
      </c>
      <c r="Y39" s="5" t="s">
        <v>95</v>
      </c>
      <c r="Z39" s="5" t="s">
        <v>95</v>
      </c>
      <c r="AA39" s="5" t="s">
        <v>95</v>
      </c>
      <c r="AB39" s="5" t="s">
        <v>95</v>
      </c>
      <c r="AC39" s="5" t="s">
        <v>95</v>
      </c>
      <c r="AD39" s="5" t="s">
        <v>95</v>
      </c>
      <c r="AE39" s="5" t="s">
        <v>95</v>
      </c>
      <c r="AF39" s="5"/>
      <c r="AG39" s="5"/>
      <c r="AH39" s="5" t="s">
        <v>95</v>
      </c>
      <c r="AI39" s="5" t="s">
        <v>95</v>
      </c>
      <c r="AJ39" s="5" t="s">
        <v>95</v>
      </c>
      <c r="AK39" s="5" t="s">
        <v>95</v>
      </c>
      <c r="AL39" s="5" t="s">
        <v>95</v>
      </c>
      <c r="AM39" s="5"/>
      <c r="AN39" s="5"/>
      <c r="AO39" s="5" t="s">
        <v>95</v>
      </c>
      <c r="AP39" s="5" t="s">
        <v>95</v>
      </c>
      <c r="AQ39" s="5" t="s">
        <v>95</v>
      </c>
      <c r="AR39" s="5" t="s">
        <v>95</v>
      </c>
      <c r="AS39" s="5" t="s">
        <v>95</v>
      </c>
      <c r="AT39" s="5" t="s">
        <v>95</v>
      </c>
      <c r="AU39" s="5" t="s">
        <v>95</v>
      </c>
      <c r="AV39" s="5" t="s">
        <v>95</v>
      </c>
      <c r="AX39" s="5" t="s">
        <v>100</v>
      </c>
      <c r="AY39" s="5" t="s">
        <v>98</v>
      </c>
    </row>
    <row r="40" spans="1:51" x14ac:dyDescent="0.2">
      <c r="B40" t="s">
        <v>89</v>
      </c>
      <c r="C40" t="s">
        <v>89</v>
      </c>
    </row>
    <row r="41" spans="1:51" x14ac:dyDescent="0.2">
      <c r="B41" s="5" t="s">
        <v>90</v>
      </c>
      <c r="C41" s="5" t="s">
        <v>91</v>
      </c>
    </row>
    <row r="43" spans="1:51" x14ac:dyDescent="0.2">
      <c r="C43" s="6" t="s">
        <v>1</v>
      </c>
      <c r="E43" s="11"/>
      <c r="F43" t="s">
        <v>101</v>
      </c>
    </row>
    <row r="44" spans="1:51" x14ac:dyDescent="0.2">
      <c r="C44">
        <v>204</v>
      </c>
      <c r="E44" s="12"/>
      <c r="F44" t="s">
        <v>102</v>
      </c>
    </row>
    <row r="45" spans="1:51" x14ac:dyDescent="0.2">
      <c r="C45">
        <v>0</v>
      </c>
      <c r="E45" s="13"/>
      <c r="F45" t="s">
        <v>103</v>
      </c>
    </row>
    <row r="46" spans="1:51" x14ac:dyDescent="0.2">
      <c r="C46">
        <v>0</v>
      </c>
      <c r="E46" s="6"/>
      <c r="F46" t="s">
        <v>104</v>
      </c>
    </row>
    <row r="47" spans="1:51" x14ac:dyDescent="0.2">
      <c r="C47">
        <v>0</v>
      </c>
    </row>
    <row r="48" spans="1:51" x14ac:dyDescent="0.2">
      <c r="C48">
        <v>0</v>
      </c>
    </row>
    <row r="49" spans="3:3" x14ac:dyDescent="0.2">
      <c r="C49">
        <v>97749</v>
      </c>
    </row>
    <row r="50" spans="3:3" x14ac:dyDescent="0.2">
      <c r="C50">
        <v>0</v>
      </c>
    </row>
    <row r="51" spans="3:3" x14ac:dyDescent="0.2">
      <c r="C51">
        <v>0</v>
      </c>
    </row>
    <row r="52" spans="3:3" x14ac:dyDescent="0.2">
      <c r="C52">
        <v>0</v>
      </c>
    </row>
    <row r="53" spans="3:3" x14ac:dyDescent="0.2">
      <c r="C53">
        <v>0</v>
      </c>
    </row>
    <row r="54" spans="3:3" x14ac:dyDescent="0.2">
      <c r="C54">
        <v>0</v>
      </c>
    </row>
    <row r="55" spans="3:3" x14ac:dyDescent="0.2">
      <c r="C55">
        <v>0</v>
      </c>
    </row>
    <row r="56" spans="3:3" x14ac:dyDescent="0.2">
      <c r="C56">
        <v>0</v>
      </c>
    </row>
    <row r="57" spans="3:3" x14ac:dyDescent="0.2">
      <c r="C57">
        <v>408</v>
      </c>
    </row>
    <row r="58" spans="3:3" x14ac:dyDescent="0.2">
      <c r="C58">
        <v>0</v>
      </c>
    </row>
    <row r="59" spans="3:3" x14ac:dyDescent="0.2">
      <c r="C59">
        <v>0</v>
      </c>
    </row>
    <row r="60" spans="3:3" x14ac:dyDescent="0.2">
      <c r="C60">
        <v>0</v>
      </c>
    </row>
    <row r="61" spans="3:3" x14ac:dyDescent="0.2">
      <c r="C61">
        <v>0</v>
      </c>
    </row>
    <row r="62" spans="3:3" x14ac:dyDescent="0.2">
      <c r="C62">
        <v>0</v>
      </c>
    </row>
    <row r="63" spans="3:3" x14ac:dyDescent="0.2">
      <c r="C63">
        <v>0</v>
      </c>
    </row>
    <row r="64" spans="3:3" x14ac:dyDescent="0.2">
      <c r="C64">
        <v>0</v>
      </c>
    </row>
    <row r="65" spans="3:3" x14ac:dyDescent="0.2">
      <c r="C65">
        <v>0</v>
      </c>
    </row>
    <row r="66" spans="3:3" x14ac:dyDescent="0.2">
      <c r="C66">
        <v>0</v>
      </c>
    </row>
    <row r="67" spans="3:3" x14ac:dyDescent="0.2">
      <c r="C67">
        <v>0</v>
      </c>
    </row>
    <row r="68" spans="3:3" x14ac:dyDescent="0.2">
      <c r="C68">
        <v>0</v>
      </c>
    </row>
    <row r="69" spans="3:3" x14ac:dyDescent="0.2">
      <c r="C69">
        <v>0</v>
      </c>
    </row>
    <row r="70" spans="3:3" x14ac:dyDescent="0.2">
      <c r="C70">
        <v>0</v>
      </c>
    </row>
    <row r="71" spans="3:3" x14ac:dyDescent="0.2">
      <c r="C71">
        <v>0</v>
      </c>
    </row>
    <row r="72" spans="3:3" x14ac:dyDescent="0.2">
      <c r="C72">
        <v>0</v>
      </c>
    </row>
    <row r="73" spans="3:3" x14ac:dyDescent="0.2">
      <c r="C73">
        <v>0</v>
      </c>
    </row>
    <row r="74" spans="3:3" x14ac:dyDescent="0.2">
      <c r="C74">
        <v>0</v>
      </c>
    </row>
    <row r="75" spans="3:3" x14ac:dyDescent="0.2">
      <c r="C75">
        <v>0</v>
      </c>
    </row>
    <row r="76" spans="3:3" x14ac:dyDescent="0.2">
      <c r="C76">
        <v>0</v>
      </c>
    </row>
    <row r="77" spans="3:3" x14ac:dyDescent="0.2">
      <c r="C77">
        <v>0</v>
      </c>
    </row>
    <row r="78" spans="3:3" x14ac:dyDescent="0.2">
      <c r="C78">
        <v>0</v>
      </c>
    </row>
    <row r="79" spans="3:3" x14ac:dyDescent="0.2">
      <c r="C79">
        <v>0</v>
      </c>
    </row>
  </sheetData>
  <phoneticPr fontId="3" type="noConversion"/>
  <hyperlinks>
    <hyperlink ref="B41" r:id="rId1" xr:uid="{587CD0DC-CB2D-C84D-A7FA-80CE7B9F6966}"/>
    <hyperlink ref="C41" r:id="rId2" xr:uid="{9A2B9822-9797-8644-B80E-4BFC8C9499A6}"/>
    <hyperlink ref="C39" r:id="rId3" display="https://www.nature.com/articles/s41893-025-01762-y" xr:uid="{554BFBA9-7A20-9E4B-B5F9-10E8494C672A}"/>
    <hyperlink ref="D39" r:id="rId4" display="https://www.nature.com/articles/s41893-025-01762-y" xr:uid="{53E818CC-E8BF-A647-99EA-019BB09C347F}"/>
    <hyperlink ref="E39" r:id="rId5" display="https://www.nature.com/articles/s41893-025-01762-y" xr:uid="{02AC7FF9-DF02-E94A-96B4-A107A93D7EC3}"/>
    <hyperlink ref="F39" r:id="rId6" display="https://www.nature.com/articles/s41893-025-01762-y" xr:uid="{CAF72249-46A9-B041-AD7B-24ACA11B26D6}"/>
    <hyperlink ref="H39" r:id="rId7" display="https://www.nature.com/articles/s41893-025-01762-y" xr:uid="{795C2790-CD2A-5A48-8F63-D9ACD7D134AC}"/>
    <hyperlink ref="J39" r:id="rId8" display="https://www.nature.com/articles/s41893-025-01762-y" xr:uid="{069DC490-9768-6741-9B5C-1AAC50907017}"/>
    <hyperlink ref="N39" r:id="rId9" display="https://www.nature.com/articles/s41893-025-01762-y" xr:uid="{5CEA5A1A-5D40-C447-B1BD-B8E562B9E2C5}"/>
    <hyperlink ref="P39" r:id="rId10" display="https://www.nature.com/articles/s41893-025-01762-y" xr:uid="{6D456945-D935-5649-AA83-1FEA0599D304}"/>
    <hyperlink ref="I39" r:id="rId11" xr:uid="{4DF49132-E07F-1B4F-A69F-29C41A4291B5}"/>
    <hyperlink ref="AY39" r:id="rId12" xr:uid="{2B8D170B-C5DB-2640-B397-04CA63B94443}"/>
    <hyperlink ref="AX39" r:id="rId13" display="https://www.nature.com/articles/s41893-025-01762-y" xr:uid="{AB75886F-B02E-F54B-9813-86994AEA983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Guilllaume Stéphane Cren</cp:lastModifiedBy>
  <dcterms:created xsi:type="dcterms:W3CDTF">2026-07-07T14:01:32Z</dcterms:created>
  <dcterms:modified xsi:type="dcterms:W3CDTF">2026-07-09T18:49:10Z</dcterms:modified>
</cp:coreProperties>
</file>