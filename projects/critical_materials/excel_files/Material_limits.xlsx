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Paolo/Documents/PdM_code/EnergyScope-Quebec/projects/critical_materials/excel_files/"/>
    </mc:Choice>
  </mc:AlternateContent>
  <xr:revisionPtr revIDLastSave="0" documentId="13_ncr:1_{E93CD9CA-6F2C-EE4F-82CF-EE43B91D08DD}" xr6:coauthVersionLast="47" xr6:coauthVersionMax="47" xr10:uidLastSave="{00000000-0000-0000-0000-000000000000}"/>
  <bookViews>
    <workbookView xWindow="0" yWindow="500" windowWidth="38400" windowHeight="19500" tabRatio="500" xr2:uid="{00000000-000D-0000-FFFF-FFFF00000000}"/>
  </bookViews>
  <sheets>
    <sheet name="Table of content" sheetId="1" r:id="rId1"/>
    <sheet name="Materials" sheetId="3" r:id="rId2"/>
    <sheet name="Material_limits" sheetId="2" r:id="rId3"/>
    <sheet name="RoE_Demand" sheetId="19" r:id="rId4"/>
    <sheet name="MiningCapacity_Calcul" sheetId="4" r:id="rId5"/>
    <sheet name="Reserves_Resources_RR" sheetId="6" r:id="rId6"/>
    <sheet name="MiningCapacity_Results" sheetId="9" r:id="rId7"/>
    <sheet name="Ref&amp;Hp" sheetId="17" r:id="rId8"/>
    <sheet name="Calcul_Prod" sheetId="18" r:id="rId9"/>
  </sheets>
  <definedNames>
    <definedName name="_xlnm._FilterDatabase" localSheetId="6" hidden="1">MiningCapacity_Results!$A$1:$G$33</definedName>
    <definedName name="_xlnm._FilterDatabase" localSheetId="5" hidden="1">Reserves_Resources_RR!$A$1:$L$40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2" l="1"/>
  <c r="C31" i="2"/>
  <c r="D31" i="2"/>
  <c r="E31" i="2"/>
  <c r="F31" i="2"/>
  <c r="G31" i="2"/>
  <c r="H31" i="2"/>
  <c r="B32" i="2"/>
  <c r="C32" i="2"/>
  <c r="D32" i="2"/>
  <c r="E32" i="2"/>
  <c r="F32" i="2"/>
  <c r="G32" i="2"/>
  <c r="H32" i="2"/>
  <c r="B33" i="2"/>
  <c r="C33" i="2"/>
  <c r="D33" i="2"/>
  <c r="E33" i="2"/>
  <c r="F33" i="2"/>
  <c r="G33" i="2"/>
  <c r="H33" i="2"/>
  <c r="B34" i="2"/>
  <c r="C34" i="2"/>
  <c r="D34" i="2"/>
  <c r="E34" i="2"/>
  <c r="F34" i="2"/>
  <c r="G34" i="2"/>
  <c r="H34" i="2"/>
  <c r="B35" i="2"/>
  <c r="C35" i="2"/>
  <c r="D35" i="2"/>
  <c r="E35" i="2"/>
  <c r="F35" i="2"/>
  <c r="G35" i="2"/>
  <c r="H35" i="2"/>
  <c r="B36" i="2"/>
  <c r="C36" i="2"/>
  <c r="D36" i="2"/>
  <c r="E36" i="2"/>
  <c r="F36" i="2"/>
  <c r="G36" i="2"/>
  <c r="H36" i="2"/>
  <c r="B37" i="2"/>
  <c r="C37" i="2"/>
  <c r="D37" i="2"/>
  <c r="E37" i="2"/>
  <c r="F37" i="2"/>
  <c r="G37" i="2"/>
  <c r="H37" i="2"/>
  <c r="B38" i="2"/>
  <c r="C38" i="2"/>
  <c r="D38" i="2"/>
  <c r="E38" i="2"/>
  <c r="F38" i="2"/>
  <c r="G38" i="2"/>
  <c r="H38" i="2"/>
  <c r="B39" i="2"/>
  <c r="C39" i="2"/>
  <c r="D39" i="2"/>
  <c r="E39" i="2"/>
  <c r="F39" i="2"/>
  <c r="G39" i="2"/>
  <c r="H39" i="2"/>
  <c r="B40" i="2"/>
  <c r="C40" i="2"/>
  <c r="D40" i="2"/>
  <c r="E40" i="2"/>
  <c r="F40" i="2"/>
  <c r="G40" i="2"/>
  <c r="H40" i="2"/>
  <c r="B41" i="2"/>
  <c r="C41" i="2"/>
  <c r="D41" i="2"/>
  <c r="E41" i="2"/>
  <c r="F41" i="2"/>
  <c r="G41" i="2"/>
  <c r="H41" i="2"/>
  <c r="B42" i="2"/>
  <c r="C42" i="2"/>
  <c r="D42" i="2"/>
  <c r="E42" i="2"/>
  <c r="F42" i="2"/>
  <c r="G42" i="2"/>
  <c r="H42" i="2"/>
  <c r="B29" i="2"/>
  <c r="C29" i="2"/>
  <c r="D29" i="2"/>
  <c r="E29" i="2"/>
  <c r="F29" i="2"/>
  <c r="G29" i="2"/>
  <c r="H29" i="2"/>
  <c r="B30" i="2"/>
  <c r="C30" i="2"/>
  <c r="D30" i="2"/>
  <c r="E30" i="2"/>
  <c r="F30" i="2"/>
  <c r="G30" i="2"/>
  <c r="H30" i="2"/>
  <c r="C28" i="2"/>
  <c r="D28" i="2"/>
  <c r="E28" i="2"/>
  <c r="F28" i="2"/>
  <c r="G28" i="2"/>
  <c r="H28" i="2"/>
  <c r="B28" i="2"/>
  <c r="B26" i="2"/>
  <c r="B14" i="2"/>
  <c r="C14" i="2"/>
  <c r="D14" i="2"/>
  <c r="E14" i="2"/>
  <c r="F14" i="2"/>
  <c r="G14" i="2"/>
  <c r="H14" i="2"/>
  <c r="B15" i="2"/>
  <c r="C15" i="2"/>
  <c r="D15" i="2"/>
  <c r="E15" i="2"/>
  <c r="F15" i="2"/>
  <c r="G15" i="2"/>
  <c r="H15" i="2"/>
  <c r="B16" i="2"/>
  <c r="C16" i="2"/>
  <c r="D16" i="2"/>
  <c r="E16" i="2"/>
  <c r="F16" i="2"/>
  <c r="G16" i="2"/>
  <c r="H16" i="2"/>
  <c r="B17" i="2"/>
  <c r="C17" i="2"/>
  <c r="D17" i="2"/>
  <c r="E17" i="2"/>
  <c r="F17" i="2"/>
  <c r="G17" i="2"/>
  <c r="H17"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B25" i="2"/>
  <c r="C25" i="2"/>
  <c r="D25" i="2"/>
  <c r="E25" i="2"/>
  <c r="F25" i="2"/>
  <c r="G25" i="2"/>
  <c r="H25" i="2"/>
  <c r="C26" i="2"/>
  <c r="D26" i="2"/>
  <c r="E26" i="2"/>
  <c r="F26" i="2"/>
  <c r="G26" i="2"/>
  <c r="H26" i="2"/>
  <c r="C13" i="2"/>
  <c r="D13" i="2"/>
  <c r="E13" i="2"/>
  <c r="F13" i="2"/>
  <c r="G13" i="2"/>
  <c r="H13" i="2"/>
  <c r="B13" i="2"/>
  <c r="B9" i="2"/>
  <c r="C9" i="2"/>
  <c r="D9" i="2"/>
  <c r="E9" i="2"/>
  <c r="F9" i="2"/>
  <c r="G9" i="2"/>
  <c r="H9" i="2"/>
  <c r="B10" i="2"/>
  <c r="C10" i="2"/>
  <c r="D10" i="2"/>
  <c r="E10" i="2"/>
  <c r="F10" i="2"/>
  <c r="G10" i="2"/>
  <c r="H10" i="2"/>
  <c r="B11" i="2"/>
  <c r="C11" i="2"/>
  <c r="D11" i="2"/>
  <c r="E11" i="2"/>
  <c r="F11" i="2"/>
  <c r="G11" i="2"/>
  <c r="H11" i="2"/>
  <c r="C8" i="2"/>
  <c r="D8" i="2"/>
  <c r="E8" i="2"/>
  <c r="F8" i="2"/>
  <c r="G8" i="2"/>
  <c r="H8" i="2"/>
  <c r="B8" i="2"/>
  <c r="B2" i="2"/>
  <c r="B3" i="2"/>
  <c r="C3" i="2"/>
  <c r="D3" i="2"/>
  <c r="E3" i="2"/>
  <c r="F3" i="2"/>
  <c r="G3" i="2"/>
  <c r="H3" i="2"/>
  <c r="B4" i="2"/>
  <c r="C4" i="2"/>
  <c r="D4" i="2"/>
  <c r="E4" i="2"/>
  <c r="F4" i="2"/>
  <c r="G4" i="2"/>
  <c r="H4" i="2"/>
  <c r="B5" i="2"/>
  <c r="C5" i="2"/>
  <c r="D5" i="2"/>
  <c r="E5" i="2"/>
  <c r="F5" i="2"/>
  <c r="G5" i="2"/>
  <c r="H5" i="2"/>
  <c r="B6" i="2"/>
  <c r="C6" i="2"/>
  <c r="D6" i="2"/>
  <c r="E6" i="2"/>
  <c r="F6" i="2"/>
  <c r="G6" i="2"/>
  <c r="H6" i="2"/>
  <c r="C2" i="2"/>
  <c r="D2" i="2"/>
  <c r="E2" i="2"/>
  <c r="F2" i="2"/>
  <c r="G2" i="2"/>
  <c r="H2" i="2"/>
  <c r="K70" i="18" l="1"/>
  <c r="J70" i="18"/>
  <c r="I70" i="18"/>
  <c r="J69" i="18"/>
  <c r="I69" i="18"/>
  <c r="K66" i="18"/>
  <c r="J66" i="18"/>
  <c r="I66" i="18"/>
  <c r="J65" i="18"/>
  <c r="I65" i="18"/>
  <c r="I64" i="18"/>
  <c r="L53" i="18"/>
  <c r="L70" i="18" s="1"/>
  <c r="L52" i="18"/>
  <c r="L69" i="18" s="1"/>
  <c r="L51" i="18"/>
  <c r="J68" i="18" s="1"/>
  <c r="L50" i="18"/>
  <c r="L49" i="18"/>
  <c r="L66" i="18" s="1"/>
  <c r="L48" i="18"/>
  <c r="L65" i="18" s="1"/>
  <c r="L47" i="18"/>
  <c r="BB45" i="18"/>
  <c r="BC45" i="18" s="1"/>
  <c r="BD45" i="18" s="1"/>
  <c r="BE45" i="18" s="1"/>
  <c r="BF45" i="18" s="1"/>
  <c r="BG45" i="18" s="1"/>
  <c r="BH45" i="18" s="1"/>
  <c r="BI45" i="18" s="1"/>
  <c r="BJ45" i="18" s="1"/>
  <c r="BA45" i="18"/>
  <c r="HN40" i="18"/>
  <c r="HM40" i="18"/>
  <c r="HL40" i="18"/>
  <c r="HK40" i="18"/>
  <c r="HJ40" i="18"/>
  <c r="HI40" i="18"/>
  <c r="HH40" i="18"/>
  <c r="HG40" i="18"/>
  <c r="HF40" i="18"/>
  <c r="HE40" i="18"/>
  <c r="HD40" i="18"/>
  <c r="HC40" i="18"/>
  <c r="HB40" i="18"/>
  <c r="HA40" i="18"/>
  <c r="GZ40" i="18"/>
  <c r="GY40" i="18"/>
  <c r="GX40" i="18"/>
  <c r="GW40" i="18"/>
  <c r="GV40" i="18"/>
  <c r="GU40" i="18"/>
  <c r="GT40" i="18"/>
  <c r="GS40" i="18"/>
  <c r="GR40" i="18"/>
  <c r="GQ40" i="18"/>
  <c r="GP40" i="18"/>
  <c r="GO40" i="18"/>
  <c r="GN40" i="18"/>
  <c r="GM40" i="18"/>
  <c r="GL40" i="18"/>
  <c r="GK40" i="18"/>
  <c r="GJ40" i="18"/>
  <c r="GI40" i="18"/>
  <c r="HT40" i="18" s="1"/>
  <c r="GH40" i="18"/>
  <c r="GG40" i="18"/>
  <c r="GF40" i="18"/>
  <c r="GE40" i="18"/>
  <c r="GD40" i="18"/>
  <c r="GC40" i="18"/>
  <c r="GB40" i="18"/>
  <c r="GA40" i="18"/>
  <c r="FZ40" i="18"/>
  <c r="FY40" i="18"/>
  <c r="FX40" i="18"/>
  <c r="FW40" i="18"/>
  <c r="FV40" i="18"/>
  <c r="FU40" i="18"/>
  <c r="FT40" i="18"/>
  <c r="FS40" i="18"/>
  <c r="FR40" i="18"/>
  <c r="FQ40" i="18"/>
  <c r="FP40" i="18"/>
  <c r="FO40" i="18"/>
  <c r="FN40" i="18"/>
  <c r="FM40" i="18"/>
  <c r="FL40" i="18"/>
  <c r="FK40" i="18"/>
  <c r="FJ40" i="18"/>
  <c r="FI40" i="18"/>
  <c r="FH40" i="18"/>
  <c r="FG40" i="18"/>
  <c r="FF40" i="18"/>
  <c r="FE40" i="18"/>
  <c r="FD40" i="18"/>
  <c r="FC40" i="18"/>
  <c r="FB40" i="18"/>
  <c r="FA40" i="18"/>
  <c r="EZ40" i="18"/>
  <c r="EY40" i="18"/>
  <c r="EX40" i="18"/>
  <c r="EW40" i="18"/>
  <c r="EV40" i="18"/>
  <c r="EU40" i="18"/>
  <c r="ET40" i="18"/>
  <c r="ES40" i="18"/>
  <c r="ER40" i="18"/>
  <c r="EQ40" i="18"/>
  <c r="EP40" i="18"/>
  <c r="EO40" i="18"/>
  <c r="EN40" i="18"/>
  <c r="EM40" i="18"/>
  <c r="EL40" i="18"/>
  <c r="EK40" i="18"/>
  <c r="EJ40" i="18"/>
  <c r="EI40" i="18"/>
  <c r="EH40" i="18"/>
  <c r="EG40" i="18"/>
  <c r="EF40" i="18"/>
  <c r="EE40" i="18"/>
  <c r="ED40" i="18"/>
  <c r="EC40" i="18"/>
  <c r="EB40" i="18"/>
  <c r="EA40" i="18"/>
  <c r="DZ40" i="18"/>
  <c r="DY40" i="18"/>
  <c r="DX40" i="18"/>
  <c r="DW40" i="18"/>
  <c r="DV40" i="18"/>
  <c r="DU40" i="18"/>
  <c r="DT40" i="18"/>
  <c r="DS40" i="18"/>
  <c r="HS40" i="18" s="1"/>
  <c r="DR40" i="18"/>
  <c r="HN37" i="18"/>
  <c r="HM37" i="18"/>
  <c r="HL37" i="18"/>
  <c r="HK37" i="18"/>
  <c r="HJ37" i="18"/>
  <c r="HI37" i="18"/>
  <c r="HH37" i="18"/>
  <c r="HG37" i="18"/>
  <c r="HF37" i="18"/>
  <c r="HE37" i="18"/>
  <c r="HD37" i="18"/>
  <c r="HC37" i="18"/>
  <c r="HB37" i="18"/>
  <c r="HA37" i="18"/>
  <c r="GZ37" i="18"/>
  <c r="GY37" i="18"/>
  <c r="GX37" i="18"/>
  <c r="GW37" i="18"/>
  <c r="GV37" i="18"/>
  <c r="GU37" i="18"/>
  <c r="GT37" i="18"/>
  <c r="GS37" i="18"/>
  <c r="GR37" i="18"/>
  <c r="GQ37" i="18"/>
  <c r="GP37" i="18"/>
  <c r="GO37" i="18"/>
  <c r="GN37" i="18"/>
  <c r="GM37" i="18"/>
  <c r="GL37" i="18"/>
  <c r="HR37" i="18" s="1"/>
  <c r="GK37" i="18"/>
  <c r="GJ37" i="18"/>
  <c r="GI37" i="18"/>
  <c r="GH37" i="18"/>
  <c r="GG37" i="18"/>
  <c r="GF37" i="18"/>
  <c r="GE37" i="18"/>
  <c r="GD37" i="18"/>
  <c r="GC37" i="18"/>
  <c r="GB37" i="18"/>
  <c r="GA37" i="18"/>
  <c r="FZ37" i="18"/>
  <c r="FY37" i="18"/>
  <c r="FX37" i="18"/>
  <c r="FW37" i="18"/>
  <c r="FV37" i="18"/>
  <c r="FU37" i="18"/>
  <c r="FT37" i="18"/>
  <c r="FS37" i="18"/>
  <c r="FR37" i="18"/>
  <c r="FQ37" i="18"/>
  <c r="FP37" i="18"/>
  <c r="FO37" i="18"/>
  <c r="FN37" i="18"/>
  <c r="FM37" i="18"/>
  <c r="FL37" i="18"/>
  <c r="FK37" i="18"/>
  <c r="FJ37" i="18"/>
  <c r="FI37" i="18"/>
  <c r="FH37" i="18"/>
  <c r="FG37" i="18"/>
  <c r="FF37" i="18"/>
  <c r="FE37" i="18"/>
  <c r="FD37" i="18"/>
  <c r="FC37" i="18"/>
  <c r="FB37" i="18"/>
  <c r="FA37" i="18"/>
  <c r="EZ37" i="18"/>
  <c r="EY37" i="18"/>
  <c r="EX37" i="18"/>
  <c r="EW37" i="18"/>
  <c r="EV37" i="18"/>
  <c r="EU37" i="18"/>
  <c r="ET37" i="18"/>
  <c r="ES37" i="18"/>
  <c r="ER37" i="18"/>
  <c r="EQ37" i="18"/>
  <c r="EP37" i="18"/>
  <c r="EO37" i="18"/>
  <c r="EN37" i="18"/>
  <c r="EM37" i="18"/>
  <c r="EL37" i="18"/>
  <c r="EK37" i="18"/>
  <c r="EJ37" i="18"/>
  <c r="EI37" i="18"/>
  <c r="EH37" i="18"/>
  <c r="HS37" i="18" s="1"/>
  <c r="EG37" i="18"/>
  <c r="HN36" i="18"/>
  <c r="HM36" i="18"/>
  <c r="HL36" i="18"/>
  <c r="HK36" i="18"/>
  <c r="HJ36" i="18"/>
  <c r="HI36" i="18"/>
  <c r="HH36" i="18"/>
  <c r="HG36" i="18"/>
  <c r="HF36" i="18"/>
  <c r="HE36" i="18"/>
  <c r="HD36" i="18"/>
  <c r="HC36" i="18"/>
  <c r="HB36" i="18"/>
  <c r="HA36" i="18"/>
  <c r="GZ36" i="18"/>
  <c r="GY36" i="18"/>
  <c r="GX36" i="18"/>
  <c r="GW36" i="18"/>
  <c r="GV36" i="18"/>
  <c r="GU36" i="18"/>
  <c r="GT36" i="18"/>
  <c r="GS36" i="18"/>
  <c r="GR36" i="18"/>
  <c r="GQ36" i="18"/>
  <c r="GP36" i="18"/>
  <c r="GO36" i="18"/>
  <c r="GN36" i="18"/>
  <c r="GM36" i="18"/>
  <c r="GL36" i="18"/>
  <c r="HR36" i="18" s="1"/>
  <c r="GK36" i="18"/>
  <c r="GJ36" i="18"/>
  <c r="GI36" i="18"/>
  <c r="GH36" i="18"/>
  <c r="GG36" i="18"/>
  <c r="GF36" i="18"/>
  <c r="GE36" i="18"/>
  <c r="GD36" i="18"/>
  <c r="GC36" i="18"/>
  <c r="GB36" i="18"/>
  <c r="GA36" i="18"/>
  <c r="FZ36" i="18"/>
  <c r="FY36" i="18"/>
  <c r="FX36" i="18"/>
  <c r="FW36" i="18"/>
  <c r="FV36" i="18"/>
  <c r="FU36" i="18"/>
  <c r="FT36" i="18"/>
  <c r="FS36" i="18"/>
  <c r="FR36" i="18"/>
  <c r="FQ36" i="18"/>
  <c r="FP36" i="18"/>
  <c r="FO36" i="18"/>
  <c r="FN36" i="18"/>
  <c r="FM36" i="18"/>
  <c r="FL36" i="18"/>
  <c r="FK36" i="18"/>
  <c r="FJ36" i="18"/>
  <c r="FI36" i="18"/>
  <c r="FH36" i="18"/>
  <c r="FG36" i="18"/>
  <c r="FF36" i="18"/>
  <c r="FE36" i="18"/>
  <c r="FD36" i="18"/>
  <c r="FC36" i="18"/>
  <c r="FB36" i="18"/>
  <c r="FA36" i="18"/>
  <c r="EZ36" i="18"/>
  <c r="EY36" i="18"/>
  <c r="EX36" i="18"/>
  <c r="EW36" i="18"/>
  <c r="EV36" i="18"/>
  <c r="EU36" i="18"/>
  <c r="ET36" i="18"/>
  <c r="ES36" i="18"/>
  <c r="ER36" i="18"/>
  <c r="EQ36" i="18"/>
  <c r="EP36" i="18"/>
  <c r="EO36" i="18"/>
  <c r="EN36" i="18"/>
  <c r="EM36" i="18"/>
  <c r="EL36" i="18"/>
  <c r="EK36" i="18"/>
  <c r="EJ36" i="18"/>
  <c r="EI36" i="18"/>
  <c r="EH36" i="18"/>
  <c r="EG36" i="18"/>
  <c r="EF36" i="18"/>
  <c r="EE36" i="18"/>
  <c r="ED36" i="18"/>
  <c r="EC36" i="18"/>
  <c r="EB36" i="18"/>
  <c r="EA36" i="18"/>
  <c r="DZ36" i="18"/>
  <c r="DY36" i="18"/>
  <c r="DX36" i="18"/>
  <c r="DW36" i="18"/>
  <c r="DV36" i="18"/>
  <c r="DU36" i="18"/>
  <c r="DT36" i="18"/>
  <c r="DS36" i="18"/>
  <c r="DR36" i="18"/>
  <c r="HP36" i="18" s="1"/>
  <c r="HQ35" i="18"/>
  <c r="HM35" i="18"/>
  <c r="HL35" i="18"/>
  <c r="HK35" i="18"/>
  <c r="HJ35" i="18"/>
  <c r="HI35" i="18"/>
  <c r="HH35" i="18"/>
  <c r="HG35" i="18"/>
  <c r="HF35" i="18"/>
  <c r="HE35" i="18"/>
  <c r="HD35" i="18"/>
  <c r="HC35" i="18"/>
  <c r="HB35" i="18"/>
  <c r="HA35" i="18"/>
  <c r="GZ35" i="18"/>
  <c r="GY35" i="18"/>
  <c r="GX35" i="18"/>
  <c r="GW35" i="18"/>
  <c r="GV35" i="18"/>
  <c r="GU35" i="18"/>
  <c r="GT35" i="18"/>
  <c r="GS35" i="18"/>
  <c r="GR35" i="18"/>
  <c r="GQ35" i="18"/>
  <c r="GP35" i="18"/>
  <c r="GO35" i="18"/>
  <c r="GN35" i="18"/>
  <c r="GM35" i="18"/>
  <c r="GL35" i="18"/>
  <c r="GK35" i="18"/>
  <c r="GJ35" i="18"/>
  <c r="GI35" i="18"/>
  <c r="HT35" i="18" s="1"/>
  <c r="GH35" i="18"/>
  <c r="GG35" i="18"/>
  <c r="GF35" i="18"/>
  <c r="GE35" i="18"/>
  <c r="GD35" i="18"/>
  <c r="GC35" i="18"/>
  <c r="GB35" i="18"/>
  <c r="GA35" i="18"/>
  <c r="FZ35" i="18"/>
  <c r="FY35" i="18"/>
  <c r="FX35" i="18"/>
  <c r="FW35" i="18"/>
  <c r="FV35" i="18"/>
  <c r="FU35" i="18"/>
  <c r="HP35" i="18" s="1"/>
  <c r="HN34" i="18"/>
  <c r="HM34" i="18"/>
  <c r="HL34" i="18"/>
  <c r="HK34" i="18"/>
  <c r="HJ34" i="18"/>
  <c r="HI34" i="18"/>
  <c r="HH34" i="18"/>
  <c r="HG34" i="18"/>
  <c r="HF34" i="18"/>
  <c r="HE34" i="18"/>
  <c r="HD34" i="18"/>
  <c r="HC34" i="18"/>
  <c r="HB34" i="18"/>
  <c r="HA34" i="18"/>
  <c r="GZ34" i="18"/>
  <c r="GY34" i="18"/>
  <c r="GX34" i="18"/>
  <c r="GW34" i="18"/>
  <c r="GV34" i="18"/>
  <c r="GU34" i="18"/>
  <c r="GT34" i="18"/>
  <c r="GS34" i="18"/>
  <c r="GR34" i="18"/>
  <c r="GQ34" i="18"/>
  <c r="GP34" i="18"/>
  <c r="GO34" i="18"/>
  <c r="GN34" i="18"/>
  <c r="GM34" i="18"/>
  <c r="GL34" i="18"/>
  <c r="GK34" i="18"/>
  <c r="GJ34" i="18"/>
  <c r="GI34" i="18"/>
  <c r="HR34" i="18" s="1"/>
  <c r="GH34" i="18"/>
  <c r="GG34" i="18"/>
  <c r="GF34" i="18"/>
  <c r="GE34" i="18"/>
  <c r="GD34" i="18"/>
  <c r="GC34" i="18"/>
  <c r="GB34" i="18"/>
  <c r="GA34" i="18"/>
  <c r="FZ34" i="18"/>
  <c r="FY34" i="18"/>
  <c r="FX34" i="18"/>
  <c r="FW34" i="18"/>
  <c r="FV34" i="18"/>
  <c r="FU34" i="18"/>
  <c r="FT34" i="18"/>
  <c r="FS34" i="18"/>
  <c r="FR34" i="18"/>
  <c r="FQ34" i="18"/>
  <c r="FP34" i="18"/>
  <c r="FO34" i="18"/>
  <c r="FN34" i="18"/>
  <c r="FM34" i="18"/>
  <c r="FL34" i="18"/>
  <c r="FK34" i="18"/>
  <c r="FJ34" i="18"/>
  <c r="FI34" i="18"/>
  <c r="FH34" i="18"/>
  <c r="FG34" i="18"/>
  <c r="FF34" i="18"/>
  <c r="FE34" i="18"/>
  <c r="FD34" i="18"/>
  <c r="FC34" i="18"/>
  <c r="FB34" i="18"/>
  <c r="FA34" i="18"/>
  <c r="EZ34" i="18"/>
  <c r="EY34" i="18"/>
  <c r="EX34" i="18"/>
  <c r="EW34" i="18"/>
  <c r="EV34" i="18"/>
  <c r="EU34" i="18"/>
  <c r="ET34" i="18"/>
  <c r="ES34" i="18"/>
  <c r="ER34" i="18"/>
  <c r="EQ34" i="18"/>
  <c r="EP34" i="18"/>
  <c r="EO34" i="18"/>
  <c r="EN34" i="18"/>
  <c r="EM34" i="18"/>
  <c r="EL34" i="18"/>
  <c r="EK34" i="18"/>
  <c r="EJ34" i="18"/>
  <c r="EI34" i="18"/>
  <c r="EH34" i="18"/>
  <c r="EG34" i="18"/>
  <c r="EF34" i="18"/>
  <c r="EE34" i="18"/>
  <c r="ED34" i="18"/>
  <c r="EC34" i="18"/>
  <c r="EB34" i="18"/>
  <c r="EA34" i="18"/>
  <c r="DZ34" i="18"/>
  <c r="DY34" i="18"/>
  <c r="DX34" i="18"/>
  <c r="DW34" i="18"/>
  <c r="DV34" i="18"/>
  <c r="DU34" i="18"/>
  <c r="DT34" i="18"/>
  <c r="DS34" i="18"/>
  <c r="HP34" i="18" s="1"/>
  <c r="DR34" i="18"/>
  <c r="HM33" i="18"/>
  <c r="HC33" i="18"/>
  <c r="GS33" i="18"/>
  <c r="GI33" i="18"/>
  <c r="HT33" i="18" s="1"/>
  <c r="FY33" i="18"/>
  <c r="FO33" i="18"/>
  <c r="FE33" i="18"/>
  <c r="EU33" i="18"/>
  <c r="HS33" i="18" s="1"/>
  <c r="EK33" i="18"/>
  <c r="EA33" i="18"/>
  <c r="DQ33" i="18"/>
  <c r="HX32" i="18"/>
  <c r="HQ32" i="18"/>
  <c r="HN32" i="18"/>
  <c r="HM32" i="18"/>
  <c r="HL32" i="18"/>
  <c r="HK32" i="18"/>
  <c r="HJ32" i="18"/>
  <c r="HI32" i="18"/>
  <c r="HH32" i="18"/>
  <c r="HG32" i="18"/>
  <c r="HF32" i="18"/>
  <c r="HE32" i="18"/>
  <c r="HD32" i="18"/>
  <c r="HC32" i="18"/>
  <c r="HB32" i="18"/>
  <c r="HA32" i="18"/>
  <c r="GZ32" i="18"/>
  <c r="GY32" i="18"/>
  <c r="GX32" i="18"/>
  <c r="GW32" i="18"/>
  <c r="GV32" i="18"/>
  <c r="GU32" i="18"/>
  <c r="GT32" i="18"/>
  <c r="GS32" i="18"/>
  <c r="GR32" i="18"/>
  <c r="GQ32" i="18"/>
  <c r="GP32" i="18"/>
  <c r="GO32" i="18"/>
  <c r="GN32" i="18"/>
  <c r="GM32" i="18"/>
  <c r="GL32" i="18"/>
  <c r="GK32" i="18"/>
  <c r="GJ32" i="18"/>
  <c r="HU32" i="18" s="1"/>
  <c r="GI32" i="18"/>
  <c r="HT32" i="18" s="1"/>
  <c r="GH32" i="18"/>
  <c r="GG32" i="18"/>
  <c r="GF32" i="18"/>
  <c r="GE32" i="18"/>
  <c r="GD32" i="18"/>
  <c r="GC32" i="18"/>
  <c r="GB32" i="18"/>
  <c r="HR31" i="18"/>
  <c r="HM31" i="18"/>
  <c r="HL31" i="18"/>
  <c r="HK31" i="18"/>
  <c r="HJ31" i="18"/>
  <c r="HI31" i="18"/>
  <c r="HH31" i="18"/>
  <c r="HG31" i="18"/>
  <c r="HF31" i="18"/>
  <c r="HE31" i="18"/>
  <c r="HD31" i="18"/>
  <c r="HC31" i="18"/>
  <c r="HB31" i="18"/>
  <c r="HA31" i="18"/>
  <c r="GZ31" i="18"/>
  <c r="GY31" i="18"/>
  <c r="GX31" i="18"/>
  <c r="GW31" i="18"/>
  <c r="GV31" i="18"/>
  <c r="GU31" i="18"/>
  <c r="GT31" i="18"/>
  <c r="GS31" i="18"/>
  <c r="GR31" i="18"/>
  <c r="GQ31" i="18"/>
  <c r="GP31" i="18"/>
  <c r="GO31" i="18"/>
  <c r="GN31" i="18"/>
  <c r="GM31" i="18"/>
  <c r="GL31" i="18"/>
  <c r="GK31" i="18"/>
  <c r="GJ31" i="18"/>
  <c r="HT31" i="18" s="1"/>
  <c r="GI31" i="18"/>
  <c r="HU31" i="18" s="1"/>
  <c r="GH31" i="18"/>
  <c r="GG31" i="18"/>
  <c r="GF31" i="18"/>
  <c r="GE31" i="18"/>
  <c r="GD31" i="18"/>
  <c r="GC31" i="18"/>
  <c r="GB31" i="18"/>
  <c r="GA31" i="18"/>
  <c r="FZ31" i="18"/>
  <c r="FY31" i="18"/>
  <c r="FX31" i="18"/>
  <c r="HS31" i="18" s="1"/>
  <c r="FW31" i="18"/>
  <c r="FV31" i="18"/>
  <c r="FU31" i="18"/>
  <c r="HP31" i="18" s="1"/>
  <c r="HN30" i="18"/>
  <c r="HM30" i="18"/>
  <c r="HL30" i="18"/>
  <c r="HK30" i="18"/>
  <c r="HJ30" i="18"/>
  <c r="HI30" i="18"/>
  <c r="HH30" i="18"/>
  <c r="HG30" i="18"/>
  <c r="HF30" i="18"/>
  <c r="HE30" i="18"/>
  <c r="HD30" i="18"/>
  <c r="HC30" i="18"/>
  <c r="HB30" i="18"/>
  <c r="HA30" i="18"/>
  <c r="GZ30" i="18"/>
  <c r="GY30" i="18"/>
  <c r="GX30" i="18"/>
  <c r="GW30" i="18"/>
  <c r="GV30" i="18"/>
  <c r="GU30" i="18"/>
  <c r="GT30" i="18"/>
  <c r="GS30" i="18"/>
  <c r="GR30" i="18"/>
  <c r="GQ30" i="18"/>
  <c r="GP30" i="18"/>
  <c r="GO30" i="18"/>
  <c r="GN30" i="18"/>
  <c r="GM30" i="18"/>
  <c r="GL30" i="18"/>
  <c r="GK30" i="18"/>
  <c r="HU30" i="18" s="1"/>
  <c r="GJ30" i="18"/>
  <c r="HR30" i="18" s="1"/>
  <c r="GI30" i="18"/>
  <c r="GH30" i="18"/>
  <c r="GG30" i="18"/>
  <c r="GF30" i="18"/>
  <c r="GE30" i="18"/>
  <c r="GD30" i="18"/>
  <c r="GC30" i="18"/>
  <c r="GB30" i="18"/>
  <c r="GA30" i="18"/>
  <c r="FZ30" i="18"/>
  <c r="FY30" i="18"/>
  <c r="FX30" i="18"/>
  <c r="FW30" i="18"/>
  <c r="FV30" i="18"/>
  <c r="FU30" i="18"/>
  <c r="FT30" i="18"/>
  <c r="FS30" i="18"/>
  <c r="FR30" i="18"/>
  <c r="FQ30" i="18"/>
  <c r="FP30" i="18"/>
  <c r="FO30" i="18"/>
  <c r="FN30" i="18"/>
  <c r="FM30" i="18"/>
  <c r="FL30" i="18"/>
  <c r="FK30" i="18"/>
  <c r="FJ30" i="18"/>
  <c r="FI30" i="18"/>
  <c r="FH30" i="18"/>
  <c r="FG30" i="18"/>
  <c r="FF30" i="18"/>
  <c r="FE30" i="18"/>
  <c r="FD30" i="18"/>
  <c r="FC30" i="18"/>
  <c r="FB30" i="18"/>
  <c r="FA30" i="18"/>
  <c r="EZ30" i="18"/>
  <c r="EY30" i="18"/>
  <c r="EX30" i="18"/>
  <c r="EW30" i="18"/>
  <c r="EV30" i="18"/>
  <c r="EU30" i="18"/>
  <c r="ET30" i="18"/>
  <c r="ES30" i="18"/>
  <c r="ER30" i="18"/>
  <c r="EQ30" i="18"/>
  <c r="EP30" i="18"/>
  <c r="EO30" i="18"/>
  <c r="EN30" i="18"/>
  <c r="EM30" i="18"/>
  <c r="EL30" i="18"/>
  <c r="EK30" i="18"/>
  <c r="EJ30" i="18"/>
  <c r="EI30" i="18"/>
  <c r="EH30" i="18"/>
  <c r="EG30" i="18"/>
  <c r="HP30" i="18" s="1"/>
  <c r="HQ29" i="18"/>
  <c r="HN29" i="18"/>
  <c r="HM29" i="18"/>
  <c r="HL29" i="18"/>
  <c r="HK29" i="18"/>
  <c r="HJ29" i="18"/>
  <c r="HI29" i="18"/>
  <c r="HH29" i="18"/>
  <c r="HG29" i="18"/>
  <c r="HF29" i="18"/>
  <c r="HE29" i="18"/>
  <c r="HD29" i="18"/>
  <c r="HC29" i="18"/>
  <c r="HB29" i="18"/>
  <c r="HA29" i="18"/>
  <c r="GZ29" i="18"/>
  <c r="HU29" i="18" s="1"/>
  <c r="GY29" i="18"/>
  <c r="HT29" i="18" s="1"/>
  <c r="HN28" i="18"/>
  <c r="HM28" i="18"/>
  <c r="HL28" i="18"/>
  <c r="HK28" i="18"/>
  <c r="HJ28" i="18"/>
  <c r="HI28" i="18"/>
  <c r="HH28" i="18"/>
  <c r="HG28" i="18"/>
  <c r="HF28" i="18"/>
  <c r="HE28" i="18"/>
  <c r="HD28" i="18"/>
  <c r="HC28" i="18"/>
  <c r="HB28" i="18"/>
  <c r="HA28" i="18"/>
  <c r="GZ28" i="18"/>
  <c r="GY28" i="18"/>
  <c r="GX28" i="18"/>
  <c r="GW28" i="18"/>
  <c r="GV28" i="18"/>
  <c r="GU28" i="18"/>
  <c r="GT28" i="18"/>
  <c r="GS28" i="18"/>
  <c r="GR28" i="18"/>
  <c r="GQ28" i="18"/>
  <c r="GP28" i="18"/>
  <c r="GO28" i="18"/>
  <c r="GN28" i="18"/>
  <c r="GM28" i="18"/>
  <c r="GL28" i="18"/>
  <c r="GK28" i="18"/>
  <c r="GJ28" i="18"/>
  <c r="HQ28" i="18" s="1"/>
  <c r="GI28" i="18"/>
  <c r="GH28" i="18"/>
  <c r="GG28" i="18"/>
  <c r="GF28" i="18"/>
  <c r="GE28" i="18"/>
  <c r="GD28" i="18"/>
  <c r="GC28" i="18"/>
  <c r="GB28" i="18"/>
  <c r="GA28" i="18"/>
  <c r="FZ28" i="18"/>
  <c r="FY28" i="18"/>
  <c r="FX28" i="18"/>
  <c r="FW28" i="18"/>
  <c r="FV28" i="18"/>
  <c r="FU28" i="18"/>
  <c r="FT28" i="18"/>
  <c r="FS28" i="18"/>
  <c r="FR28" i="18"/>
  <c r="FQ28" i="18"/>
  <c r="FP28" i="18"/>
  <c r="FO28" i="18"/>
  <c r="FN28" i="18"/>
  <c r="FM28" i="18"/>
  <c r="FL28" i="18"/>
  <c r="FK28" i="18"/>
  <c r="FJ28" i="18"/>
  <c r="FI28" i="18"/>
  <c r="FH28" i="18"/>
  <c r="FG28" i="18"/>
  <c r="FF28" i="18"/>
  <c r="FE28" i="18"/>
  <c r="FD28" i="18"/>
  <c r="FC28" i="18"/>
  <c r="FB28" i="18"/>
  <c r="FA28" i="18"/>
  <c r="EZ28" i="18"/>
  <c r="EY28" i="18"/>
  <c r="EX28" i="18"/>
  <c r="EW28" i="18"/>
  <c r="EV28" i="18"/>
  <c r="EU28" i="18"/>
  <c r="ET28" i="18"/>
  <c r="ES28" i="18"/>
  <c r="ER28" i="18"/>
  <c r="EQ28" i="18"/>
  <c r="EP28" i="18"/>
  <c r="EO28" i="18"/>
  <c r="EN28" i="18"/>
  <c r="EM28" i="18"/>
  <c r="EL28" i="18"/>
  <c r="EK28" i="18"/>
  <c r="EJ28" i="18"/>
  <c r="EI28" i="18"/>
  <c r="EH28" i="18"/>
  <c r="EG28" i="18"/>
  <c r="EF28" i="18"/>
  <c r="EE28" i="18"/>
  <c r="ED28" i="18"/>
  <c r="EC28" i="18"/>
  <c r="EB28" i="18"/>
  <c r="EA28" i="18"/>
  <c r="DZ28" i="18"/>
  <c r="DY28" i="18"/>
  <c r="DX28" i="18"/>
  <c r="DW28" i="18"/>
  <c r="DV28" i="18"/>
  <c r="DU28" i="18"/>
  <c r="DT28" i="18"/>
  <c r="HS28" i="18" s="1"/>
  <c r="DS28" i="18"/>
  <c r="DR28" i="18"/>
  <c r="HP28" i="18" s="1"/>
  <c r="HN27" i="18"/>
  <c r="HM27" i="18"/>
  <c r="HL27" i="18"/>
  <c r="HK27" i="18"/>
  <c r="HJ27" i="18"/>
  <c r="HI27" i="18"/>
  <c r="HH27" i="18"/>
  <c r="HG27" i="18"/>
  <c r="HF27" i="18"/>
  <c r="HE27" i="18"/>
  <c r="HD27" i="18"/>
  <c r="HC27" i="18"/>
  <c r="HB27" i="18"/>
  <c r="HA27" i="18"/>
  <c r="GZ27" i="18"/>
  <c r="GY27" i="18"/>
  <c r="GX27" i="18"/>
  <c r="GW27" i="18"/>
  <c r="GV27" i="18"/>
  <c r="GU27" i="18"/>
  <c r="GT27" i="18"/>
  <c r="GS27" i="18"/>
  <c r="GR27" i="18"/>
  <c r="GQ27" i="18"/>
  <c r="GP27" i="18"/>
  <c r="GO27" i="18"/>
  <c r="GN27" i="18"/>
  <c r="GM27" i="18"/>
  <c r="GL27" i="18"/>
  <c r="GK27" i="18"/>
  <c r="HT27" i="18" s="1"/>
  <c r="GJ27" i="18"/>
  <c r="GI27" i="18"/>
  <c r="GH27" i="18"/>
  <c r="GG27" i="18"/>
  <c r="GF27" i="18"/>
  <c r="GE27" i="18"/>
  <c r="GD27" i="18"/>
  <c r="GC27" i="18"/>
  <c r="GB27" i="18"/>
  <c r="GA27" i="18"/>
  <c r="FZ27" i="18"/>
  <c r="FY27" i="18"/>
  <c r="FX27" i="18"/>
  <c r="FW27" i="18"/>
  <c r="FV27" i="18"/>
  <c r="FU27" i="18"/>
  <c r="FT27" i="18"/>
  <c r="FS27" i="18"/>
  <c r="FR27" i="18"/>
  <c r="FQ27" i="18"/>
  <c r="FP27" i="18"/>
  <c r="FO27" i="18"/>
  <c r="FN27" i="18"/>
  <c r="FM27" i="18"/>
  <c r="FL27" i="18"/>
  <c r="FK27" i="18"/>
  <c r="FJ27" i="18"/>
  <c r="FI27" i="18"/>
  <c r="FH27" i="18"/>
  <c r="FG27" i="18"/>
  <c r="FF27" i="18"/>
  <c r="FE27" i="18"/>
  <c r="FD27" i="18"/>
  <c r="FC27" i="18"/>
  <c r="FB27" i="18"/>
  <c r="FA27" i="18"/>
  <c r="EZ27" i="18"/>
  <c r="EY27" i="18"/>
  <c r="EX27" i="18"/>
  <c r="EW27" i="18"/>
  <c r="EV27" i="18"/>
  <c r="EU27" i="18"/>
  <c r="ET27" i="18"/>
  <c r="ES27" i="18"/>
  <c r="ER27" i="18"/>
  <c r="EQ27" i="18"/>
  <c r="EP27" i="18"/>
  <c r="EO27" i="18"/>
  <c r="EN27" i="18"/>
  <c r="EM27" i="18"/>
  <c r="EL27" i="18"/>
  <c r="EK27" i="18"/>
  <c r="EJ27" i="18"/>
  <c r="EI27" i="18"/>
  <c r="EH27" i="18"/>
  <c r="EG27" i="18"/>
  <c r="HS27" i="18" s="1"/>
  <c r="HM26" i="18"/>
  <c r="HL26" i="18"/>
  <c r="HK26" i="18"/>
  <c r="HJ26" i="18"/>
  <c r="HI26" i="18"/>
  <c r="HH26" i="18"/>
  <c r="HG26" i="18"/>
  <c r="HF26" i="18"/>
  <c r="HE26" i="18"/>
  <c r="HD26" i="18"/>
  <c r="HC26" i="18"/>
  <c r="HB26" i="18"/>
  <c r="HA26" i="18"/>
  <c r="GZ26" i="18"/>
  <c r="GY26" i="18"/>
  <c r="GX26" i="18"/>
  <c r="GW26" i="18"/>
  <c r="GV26" i="18"/>
  <c r="GU26" i="18"/>
  <c r="GT26" i="18"/>
  <c r="GS26" i="18"/>
  <c r="GR26" i="18"/>
  <c r="GQ26" i="18"/>
  <c r="GP26" i="18"/>
  <c r="GO26" i="18"/>
  <c r="GN26" i="18"/>
  <c r="GM26" i="18"/>
  <c r="GL26" i="18"/>
  <c r="GK26" i="18"/>
  <c r="GJ26" i="18"/>
  <c r="GI26" i="18"/>
  <c r="HR26" i="18" s="1"/>
  <c r="GH26" i="18"/>
  <c r="GG26" i="18"/>
  <c r="GF26" i="18"/>
  <c r="GE26" i="18"/>
  <c r="GD26" i="18"/>
  <c r="GC26" i="18"/>
  <c r="GB26" i="18"/>
  <c r="GA26" i="18"/>
  <c r="FZ26" i="18"/>
  <c r="FY26" i="18"/>
  <c r="FX26" i="18"/>
  <c r="FW26" i="18"/>
  <c r="FV26" i="18"/>
  <c r="FU26" i="18"/>
  <c r="FT26" i="18"/>
  <c r="FS26" i="18"/>
  <c r="FR26" i="18"/>
  <c r="FQ26" i="18"/>
  <c r="FP26" i="18"/>
  <c r="FO26" i="18"/>
  <c r="FN26" i="18"/>
  <c r="FM26" i="18"/>
  <c r="FL26" i="18"/>
  <c r="FK26" i="18"/>
  <c r="FJ26" i="18"/>
  <c r="FI26" i="18"/>
  <c r="FH26" i="18"/>
  <c r="FG26" i="18"/>
  <c r="FF26" i="18"/>
  <c r="FE26" i="18"/>
  <c r="FD26" i="18"/>
  <c r="FC26" i="18"/>
  <c r="FB26" i="18"/>
  <c r="FA26" i="18"/>
  <c r="EZ26" i="18"/>
  <c r="EY26" i="18"/>
  <c r="EX26" i="18"/>
  <c r="EW26" i="18"/>
  <c r="EV26" i="18"/>
  <c r="EU26" i="18"/>
  <c r="ET26" i="18"/>
  <c r="ES26" i="18"/>
  <c r="ER26" i="18"/>
  <c r="EQ26" i="18"/>
  <c r="EP26" i="18"/>
  <c r="EO26" i="18"/>
  <c r="EN26" i="18"/>
  <c r="EM26" i="18"/>
  <c r="EL26" i="18"/>
  <c r="EK26" i="18"/>
  <c r="EJ26" i="18"/>
  <c r="EI26" i="18"/>
  <c r="EH26" i="18"/>
  <c r="EG26" i="18"/>
  <c r="EF26" i="18"/>
  <c r="EE26" i="18"/>
  <c r="ED26" i="18"/>
  <c r="EC26" i="18"/>
  <c r="EB26" i="18"/>
  <c r="EA26" i="18"/>
  <c r="DZ26" i="18"/>
  <c r="DY26" i="18"/>
  <c r="DX26" i="18"/>
  <c r="DW26" i="18"/>
  <c r="DV26" i="18"/>
  <c r="DU26" i="18"/>
  <c r="DT26" i="18"/>
  <c r="DS26" i="18"/>
  <c r="HS26" i="18" s="1"/>
  <c r="DR26" i="18"/>
  <c r="HP26" i="18" s="1"/>
  <c r="HM25" i="18"/>
  <c r="HL25" i="18"/>
  <c r="HK25" i="18"/>
  <c r="HJ25" i="18"/>
  <c r="HI25" i="18"/>
  <c r="HH25" i="18"/>
  <c r="HG25" i="18"/>
  <c r="HF25" i="18"/>
  <c r="HE25" i="18"/>
  <c r="HD25" i="18"/>
  <c r="HC25" i="18"/>
  <c r="HB25" i="18"/>
  <c r="HA25" i="18"/>
  <c r="GZ25" i="18"/>
  <c r="GY25" i="18"/>
  <c r="GX25" i="18"/>
  <c r="GW25" i="18"/>
  <c r="GV25" i="18"/>
  <c r="GU25" i="18"/>
  <c r="GT25" i="18"/>
  <c r="GS25" i="18"/>
  <c r="GR25" i="18"/>
  <c r="GQ25" i="18"/>
  <c r="GP25" i="18"/>
  <c r="GO25" i="18"/>
  <c r="GN25" i="18"/>
  <c r="GM25" i="18"/>
  <c r="GL25" i="18"/>
  <c r="GK25" i="18"/>
  <c r="GJ25" i="18"/>
  <c r="GI25" i="18"/>
  <c r="HT25" i="18" s="1"/>
  <c r="GH25" i="18"/>
  <c r="GG25" i="18"/>
  <c r="GF25" i="18"/>
  <c r="GE25" i="18"/>
  <c r="GD25" i="18"/>
  <c r="GC25" i="18"/>
  <c r="GB25" i="18"/>
  <c r="GA25" i="18"/>
  <c r="FZ25" i="18"/>
  <c r="FY25" i="18"/>
  <c r="FX25" i="18"/>
  <c r="FW25" i="18"/>
  <c r="HS25" i="18" s="1"/>
  <c r="FV25" i="18"/>
  <c r="FU25" i="18"/>
  <c r="HM24" i="18"/>
  <c r="HL24" i="18"/>
  <c r="HK24" i="18"/>
  <c r="HJ24" i="18"/>
  <c r="HI24" i="18"/>
  <c r="HH24" i="18"/>
  <c r="HG24" i="18"/>
  <c r="HF24" i="18"/>
  <c r="HE24" i="18"/>
  <c r="HD24" i="18"/>
  <c r="HC24" i="18"/>
  <c r="HB24" i="18"/>
  <c r="HA24" i="18"/>
  <c r="GZ24" i="18"/>
  <c r="GY24" i="18"/>
  <c r="GX24" i="18"/>
  <c r="GW24" i="18"/>
  <c r="GV24" i="18"/>
  <c r="GU24" i="18"/>
  <c r="GT24" i="18"/>
  <c r="GS24" i="18"/>
  <c r="GR24" i="18"/>
  <c r="GQ24" i="18"/>
  <c r="GP24" i="18"/>
  <c r="GO24" i="18"/>
  <c r="GN24" i="18"/>
  <c r="GM24" i="18"/>
  <c r="GL24" i="18"/>
  <c r="GK24" i="18"/>
  <c r="HQ24" i="18" s="1"/>
  <c r="GJ24" i="18"/>
  <c r="GI24" i="18"/>
  <c r="GH24" i="18"/>
  <c r="GG24" i="18"/>
  <c r="GF24" i="18"/>
  <c r="GE24" i="18"/>
  <c r="GD24" i="18"/>
  <c r="GC24" i="18"/>
  <c r="GB24" i="18"/>
  <c r="GA24" i="18"/>
  <c r="FZ24" i="18"/>
  <c r="FY24" i="18"/>
  <c r="FX24" i="18"/>
  <c r="FW24" i="18"/>
  <c r="FV24" i="18"/>
  <c r="FU24" i="18"/>
  <c r="FT24" i="18"/>
  <c r="FS24" i="18"/>
  <c r="FR24" i="18"/>
  <c r="FQ24" i="18"/>
  <c r="FP24" i="18"/>
  <c r="FO24" i="18"/>
  <c r="FN24" i="18"/>
  <c r="FM24" i="18"/>
  <c r="FL24" i="18"/>
  <c r="FK24" i="18"/>
  <c r="FJ24" i="18"/>
  <c r="FI24" i="18"/>
  <c r="FH24" i="18"/>
  <c r="FG24" i="18"/>
  <c r="FF24" i="18"/>
  <c r="FE24" i="18"/>
  <c r="FD24" i="18"/>
  <c r="FC24" i="18"/>
  <c r="FB24" i="18"/>
  <c r="FA24" i="18"/>
  <c r="EZ24" i="18"/>
  <c r="EY24" i="18"/>
  <c r="EX24" i="18"/>
  <c r="EW24" i="18"/>
  <c r="EV24" i="18"/>
  <c r="EU24" i="18"/>
  <c r="ET24" i="18"/>
  <c r="ES24" i="18"/>
  <c r="ER24" i="18"/>
  <c r="EQ24" i="18"/>
  <c r="EP24" i="18"/>
  <c r="EO24" i="18"/>
  <c r="EN24" i="18"/>
  <c r="EM24" i="18"/>
  <c r="EL24" i="18"/>
  <c r="EK24" i="18"/>
  <c r="EJ24" i="18"/>
  <c r="EI24" i="18"/>
  <c r="EH24" i="18"/>
  <c r="EG24" i="18"/>
  <c r="EF24" i="18"/>
  <c r="EE24" i="18"/>
  <c r="ED24" i="18"/>
  <c r="EC24" i="18"/>
  <c r="EB24" i="18"/>
  <c r="EA24" i="18"/>
  <c r="DZ24" i="18"/>
  <c r="DY24" i="18"/>
  <c r="DX24" i="18"/>
  <c r="DW24" i="18"/>
  <c r="DV24" i="18"/>
  <c r="DU24" i="18"/>
  <c r="DT24" i="18"/>
  <c r="DS24" i="18"/>
  <c r="HS24" i="18" s="1"/>
  <c r="DR24" i="18"/>
  <c r="HN23" i="18"/>
  <c r="HM23" i="18"/>
  <c r="HL23" i="18"/>
  <c r="HK23" i="18"/>
  <c r="HJ23" i="18"/>
  <c r="HI23" i="18"/>
  <c r="HH23" i="18"/>
  <c r="HG23" i="18"/>
  <c r="HF23" i="18"/>
  <c r="HE23" i="18"/>
  <c r="HD23" i="18"/>
  <c r="HC23" i="18"/>
  <c r="HB23" i="18"/>
  <c r="HA23" i="18"/>
  <c r="GZ23" i="18"/>
  <c r="GY23" i="18"/>
  <c r="HR23" i="18" s="1"/>
  <c r="HQ22" i="18"/>
  <c r="HN22" i="18"/>
  <c r="HM22" i="18"/>
  <c r="HL22" i="18"/>
  <c r="HK22" i="18"/>
  <c r="HJ22" i="18"/>
  <c r="HI22" i="18"/>
  <c r="HH22" i="18"/>
  <c r="HG22" i="18"/>
  <c r="HF22" i="18"/>
  <c r="HE22" i="18"/>
  <c r="HD22" i="18"/>
  <c r="HC22" i="18"/>
  <c r="HB22" i="18"/>
  <c r="HA22" i="18"/>
  <c r="GZ22" i="18"/>
  <c r="GY22" i="18"/>
  <c r="GX22" i="18"/>
  <c r="GW22" i="18"/>
  <c r="GV22" i="18"/>
  <c r="GU22" i="18"/>
  <c r="GT22" i="18"/>
  <c r="GS22" i="18"/>
  <c r="GR22" i="18"/>
  <c r="GQ22" i="18"/>
  <c r="GP22" i="18"/>
  <c r="GO22" i="18"/>
  <c r="GN22" i="18"/>
  <c r="GM22" i="18"/>
  <c r="GL22" i="18"/>
  <c r="GK22" i="18"/>
  <c r="GJ22" i="18"/>
  <c r="HU22" i="18" s="1"/>
  <c r="GI22" i="18"/>
  <c r="HT22" i="18" s="1"/>
  <c r="GH22" i="18"/>
  <c r="GG22" i="18"/>
  <c r="GF22" i="18"/>
  <c r="GE22" i="18"/>
  <c r="GD22" i="18"/>
  <c r="GC22" i="18"/>
  <c r="GB22" i="18"/>
  <c r="GA22" i="18"/>
  <c r="FZ22" i="18"/>
  <c r="FY22" i="18"/>
  <c r="FX22" i="18"/>
  <c r="FW22" i="18"/>
  <c r="FV22" i="18"/>
  <c r="FU22" i="18"/>
  <c r="FT22" i="18"/>
  <c r="FS22" i="18"/>
  <c r="FR22" i="18"/>
  <c r="FQ22" i="18"/>
  <c r="FP22" i="18"/>
  <c r="FO22" i="18"/>
  <c r="FN22" i="18"/>
  <c r="FM22" i="18"/>
  <c r="FL22" i="18"/>
  <c r="FK22" i="18"/>
  <c r="FJ22" i="18"/>
  <c r="FI22" i="18"/>
  <c r="FH22" i="18"/>
  <c r="FG22" i="18"/>
  <c r="FF22" i="18"/>
  <c r="FE22" i="18"/>
  <c r="FD22" i="18"/>
  <c r="FC22" i="18"/>
  <c r="FB22" i="18"/>
  <c r="FA22" i="18"/>
  <c r="EZ22" i="18"/>
  <c r="EY22" i="18"/>
  <c r="EX22" i="18"/>
  <c r="EW22" i="18"/>
  <c r="EV22" i="18"/>
  <c r="EU22" i="18"/>
  <c r="ET22" i="18"/>
  <c r="ES22" i="18"/>
  <c r="ER22" i="18"/>
  <c r="EQ22" i="18"/>
  <c r="EP22" i="18"/>
  <c r="EO22" i="18"/>
  <c r="EN22" i="18"/>
  <c r="EM22" i="18"/>
  <c r="EL22" i="18"/>
  <c r="EK22" i="18"/>
  <c r="EJ22" i="18"/>
  <c r="EI22" i="18"/>
  <c r="EH22" i="18"/>
  <c r="EG22" i="18"/>
  <c r="EF22" i="18"/>
  <c r="EE22" i="18"/>
  <c r="ED22" i="18"/>
  <c r="EC22" i="18"/>
  <c r="EB22" i="18"/>
  <c r="EA22" i="18"/>
  <c r="DZ22" i="18"/>
  <c r="DY22" i="18"/>
  <c r="DX22" i="18"/>
  <c r="DW22" i="18"/>
  <c r="DV22" i="18"/>
  <c r="DU22" i="18"/>
  <c r="DT22" i="18"/>
  <c r="HS22" i="18" s="1"/>
  <c r="DS22" i="18"/>
  <c r="DR22" i="18"/>
  <c r="HM21" i="18"/>
  <c r="HL21" i="18"/>
  <c r="HK21" i="18"/>
  <c r="HJ21" i="18"/>
  <c r="HI21" i="18"/>
  <c r="HH21" i="18"/>
  <c r="HG21" i="18"/>
  <c r="HF21" i="18"/>
  <c r="HE21" i="18"/>
  <c r="HD21" i="18"/>
  <c r="HC21" i="18"/>
  <c r="HB21" i="18"/>
  <c r="HA21" i="18"/>
  <c r="GZ21" i="18"/>
  <c r="GY21" i="18"/>
  <c r="GX21" i="18"/>
  <c r="GW21" i="18"/>
  <c r="GV21" i="18"/>
  <c r="GU21" i="18"/>
  <c r="GT21" i="18"/>
  <c r="GS21" i="18"/>
  <c r="GR21" i="18"/>
  <c r="GQ21" i="18"/>
  <c r="GP21" i="18"/>
  <c r="GO21" i="18"/>
  <c r="GN21" i="18"/>
  <c r="GM21" i="18"/>
  <c r="GL21" i="18"/>
  <c r="GK21" i="18"/>
  <c r="GJ21" i="18"/>
  <c r="HT21" i="18" s="1"/>
  <c r="GI21" i="18"/>
  <c r="HQ21" i="18" s="1"/>
  <c r="GH21" i="18"/>
  <c r="GG21" i="18"/>
  <c r="GF21" i="18"/>
  <c r="GE21" i="18"/>
  <c r="GD21" i="18"/>
  <c r="GC21" i="18"/>
  <c r="GB21" i="18"/>
  <c r="GA21" i="18"/>
  <c r="FZ21" i="18"/>
  <c r="FY21" i="18"/>
  <c r="FX21" i="18"/>
  <c r="FW21" i="18"/>
  <c r="FV21" i="18"/>
  <c r="HP21" i="18" s="1"/>
  <c r="FU21" i="18"/>
  <c r="HN20" i="18"/>
  <c r="HM20" i="18"/>
  <c r="HL20" i="18"/>
  <c r="HK20" i="18"/>
  <c r="HJ20" i="18"/>
  <c r="HI20" i="18"/>
  <c r="HH20" i="18"/>
  <c r="HG20" i="18"/>
  <c r="HF20" i="18"/>
  <c r="HE20" i="18"/>
  <c r="HD20" i="18"/>
  <c r="HC20" i="18"/>
  <c r="HB20" i="18"/>
  <c r="HA20" i="18"/>
  <c r="GZ20" i="18"/>
  <c r="GY20" i="18"/>
  <c r="GX20" i="18"/>
  <c r="GW20" i="18"/>
  <c r="GV20" i="18"/>
  <c r="GU20" i="18"/>
  <c r="GT20" i="18"/>
  <c r="GS20" i="18"/>
  <c r="GR20" i="18"/>
  <c r="GQ20" i="18"/>
  <c r="GP20" i="18"/>
  <c r="GO20" i="18"/>
  <c r="GN20" i="18"/>
  <c r="GM20" i="18"/>
  <c r="GL20" i="18"/>
  <c r="GK20" i="18"/>
  <c r="GJ20" i="18"/>
  <c r="GI20" i="18"/>
  <c r="HR20" i="18" s="1"/>
  <c r="GH20" i="18"/>
  <c r="GG20" i="18"/>
  <c r="GF20" i="18"/>
  <c r="GE20" i="18"/>
  <c r="HP20" i="18" s="1"/>
  <c r="GD20" i="18"/>
  <c r="GC20" i="18"/>
  <c r="GB20" i="18"/>
  <c r="HS20" i="18" s="1"/>
  <c r="HN19" i="18"/>
  <c r="HM19" i="18"/>
  <c r="HL19" i="18"/>
  <c r="HK19" i="18"/>
  <c r="HJ19" i="18"/>
  <c r="HI19" i="18"/>
  <c r="HH19" i="18"/>
  <c r="HG19" i="18"/>
  <c r="HF19" i="18"/>
  <c r="HE19" i="18"/>
  <c r="HD19" i="18"/>
  <c r="HC19" i="18"/>
  <c r="HB19" i="18"/>
  <c r="HA19" i="18"/>
  <c r="GZ19" i="18"/>
  <c r="GY19" i="18"/>
  <c r="GX19" i="18"/>
  <c r="GW19" i="18"/>
  <c r="GV19" i="18"/>
  <c r="GU19" i="18"/>
  <c r="GT19" i="18"/>
  <c r="GS19" i="18"/>
  <c r="GR19" i="18"/>
  <c r="GQ19" i="18"/>
  <c r="GP19" i="18"/>
  <c r="GO19" i="18"/>
  <c r="GN19" i="18"/>
  <c r="GM19" i="18"/>
  <c r="GL19" i="18"/>
  <c r="GK19" i="18"/>
  <c r="GJ19" i="18"/>
  <c r="GI19" i="18"/>
  <c r="HT19" i="18" s="1"/>
  <c r="GH19" i="18"/>
  <c r="GG19" i="18"/>
  <c r="GF19" i="18"/>
  <c r="GE19" i="18"/>
  <c r="GD19" i="18"/>
  <c r="GC19" i="18"/>
  <c r="GB19" i="18"/>
  <c r="GA19" i="18"/>
  <c r="FZ19" i="18"/>
  <c r="FY19" i="18"/>
  <c r="FX19" i="18"/>
  <c r="FW19" i="18"/>
  <c r="FV19" i="18"/>
  <c r="FU19" i="18"/>
  <c r="FT19" i="18"/>
  <c r="FS19" i="18"/>
  <c r="FR19" i="18"/>
  <c r="FQ19" i="18"/>
  <c r="FP19" i="18"/>
  <c r="FO19" i="18"/>
  <c r="FN19" i="18"/>
  <c r="FM19" i="18"/>
  <c r="FL19" i="18"/>
  <c r="FK19" i="18"/>
  <c r="FJ19" i="18"/>
  <c r="FI19" i="18"/>
  <c r="FH19" i="18"/>
  <c r="FG19" i="18"/>
  <c r="FF19" i="18"/>
  <c r="FE19" i="18"/>
  <c r="FD19" i="18"/>
  <c r="FC19" i="18"/>
  <c r="FB19" i="18"/>
  <c r="FA19" i="18"/>
  <c r="EZ19" i="18"/>
  <c r="EY19" i="18"/>
  <c r="EX19" i="18"/>
  <c r="EW19" i="18"/>
  <c r="EV19" i="18"/>
  <c r="EU19" i="18"/>
  <c r="ET19" i="18"/>
  <c r="ES19" i="18"/>
  <c r="ER19" i="18"/>
  <c r="EQ19" i="18"/>
  <c r="EP19" i="18"/>
  <c r="EO19" i="18"/>
  <c r="EN19" i="18"/>
  <c r="EM19" i="18"/>
  <c r="EL19" i="18"/>
  <c r="EK19" i="18"/>
  <c r="EJ19" i="18"/>
  <c r="EI19" i="18"/>
  <c r="EH19" i="18"/>
  <c r="EG19" i="18"/>
  <c r="EF19" i="18"/>
  <c r="EE19" i="18"/>
  <c r="ED19" i="18"/>
  <c r="EC19" i="18"/>
  <c r="EB19" i="18"/>
  <c r="EA19" i="18"/>
  <c r="DZ19" i="18"/>
  <c r="DY19" i="18"/>
  <c r="DX19" i="18"/>
  <c r="DW19" i="18"/>
  <c r="DV19" i="18"/>
  <c r="DU19" i="18"/>
  <c r="DT19" i="18"/>
  <c r="DS19" i="18"/>
  <c r="HP19" i="18" s="1"/>
  <c r="DR19" i="18"/>
  <c r="HT18" i="18"/>
  <c r="HN18" i="18"/>
  <c r="HM18" i="18"/>
  <c r="HL18" i="18"/>
  <c r="HK18" i="18"/>
  <c r="HJ18" i="18"/>
  <c r="HI18" i="18"/>
  <c r="HH18" i="18"/>
  <c r="HG18" i="18"/>
  <c r="HF18" i="18"/>
  <c r="HE18" i="18"/>
  <c r="HD18" i="18"/>
  <c r="HC18" i="18"/>
  <c r="HB18" i="18"/>
  <c r="HA18" i="18"/>
  <c r="GZ18" i="18"/>
  <c r="GY18" i="18"/>
  <c r="GX18" i="18"/>
  <c r="GW18" i="18"/>
  <c r="GV18" i="18"/>
  <c r="GU18" i="18"/>
  <c r="GT18" i="18"/>
  <c r="GS18" i="18"/>
  <c r="GR18" i="18"/>
  <c r="GQ18" i="18"/>
  <c r="GP18" i="18"/>
  <c r="GO18" i="18"/>
  <c r="GN18" i="18"/>
  <c r="GM18" i="18"/>
  <c r="HU18" i="18" s="1"/>
  <c r="HX18" i="18" s="1"/>
  <c r="GL18" i="18"/>
  <c r="GK18" i="18"/>
  <c r="HN17" i="18"/>
  <c r="HM17" i="18"/>
  <c r="HL17" i="18"/>
  <c r="HK17" i="18"/>
  <c r="HJ17" i="18"/>
  <c r="HI17" i="18"/>
  <c r="HH17" i="18"/>
  <c r="HG17" i="18"/>
  <c r="HF17" i="18"/>
  <c r="HE17" i="18"/>
  <c r="HD17" i="18"/>
  <c r="HC17" i="18"/>
  <c r="HB17" i="18"/>
  <c r="HA17" i="18"/>
  <c r="GZ17" i="18"/>
  <c r="GY17" i="18"/>
  <c r="GX17" i="18"/>
  <c r="GW17" i="18"/>
  <c r="GV17" i="18"/>
  <c r="GU17" i="18"/>
  <c r="GT17" i="18"/>
  <c r="GS17" i="18"/>
  <c r="GR17" i="18"/>
  <c r="GQ17" i="18"/>
  <c r="GP17" i="18"/>
  <c r="GO17" i="18"/>
  <c r="GN17" i="18"/>
  <c r="GM17" i="18"/>
  <c r="GL17" i="18"/>
  <c r="GK17" i="18"/>
  <c r="HT17" i="18" s="1"/>
  <c r="GJ17" i="18"/>
  <c r="GI17" i="18"/>
  <c r="HQ17" i="18" s="1"/>
  <c r="GH17" i="18"/>
  <c r="GG17" i="18"/>
  <c r="GF17" i="18"/>
  <c r="GE17" i="18"/>
  <c r="GD17" i="18"/>
  <c r="GC17" i="18"/>
  <c r="GB17" i="18"/>
  <c r="GA17" i="18"/>
  <c r="FZ17" i="18"/>
  <c r="FY17" i="18"/>
  <c r="FX17" i="18"/>
  <c r="FW17" i="18"/>
  <c r="FV17" i="18"/>
  <c r="FU17" i="18"/>
  <c r="HS17" i="18" s="1"/>
  <c r="HM16" i="18"/>
  <c r="HL16" i="18"/>
  <c r="HK16" i="18"/>
  <c r="HJ16" i="18"/>
  <c r="HI16" i="18"/>
  <c r="HH16" i="18"/>
  <c r="HG16" i="18"/>
  <c r="HF16" i="18"/>
  <c r="HE16" i="18"/>
  <c r="HD16" i="18"/>
  <c r="HC16" i="18"/>
  <c r="HB16" i="18"/>
  <c r="HA16" i="18"/>
  <c r="GZ16" i="18"/>
  <c r="GY16" i="18"/>
  <c r="GX16" i="18"/>
  <c r="GW16" i="18"/>
  <c r="GV16" i="18"/>
  <c r="GU16" i="18"/>
  <c r="GT16" i="18"/>
  <c r="GS16" i="18"/>
  <c r="GR16" i="18"/>
  <c r="GQ16" i="18"/>
  <c r="GP16" i="18"/>
  <c r="GO16" i="18"/>
  <c r="GN16" i="18"/>
  <c r="GM16" i="18"/>
  <c r="GL16" i="18"/>
  <c r="GK16" i="18"/>
  <c r="GJ16" i="18"/>
  <c r="GI16" i="18"/>
  <c r="HT16" i="18" s="1"/>
  <c r="GH16" i="18"/>
  <c r="GG16" i="18"/>
  <c r="GF16" i="18"/>
  <c r="GE16" i="18"/>
  <c r="GD16" i="18"/>
  <c r="GC16" i="18"/>
  <c r="GB16" i="18"/>
  <c r="GA16" i="18"/>
  <c r="FZ16" i="18"/>
  <c r="FY16" i="18"/>
  <c r="FX16" i="18"/>
  <c r="FW16" i="18"/>
  <c r="HS16" i="18" s="1"/>
  <c r="FV16" i="18"/>
  <c r="FU16" i="18"/>
  <c r="HT15" i="18"/>
  <c r="HN15" i="18"/>
  <c r="HM15" i="18"/>
  <c r="HL15" i="18"/>
  <c r="HK15" i="18"/>
  <c r="HJ15" i="18"/>
  <c r="HI15" i="18"/>
  <c r="HH15" i="18"/>
  <c r="HG15" i="18"/>
  <c r="HF15" i="18"/>
  <c r="HE15" i="18"/>
  <c r="HD15" i="18"/>
  <c r="HC15" i="18"/>
  <c r="HB15" i="18"/>
  <c r="HA15" i="18"/>
  <c r="GZ15" i="18"/>
  <c r="GY15" i="18"/>
  <c r="GX15" i="18"/>
  <c r="GW15" i="18"/>
  <c r="GV15" i="18"/>
  <c r="GU15" i="18"/>
  <c r="GT15" i="18"/>
  <c r="GS15" i="18"/>
  <c r="GR15" i="18"/>
  <c r="GQ15" i="18"/>
  <c r="GP15" i="18"/>
  <c r="GO15" i="18"/>
  <c r="GN15" i="18"/>
  <c r="GM15" i="18"/>
  <c r="GL15" i="18"/>
  <c r="GK15" i="18"/>
  <c r="GJ15" i="18"/>
  <c r="GI15" i="18"/>
  <c r="HR15" i="18" s="1"/>
  <c r="GH15" i="18"/>
  <c r="GG15" i="18"/>
  <c r="GF15" i="18"/>
  <c r="GE15" i="18"/>
  <c r="GD15" i="18"/>
  <c r="GC15" i="18"/>
  <c r="GB15" i="18"/>
  <c r="GA15" i="18"/>
  <c r="FZ15" i="18"/>
  <c r="FY15" i="18"/>
  <c r="FX15" i="18"/>
  <c r="FW15" i="18"/>
  <c r="FV15" i="18"/>
  <c r="FU15" i="18"/>
  <c r="FT15" i="18"/>
  <c r="FS15" i="18"/>
  <c r="FR15" i="18"/>
  <c r="FQ15" i="18"/>
  <c r="FP15" i="18"/>
  <c r="FO15" i="18"/>
  <c r="FN15" i="18"/>
  <c r="FM15" i="18"/>
  <c r="FL15" i="18"/>
  <c r="FK15" i="18"/>
  <c r="FJ15" i="18"/>
  <c r="FI15" i="18"/>
  <c r="FH15" i="18"/>
  <c r="FG15" i="18"/>
  <c r="FF15" i="18"/>
  <c r="FE15" i="18"/>
  <c r="FD15" i="18"/>
  <c r="FC15" i="18"/>
  <c r="FB15" i="18"/>
  <c r="FA15" i="18"/>
  <c r="EZ15" i="18"/>
  <c r="EY15" i="18"/>
  <c r="EX15" i="18"/>
  <c r="EW15" i="18"/>
  <c r="EV15" i="18"/>
  <c r="EU15" i="18"/>
  <c r="ET15" i="18"/>
  <c r="ES15" i="18"/>
  <c r="ER15" i="18"/>
  <c r="EQ15" i="18"/>
  <c r="EP15" i="18"/>
  <c r="EO15" i="18"/>
  <c r="EN15" i="18"/>
  <c r="EM15" i="18"/>
  <c r="EL15" i="18"/>
  <c r="EK15" i="18"/>
  <c r="EJ15" i="18"/>
  <c r="EI15" i="18"/>
  <c r="HP15" i="18" s="1"/>
  <c r="EH15" i="18"/>
  <c r="EG15" i="18"/>
  <c r="HN14" i="18"/>
  <c r="HM14" i="18"/>
  <c r="HL14" i="18"/>
  <c r="HK14" i="18"/>
  <c r="HJ14" i="18"/>
  <c r="HI14" i="18"/>
  <c r="HH14" i="18"/>
  <c r="HG14" i="18"/>
  <c r="HF14" i="18"/>
  <c r="HE14" i="18"/>
  <c r="HD14" i="18"/>
  <c r="HC14" i="18"/>
  <c r="HB14" i="18"/>
  <c r="HA14" i="18"/>
  <c r="GZ14" i="18"/>
  <c r="GY14" i="18"/>
  <c r="GX14" i="18"/>
  <c r="GW14" i="18"/>
  <c r="GV14" i="18"/>
  <c r="GU14" i="18"/>
  <c r="GT14" i="18"/>
  <c r="GS14" i="18"/>
  <c r="GR14" i="18"/>
  <c r="GQ14" i="18"/>
  <c r="GP14" i="18"/>
  <c r="GO14" i="18"/>
  <c r="GN14" i="18"/>
  <c r="GM14" i="18"/>
  <c r="GL14" i="18"/>
  <c r="GK14" i="18"/>
  <c r="HT14" i="18" s="1"/>
  <c r="GJ14" i="18"/>
  <c r="HM13" i="18"/>
  <c r="HL13" i="18"/>
  <c r="HK13" i="18"/>
  <c r="HJ13" i="18"/>
  <c r="HI13" i="18"/>
  <c r="HH13" i="18"/>
  <c r="HG13" i="18"/>
  <c r="HF13" i="18"/>
  <c r="HE13" i="18"/>
  <c r="HD13" i="18"/>
  <c r="HC13" i="18"/>
  <c r="HB13" i="18"/>
  <c r="HA13" i="18"/>
  <c r="GZ13" i="18"/>
  <c r="GY13" i="18"/>
  <c r="GX13" i="18"/>
  <c r="GW13" i="18"/>
  <c r="GV13" i="18"/>
  <c r="GU13" i="18"/>
  <c r="GT13" i="18"/>
  <c r="GS13" i="18"/>
  <c r="GR13" i="18"/>
  <c r="GQ13" i="18"/>
  <c r="GP13" i="18"/>
  <c r="GO13" i="18"/>
  <c r="GN13" i="18"/>
  <c r="GM13" i="18"/>
  <c r="GL13" i="18"/>
  <c r="GK13" i="18"/>
  <c r="GJ13" i="18"/>
  <c r="HR13" i="18" s="1"/>
  <c r="GI13" i="18"/>
  <c r="GH13" i="18"/>
  <c r="GG13" i="18"/>
  <c r="GF13" i="18"/>
  <c r="GE13" i="18"/>
  <c r="GD13" i="18"/>
  <c r="GC13" i="18"/>
  <c r="GB13" i="18"/>
  <c r="GA13" i="18"/>
  <c r="FZ13" i="18"/>
  <c r="FY13" i="18"/>
  <c r="FX13" i="18"/>
  <c r="FW13" i="18"/>
  <c r="FV13" i="18"/>
  <c r="FU13" i="18"/>
  <c r="FT13" i="18"/>
  <c r="FS13" i="18"/>
  <c r="FR13" i="18"/>
  <c r="FQ13" i="18"/>
  <c r="FP13" i="18"/>
  <c r="FO13" i="18"/>
  <c r="FN13" i="18"/>
  <c r="FM13" i="18"/>
  <c r="FL13" i="18"/>
  <c r="FK13" i="18"/>
  <c r="FJ13" i="18"/>
  <c r="FI13" i="18"/>
  <c r="FH13" i="18"/>
  <c r="FG13" i="18"/>
  <c r="FF13" i="18"/>
  <c r="FE13" i="18"/>
  <c r="FD13" i="18"/>
  <c r="FC13" i="18"/>
  <c r="FB13" i="18"/>
  <c r="FA13" i="18"/>
  <c r="EZ13" i="18"/>
  <c r="EY13" i="18"/>
  <c r="EX13" i="18"/>
  <c r="EW13" i="18"/>
  <c r="EV13" i="18"/>
  <c r="EU13" i="18"/>
  <c r="ET13" i="18"/>
  <c r="ES13" i="18"/>
  <c r="ER13" i="18"/>
  <c r="EQ13" i="18"/>
  <c r="EP13" i="18"/>
  <c r="EO13" i="18"/>
  <c r="EN13" i="18"/>
  <c r="EM13" i="18"/>
  <c r="EL13" i="18"/>
  <c r="EK13" i="18"/>
  <c r="EJ13" i="18"/>
  <c r="EI13" i="18"/>
  <c r="EH13" i="18"/>
  <c r="EG13" i="18"/>
  <c r="EF13" i="18"/>
  <c r="EE13" i="18"/>
  <c r="ED13" i="18"/>
  <c r="EC13" i="18"/>
  <c r="EB13" i="18"/>
  <c r="EA13" i="18"/>
  <c r="DZ13" i="18"/>
  <c r="DY13" i="18"/>
  <c r="DX13" i="18"/>
  <c r="DW13" i="18"/>
  <c r="DV13" i="18"/>
  <c r="DU13" i="18"/>
  <c r="DT13" i="18"/>
  <c r="HS13" i="18" s="1"/>
  <c r="DS13" i="18"/>
  <c r="DR13" i="18"/>
  <c r="HP13" i="18" s="1"/>
  <c r="HT12" i="18"/>
  <c r="HN12" i="18"/>
  <c r="HM12" i="18"/>
  <c r="HL12" i="18"/>
  <c r="HK12" i="18"/>
  <c r="HJ12" i="18"/>
  <c r="HI12" i="18"/>
  <c r="HH12" i="18"/>
  <c r="HG12" i="18"/>
  <c r="HF12" i="18"/>
  <c r="HE12" i="18"/>
  <c r="HD12" i="18"/>
  <c r="HC12" i="18"/>
  <c r="HB12" i="18"/>
  <c r="HA12" i="18"/>
  <c r="GZ12" i="18"/>
  <c r="GY12" i="18"/>
  <c r="GX12" i="18"/>
  <c r="GW12" i="18"/>
  <c r="GV12" i="18"/>
  <c r="GU12" i="18"/>
  <c r="GT12" i="18"/>
  <c r="GS12" i="18"/>
  <c r="GR12" i="18"/>
  <c r="GQ12" i="18"/>
  <c r="HU12" i="18" s="1"/>
  <c r="GP12" i="18"/>
  <c r="GO12" i="18"/>
  <c r="GN12" i="18"/>
  <c r="HQ12" i="18" s="1"/>
  <c r="HN11" i="18"/>
  <c r="HM11" i="18"/>
  <c r="HL11" i="18"/>
  <c r="HK11" i="18"/>
  <c r="HJ11" i="18"/>
  <c r="HI11" i="18"/>
  <c r="HH11" i="18"/>
  <c r="HG11" i="18"/>
  <c r="HF11" i="18"/>
  <c r="HE11" i="18"/>
  <c r="HD11" i="18"/>
  <c r="HC11" i="18"/>
  <c r="HB11" i="18"/>
  <c r="HA11" i="18"/>
  <c r="GZ11" i="18"/>
  <c r="GY11" i="18"/>
  <c r="GX11" i="18"/>
  <c r="GW11" i="18"/>
  <c r="GV11" i="18"/>
  <c r="GU11" i="18"/>
  <c r="GT11" i="18"/>
  <c r="GS11" i="18"/>
  <c r="GR11" i="18"/>
  <c r="GQ11" i="18"/>
  <c r="GP11" i="18"/>
  <c r="GO11" i="18"/>
  <c r="HU11" i="18" s="1"/>
  <c r="GN11" i="18"/>
  <c r="HR10" i="18"/>
  <c r="HN10" i="18"/>
  <c r="HM10" i="18"/>
  <c r="HL10" i="18"/>
  <c r="HK10" i="18"/>
  <c r="HJ10" i="18"/>
  <c r="HI10" i="18"/>
  <c r="HH10" i="18"/>
  <c r="HG10" i="18"/>
  <c r="HF10" i="18"/>
  <c r="HE10" i="18"/>
  <c r="HD10" i="18"/>
  <c r="HC10" i="18"/>
  <c r="HB10" i="18"/>
  <c r="HA10" i="18"/>
  <c r="GZ10" i="18"/>
  <c r="GY10" i="18"/>
  <c r="GX10" i="18"/>
  <c r="GW10" i="18"/>
  <c r="GV10" i="18"/>
  <c r="GU10" i="18"/>
  <c r="GT10" i="18"/>
  <c r="GS10" i="18"/>
  <c r="GR10" i="18"/>
  <c r="GQ10" i="18"/>
  <c r="GP10" i="18"/>
  <c r="GO10" i="18"/>
  <c r="HP10" i="18" s="1"/>
  <c r="GN10" i="18"/>
  <c r="HU10" i="18" s="1"/>
  <c r="HM9" i="18"/>
  <c r="HL9" i="18"/>
  <c r="HK9" i="18"/>
  <c r="HJ9" i="18"/>
  <c r="HI9" i="18"/>
  <c r="HH9" i="18"/>
  <c r="HG9" i="18"/>
  <c r="HF9" i="18"/>
  <c r="HE9" i="18"/>
  <c r="HD9" i="18"/>
  <c r="HC9" i="18"/>
  <c r="HB9" i="18"/>
  <c r="HA9" i="18"/>
  <c r="GZ9" i="18"/>
  <c r="GY9" i="18"/>
  <c r="GX9" i="18"/>
  <c r="GW9" i="18"/>
  <c r="GV9" i="18"/>
  <c r="GU9" i="18"/>
  <c r="GT9" i="18"/>
  <c r="GS9" i="18"/>
  <c r="GR9" i="18"/>
  <c r="GQ9" i="18"/>
  <c r="GP9" i="18"/>
  <c r="GO9" i="18"/>
  <c r="GN9" i="18"/>
  <c r="GM9" i="18"/>
  <c r="GL9" i="18"/>
  <c r="GK9" i="18"/>
  <c r="GJ9" i="18"/>
  <c r="GI9" i="18"/>
  <c r="HR9" i="18" s="1"/>
  <c r="GH9" i="18"/>
  <c r="GG9" i="18"/>
  <c r="GF9" i="18"/>
  <c r="GE9" i="18"/>
  <c r="GD9" i="18"/>
  <c r="GC9" i="18"/>
  <c r="GB9" i="18"/>
  <c r="GA9" i="18"/>
  <c r="FZ9" i="18"/>
  <c r="FY9" i="18"/>
  <c r="FX9" i="18"/>
  <c r="FW9" i="18"/>
  <c r="HS9" i="18" s="1"/>
  <c r="FV9" i="18"/>
  <c r="FU9" i="18"/>
  <c r="HP9" i="18" s="1"/>
  <c r="HN8" i="18"/>
  <c r="HM8" i="18"/>
  <c r="HL8" i="18"/>
  <c r="HK8" i="18"/>
  <c r="HJ8" i="18"/>
  <c r="HI8" i="18"/>
  <c r="HH8" i="18"/>
  <c r="HG8" i="18"/>
  <c r="HF8" i="18"/>
  <c r="HE8" i="18"/>
  <c r="HD8" i="18"/>
  <c r="HC8" i="18"/>
  <c r="HB8" i="18"/>
  <c r="HA8" i="18"/>
  <c r="GZ8" i="18"/>
  <c r="GY8" i="18"/>
  <c r="GX8" i="18"/>
  <c r="GW8" i="18"/>
  <c r="GV8" i="18"/>
  <c r="GU8" i="18"/>
  <c r="GT8" i="18"/>
  <c r="GS8" i="18"/>
  <c r="GR8" i="18"/>
  <c r="GQ8" i="18"/>
  <c r="GP8" i="18"/>
  <c r="GO8" i="18"/>
  <c r="GN8" i="18"/>
  <c r="GM8" i="18"/>
  <c r="GL8" i="18"/>
  <c r="GK8" i="18"/>
  <c r="HT8" i="18" s="1"/>
  <c r="GJ8" i="18"/>
  <c r="GI8" i="18"/>
  <c r="GH8" i="18"/>
  <c r="GG8" i="18"/>
  <c r="GF8" i="18"/>
  <c r="GE8" i="18"/>
  <c r="GD8" i="18"/>
  <c r="GC8" i="18"/>
  <c r="GB8" i="18"/>
  <c r="GA8" i="18"/>
  <c r="FZ8" i="18"/>
  <c r="FY8" i="18"/>
  <c r="FX8" i="18"/>
  <c r="FW8" i="18"/>
  <c r="FV8" i="18"/>
  <c r="FU8" i="18"/>
  <c r="FT8" i="18"/>
  <c r="FS8" i="18"/>
  <c r="FR8" i="18"/>
  <c r="FQ8" i="18"/>
  <c r="FP8" i="18"/>
  <c r="FO8" i="18"/>
  <c r="FN8" i="18"/>
  <c r="FM8" i="18"/>
  <c r="FL8" i="18"/>
  <c r="FK8" i="18"/>
  <c r="FJ8" i="18"/>
  <c r="FI8" i="18"/>
  <c r="FH8" i="18"/>
  <c r="FG8" i="18"/>
  <c r="FF8" i="18"/>
  <c r="FE8" i="18"/>
  <c r="FD8" i="18"/>
  <c r="FC8" i="18"/>
  <c r="FB8" i="18"/>
  <c r="FA8" i="18"/>
  <c r="EZ8" i="18"/>
  <c r="EY8" i="18"/>
  <c r="EX8" i="18"/>
  <c r="EW8" i="18"/>
  <c r="EV8" i="18"/>
  <c r="EU8" i="18"/>
  <c r="ET8" i="18"/>
  <c r="ES8" i="18"/>
  <c r="ER8" i="18"/>
  <c r="EQ8" i="18"/>
  <c r="EP8" i="18"/>
  <c r="EO8" i="18"/>
  <c r="EN8" i="18"/>
  <c r="EM8" i="18"/>
  <c r="EL8" i="18"/>
  <c r="EK8" i="18"/>
  <c r="EJ8" i="18"/>
  <c r="EI8" i="18"/>
  <c r="EH8" i="18"/>
  <c r="EG8" i="18"/>
  <c r="EF8" i="18"/>
  <c r="EE8" i="18"/>
  <c r="ED8" i="18"/>
  <c r="EC8" i="18"/>
  <c r="EB8" i="18"/>
  <c r="EA8" i="18"/>
  <c r="DZ8" i="18"/>
  <c r="DY8" i="18"/>
  <c r="DX8" i="18"/>
  <c r="DW8" i="18"/>
  <c r="DV8" i="18"/>
  <c r="DU8" i="18"/>
  <c r="DT8" i="18"/>
  <c r="DS8" i="18"/>
  <c r="DR8" i="18"/>
  <c r="DQ8" i="18"/>
  <c r="DP8" i="18"/>
  <c r="DO8" i="18"/>
  <c r="DN8" i="18"/>
  <c r="DM8" i="18"/>
  <c r="HS8" i="18" s="1"/>
  <c r="DL8" i="18"/>
  <c r="DK8" i="18"/>
  <c r="HP8" i="18" s="1"/>
  <c r="HN7" i="18"/>
  <c r="HM7" i="18"/>
  <c r="HL7" i="18"/>
  <c r="HK7" i="18"/>
  <c r="HJ7" i="18"/>
  <c r="HI7" i="18"/>
  <c r="HH7" i="18"/>
  <c r="HG7" i="18"/>
  <c r="HF7" i="18"/>
  <c r="HE7" i="18"/>
  <c r="HD7" i="18"/>
  <c r="HC7" i="18"/>
  <c r="HB7" i="18"/>
  <c r="HA7" i="18"/>
  <c r="GZ7" i="18"/>
  <c r="GY7" i="18"/>
  <c r="GX7" i="18"/>
  <c r="GW7" i="18"/>
  <c r="GV7" i="18"/>
  <c r="GU7" i="18"/>
  <c r="GT7" i="18"/>
  <c r="GS7" i="18"/>
  <c r="GR7" i="18"/>
  <c r="GQ7" i="18"/>
  <c r="GP7" i="18"/>
  <c r="GO7" i="18"/>
  <c r="GN7" i="18"/>
  <c r="GM7" i="18"/>
  <c r="GL7" i="18"/>
  <c r="HQ7" i="18" s="1"/>
  <c r="GK7" i="18"/>
  <c r="GJ7" i="18"/>
  <c r="HR7" i="18" s="1"/>
  <c r="GI7" i="18"/>
  <c r="GH7" i="18"/>
  <c r="GG7" i="18"/>
  <c r="GF7" i="18"/>
  <c r="GE7" i="18"/>
  <c r="GD7" i="18"/>
  <c r="GC7" i="18"/>
  <c r="GB7" i="18"/>
  <c r="GA7" i="18"/>
  <c r="FZ7" i="18"/>
  <c r="FY7" i="18"/>
  <c r="FX7" i="18"/>
  <c r="FW7" i="18"/>
  <c r="FV7" i="18"/>
  <c r="FU7" i="18"/>
  <c r="FT7" i="18"/>
  <c r="FS7" i="18"/>
  <c r="FR7" i="18"/>
  <c r="FQ7" i="18"/>
  <c r="FP7" i="18"/>
  <c r="FO7" i="18"/>
  <c r="FN7" i="18"/>
  <c r="FM7" i="18"/>
  <c r="FL7" i="18"/>
  <c r="FK7" i="18"/>
  <c r="FJ7" i="18"/>
  <c r="FI7" i="18"/>
  <c r="FH7" i="18"/>
  <c r="FG7" i="18"/>
  <c r="FF7" i="18"/>
  <c r="FE7" i="18"/>
  <c r="FD7" i="18"/>
  <c r="FC7" i="18"/>
  <c r="FB7" i="18"/>
  <c r="FA7" i="18"/>
  <c r="EZ7" i="18"/>
  <c r="EY7" i="18"/>
  <c r="EX7" i="18"/>
  <c r="EW7" i="18"/>
  <c r="EV7" i="18"/>
  <c r="EU7" i="18"/>
  <c r="ET7" i="18"/>
  <c r="ES7" i="18"/>
  <c r="ER7" i="18"/>
  <c r="EQ7" i="18"/>
  <c r="EP7" i="18"/>
  <c r="EO7" i="18"/>
  <c r="EN7" i="18"/>
  <c r="EM7" i="18"/>
  <c r="EL7" i="18"/>
  <c r="EK7" i="18"/>
  <c r="EJ7" i="18"/>
  <c r="EI7" i="18"/>
  <c r="EH7" i="18"/>
  <c r="EG7" i="18"/>
  <c r="EF7" i="18"/>
  <c r="EE7" i="18"/>
  <c r="ED7" i="18"/>
  <c r="EC7" i="18"/>
  <c r="EB7" i="18"/>
  <c r="EA7" i="18"/>
  <c r="DZ7" i="18"/>
  <c r="DY7" i="18"/>
  <c r="DX7" i="18"/>
  <c r="DW7" i="18"/>
  <c r="DV7" i="18"/>
  <c r="DU7" i="18"/>
  <c r="DT7" i="18"/>
  <c r="DS7" i="18"/>
  <c r="DR7" i="18"/>
  <c r="DQ7" i="18"/>
  <c r="DP7" i="18"/>
  <c r="DO7" i="18"/>
  <c r="DN7" i="18"/>
  <c r="DM7" i="18"/>
  <c r="DL7" i="18"/>
  <c r="HS7" i="18" s="1"/>
  <c r="HX7" i="18" s="1"/>
  <c r="DK7" i="18"/>
  <c r="HN6" i="18"/>
  <c r="HM6" i="18"/>
  <c r="HL6" i="18"/>
  <c r="HK6" i="18"/>
  <c r="HJ6" i="18"/>
  <c r="HI6" i="18"/>
  <c r="HH6" i="18"/>
  <c r="HG6" i="18"/>
  <c r="HF6" i="18"/>
  <c r="HE6" i="18"/>
  <c r="HD6" i="18"/>
  <c r="HC6" i="18"/>
  <c r="HB6" i="18"/>
  <c r="HA6" i="18"/>
  <c r="GZ6" i="18"/>
  <c r="GY6" i="18"/>
  <c r="GX6" i="18"/>
  <c r="GW6" i="18"/>
  <c r="GV6" i="18"/>
  <c r="GU6" i="18"/>
  <c r="GT6" i="18"/>
  <c r="GS6" i="18"/>
  <c r="GR6" i="18"/>
  <c r="GQ6" i="18"/>
  <c r="GP6" i="18"/>
  <c r="GO6" i="18"/>
  <c r="GN6" i="18"/>
  <c r="GM6" i="18"/>
  <c r="GL6" i="18"/>
  <c r="GK6" i="18"/>
  <c r="GJ6" i="18"/>
  <c r="GI6" i="18"/>
  <c r="HR6" i="18" s="1"/>
  <c r="GH6" i="18"/>
  <c r="GG6" i="18"/>
  <c r="GF6" i="18"/>
  <c r="GE6" i="18"/>
  <c r="GD6" i="18"/>
  <c r="GC6" i="18"/>
  <c r="GB6" i="18"/>
  <c r="GA6" i="18"/>
  <c r="FZ6" i="18"/>
  <c r="FY6" i="18"/>
  <c r="FX6" i="18"/>
  <c r="FW6" i="18"/>
  <c r="FV6" i="18"/>
  <c r="FU6" i="18"/>
  <c r="FT6" i="18"/>
  <c r="FS6" i="18"/>
  <c r="FR6" i="18"/>
  <c r="FQ6" i="18"/>
  <c r="FP6" i="18"/>
  <c r="FO6" i="18"/>
  <c r="FN6" i="18"/>
  <c r="FM6" i="18"/>
  <c r="FL6" i="18"/>
  <c r="FK6" i="18"/>
  <c r="FJ6" i="18"/>
  <c r="FI6" i="18"/>
  <c r="FH6" i="18"/>
  <c r="FG6" i="18"/>
  <c r="FF6" i="18"/>
  <c r="FE6" i="18"/>
  <c r="FD6" i="18"/>
  <c r="FC6" i="18"/>
  <c r="FB6" i="18"/>
  <c r="FA6" i="18"/>
  <c r="EZ6" i="18"/>
  <c r="EY6" i="18"/>
  <c r="EX6" i="18"/>
  <c r="EW6" i="18"/>
  <c r="EV6" i="18"/>
  <c r="EU6" i="18"/>
  <c r="ET6" i="18"/>
  <c r="ES6" i="18"/>
  <c r="ER6" i="18"/>
  <c r="EQ6" i="18"/>
  <c r="EP6" i="18"/>
  <c r="EO6" i="18"/>
  <c r="EN6" i="18"/>
  <c r="EM6" i="18"/>
  <c r="EL6" i="18"/>
  <c r="EK6" i="18"/>
  <c r="EJ6" i="18"/>
  <c r="EI6" i="18"/>
  <c r="EH6" i="18"/>
  <c r="EG6" i="18"/>
  <c r="EF6" i="18"/>
  <c r="EE6" i="18"/>
  <c r="ED6" i="18"/>
  <c r="EC6" i="18"/>
  <c r="EB6" i="18"/>
  <c r="EA6" i="18"/>
  <c r="DZ6" i="18"/>
  <c r="DY6" i="18"/>
  <c r="DX6" i="18"/>
  <c r="DW6" i="18"/>
  <c r="DV6" i="18"/>
  <c r="DU6" i="18"/>
  <c r="DT6" i="18"/>
  <c r="DS6" i="18"/>
  <c r="DR6" i="18"/>
  <c r="DQ6" i="18"/>
  <c r="DP6" i="18"/>
  <c r="DO6" i="18"/>
  <c r="DN6" i="18"/>
  <c r="DM6" i="18"/>
  <c r="DL6" i="18"/>
  <c r="DK6" i="18"/>
  <c r="HS6" i="18" s="1"/>
  <c r="HQ5" i="18"/>
  <c r="HN5" i="18"/>
  <c r="HM5" i="18"/>
  <c r="HL5" i="18"/>
  <c r="HK5" i="18"/>
  <c r="HJ5" i="18"/>
  <c r="HI5" i="18"/>
  <c r="HH5" i="18"/>
  <c r="HG5" i="18"/>
  <c r="HF5" i="18"/>
  <c r="HE5" i="18"/>
  <c r="HD5" i="18"/>
  <c r="HC5" i="18"/>
  <c r="HB5" i="18"/>
  <c r="HA5" i="18"/>
  <c r="GZ5" i="18"/>
  <c r="GY5" i="18"/>
  <c r="GX5" i="18"/>
  <c r="GW5" i="18"/>
  <c r="GV5" i="18"/>
  <c r="GU5" i="18"/>
  <c r="GT5" i="18"/>
  <c r="GS5" i="18"/>
  <c r="GR5" i="18"/>
  <c r="GQ5" i="18"/>
  <c r="GP5" i="18"/>
  <c r="GO5" i="18"/>
  <c r="GN5" i="18"/>
  <c r="GM5" i="18"/>
  <c r="GL5" i="18"/>
  <c r="GK5" i="18"/>
  <c r="GJ5" i="18"/>
  <c r="HU5" i="18" s="1"/>
  <c r="GI5" i="18"/>
  <c r="HT5" i="18" s="1"/>
  <c r="GH5" i="18"/>
  <c r="GG5" i="18"/>
  <c r="GF5" i="18"/>
  <c r="GE5" i="18"/>
  <c r="GD5" i="18"/>
  <c r="GC5" i="18"/>
  <c r="GB5" i="18"/>
  <c r="GA5" i="18"/>
  <c r="FZ5" i="18"/>
  <c r="FY5" i="18"/>
  <c r="FX5" i="18"/>
  <c r="FW5" i="18"/>
  <c r="FV5" i="18"/>
  <c r="FU5" i="18"/>
  <c r="FT5" i="18"/>
  <c r="FS5" i="18"/>
  <c r="FR5" i="18"/>
  <c r="FQ5" i="18"/>
  <c r="FP5" i="18"/>
  <c r="FO5" i="18"/>
  <c r="FN5" i="18"/>
  <c r="FM5" i="18"/>
  <c r="FL5" i="18"/>
  <c r="FK5" i="18"/>
  <c r="FJ5" i="18"/>
  <c r="FI5" i="18"/>
  <c r="FH5" i="18"/>
  <c r="FG5" i="18"/>
  <c r="FF5" i="18"/>
  <c r="FE5" i="18"/>
  <c r="FD5" i="18"/>
  <c r="FC5" i="18"/>
  <c r="FB5" i="18"/>
  <c r="FA5" i="18"/>
  <c r="EZ5" i="18"/>
  <c r="EY5" i="18"/>
  <c r="EX5" i="18"/>
  <c r="EW5" i="18"/>
  <c r="EV5" i="18"/>
  <c r="EU5" i="18"/>
  <c r="ET5" i="18"/>
  <c r="ES5" i="18"/>
  <c r="ER5" i="18"/>
  <c r="EQ5" i="18"/>
  <c r="EP5" i="18"/>
  <c r="EO5" i="18"/>
  <c r="EN5" i="18"/>
  <c r="EM5" i="18"/>
  <c r="EL5" i="18"/>
  <c r="EK5" i="18"/>
  <c r="EJ5" i="18"/>
  <c r="EI5" i="18"/>
  <c r="EH5" i="18"/>
  <c r="EG5" i="18"/>
  <c r="EF5" i="18"/>
  <c r="EE5" i="18"/>
  <c r="ED5" i="18"/>
  <c r="EC5" i="18"/>
  <c r="EB5" i="18"/>
  <c r="EA5" i="18"/>
  <c r="DZ5" i="18"/>
  <c r="DY5" i="18"/>
  <c r="DX5" i="18"/>
  <c r="DW5" i="18"/>
  <c r="DV5" i="18"/>
  <c r="DU5" i="18"/>
  <c r="HN4" i="18"/>
  <c r="HM4" i="18"/>
  <c r="HL4" i="18"/>
  <c r="HK4" i="18"/>
  <c r="HJ4" i="18"/>
  <c r="HI4" i="18"/>
  <c r="HQ4" i="18" s="1"/>
  <c r="HQ3" i="18"/>
  <c r="HN3" i="18"/>
  <c r="HM3" i="18"/>
  <c r="HL3" i="18"/>
  <c r="HK3" i="18"/>
  <c r="HJ3" i="18"/>
  <c r="HI3" i="18"/>
  <c r="HH3" i="18"/>
  <c r="HG3" i="18"/>
  <c r="HF3" i="18"/>
  <c r="HE3" i="18"/>
  <c r="HD3" i="18"/>
  <c r="HC3" i="18"/>
  <c r="HB3" i="18"/>
  <c r="HA3" i="18"/>
  <c r="GZ3" i="18"/>
  <c r="GY3" i="18"/>
  <c r="GX3" i="18"/>
  <c r="GW3" i="18"/>
  <c r="GV3" i="18"/>
  <c r="GU3" i="18"/>
  <c r="GT3" i="18"/>
  <c r="GS3" i="18"/>
  <c r="GR3" i="18"/>
  <c r="GQ3" i="18"/>
  <c r="GP3" i="18"/>
  <c r="GO3" i="18"/>
  <c r="GN3" i="18"/>
  <c r="GM3" i="18"/>
  <c r="GL3" i="18"/>
  <c r="GK3" i="18"/>
  <c r="GJ3" i="18"/>
  <c r="HU3" i="18" s="1"/>
  <c r="GI3" i="18"/>
  <c r="HT3" i="18" s="1"/>
  <c r="GH3" i="18"/>
  <c r="GG3" i="18"/>
  <c r="GF3" i="18"/>
  <c r="GE3" i="18"/>
  <c r="GD3" i="18"/>
  <c r="GC3" i="18"/>
  <c r="GB3" i="18"/>
  <c r="GA3" i="18"/>
  <c r="FZ3" i="18"/>
  <c r="FY3" i="18"/>
  <c r="FX3" i="18"/>
  <c r="FW3" i="18"/>
  <c r="FV3" i="18"/>
  <c r="FU3" i="18"/>
  <c r="FT3" i="18"/>
  <c r="FS3" i="18"/>
  <c r="FR3" i="18"/>
  <c r="FQ3" i="18"/>
  <c r="FP3" i="18"/>
  <c r="FO3" i="18"/>
  <c r="FN3" i="18"/>
  <c r="FM3" i="18"/>
  <c r="FL3" i="18"/>
  <c r="FK3" i="18"/>
  <c r="FJ3" i="18"/>
  <c r="FI3" i="18"/>
  <c r="FH3" i="18"/>
  <c r="FG3" i="18"/>
  <c r="FF3" i="18"/>
  <c r="FE3" i="18"/>
  <c r="FD3" i="18"/>
  <c r="FC3" i="18"/>
  <c r="FB3" i="18"/>
  <c r="FA3" i="18"/>
  <c r="EZ3" i="18"/>
  <c r="EY3" i="18"/>
  <c r="EX3" i="18"/>
  <c r="EW3" i="18"/>
  <c r="EV3" i="18"/>
  <c r="EU3" i="18"/>
  <c r="ET3" i="18"/>
  <c r="ES3" i="18"/>
  <c r="ER3" i="18"/>
  <c r="EQ3" i="18"/>
  <c r="EP3" i="18"/>
  <c r="EO3" i="18"/>
  <c r="EN3" i="18"/>
  <c r="EM3" i="18"/>
  <c r="EL3" i="18"/>
  <c r="EK3" i="18"/>
  <c r="EJ3" i="18"/>
  <c r="EI3" i="18"/>
  <c r="EH3" i="18"/>
  <c r="EG3" i="18"/>
  <c r="EF3" i="18"/>
  <c r="EE3" i="18"/>
  <c r="ED3" i="18"/>
  <c r="EC3" i="18"/>
  <c r="EB3" i="18"/>
  <c r="EA3" i="18"/>
  <c r="DZ3" i="18"/>
  <c r="DY3" i="18"/>
  <c r="DX3" i="18"/>
  <c r="DW3" i="18"/>
  <c r="DV3" i="18"/>
  <c r="DU3" i="18"/>
  <c r="DT3" i="18"/>
  <c r="DS3" i="18"/>
  <c r="DR3" i="18"/>
  <c r="DQ3" i="18"/>
  <c r="DP3" i="18"/>
  <c r="DO3" i="18"/>
  <c r="DN3" i="18"/>
  <c r="DM3" i="18"/>
  <c r="DL3" i="18"/>
  <c r="HS3" i="18" s="1"/>
  <c r="DK3" i="18"/>
  <c r="HP3" i="18" s="1"/>
  <c r="HU8" i="18" l="1"/>
  <c r="HQ8" i="18"/>
  <c r="HT10" i="18"/>
  <c r="HQ11" i="18"/>
  <c r="HP14" i="18"/>
  <c r="HU14" i="18"/>
  <c r="HQ15" i="18"/>
  <c r="HP16" i="18"/>
  <c r="HU16" i="18"/>
  <c r="HX16" i="18" s="1"/>
  <c r="HP17" i="18"/>
  <c r="HU17" i="18"/>
  <c r="HQ18" i="18"/>
  <c r="HR19" i="18"/>
  <c r="HU21" i="18"/>
  <c r="HS23" i="18"/>
  <c r="HT24" i="18"/>
  <c r="HR24" i="18"/>
  <c r="HP25" i="18"/>
  <c r="HU25" i="18"/>
  <c r="HT26" i="18"/>
  <c r="HU27" i="18"/>
  <c r="HQ27" i="18"/>
  <c r="HP27" i="18"/>
  <c r="HT28" i="18"/>
  <c r="HS29" i="18"/>
  <c r="HT30" i="18"/>
  <c r="HQ30" i="18"/>
  <c r="HP32" i="18"/>
  <c r="HS32" i="18"/>
  <c r="HR32" i="18"/>
  <c r="HT34" i="18"/>
  <c r="HR35" i="18"/>
  <c r="HS36" i="18"/>
  <c r="HT4" i="18"/>
  <c r="HP4" i="18"/>
  <c r="HS4" i="18"/>
  <c r="HP6" i="18"/>
  <c r="HU6" i="18"/>
  <c r="HU7" i="18"/>
  <c r="HQ9" i="18"/>
  <c r="HS11" i="18"/>
  <c r="HR14" i="18"/>
  <c r="HR16" i="18"/>
  <c r="HR17" i="18"/>
  <c r="HU19" i="18"/>
  <c r="HU20" i="18"/>
  <c r="HR21" i="18"/>
  <c r="HP23" i="18"/>
  <c r="HU23" i="18"/>
  <c r="HU24" i="18"/>
  <c r="HX24" i="18" s="1"/>
  <c r="HR25" i="18"/>
  <c r="HQ26" i="18"/>
  <c r="HS30" i="18"/>
  <c r="HR33" i="18"/>
  <c r="HU33" i="18"/>
  <c r="HQ33" i="18"/>
  <c r="HP33" i="18"/>
  <c r="HR40" i="18"/>
  <c r="HU40" i="18"/>
  <c r="HQ40" i="18"/>
  <c r="HP40" i="18"/>
  <c r="L67" i="18"/>
  <c r="K67" i="18"/>
  <c r="J67" i="18"/>
  <c r="HR3" i="18"/>
  <c r="HU4" i="18"/>
  <c r="HR5" i="18"/>
  <c r="HQ6" i="18"/>
  <c r="HP7" i="18"/>
  <c r="HT7" i="18"/>
  <c r="HS10" i="18"/>
  <c r="HP12" i="18"/>
  <c r="HT13" i="18"/>
  <c r="HU15" i="18"/>
  <c r="HP18" i="18"/>
  <c r="HQ19" i="18"/>
  <c r="HQ20" i="18"/>
  <c r="HS21" i="18"/>
  <c r="HR22" i="18"/>
  <c r="HQ23" i="18"/>
  <c r="HP24" i="18"/>
  <c r="HR29" i="18"/>
  <c r="HQ34" i="18"/>
  <c r="HU36" i="18"/>
  <c r="HU37" i="18"/>
  <c r="L64" i="18"/>
  <c r="K64" i="18"/>
  <c r="L68" i="18"/>
  <c r="K68" i="18"/>
  <c r="J64" i="18"/>
  <c r="I68" i="18"/>
  <c r="HP5" i="18"/>
  <c r="HS5" i="18"/>
  <c r="HT9" i="18"/>
  <c r="HS12" i="18"/>
  <c r="HR4" i="18"/>
  <c r="HT6" i="18"/>
  <c r="HR8" i="18"/>
  <c r="HU9" i="18"/>
  <c r="HT11" i="18"/>
  <c r="HP11" i="18"/>
  <c r="HR11" i="18"/>
  <c r="HR12" i="18"/>
  <c r="HU13" i="18"/>
  <c r="HX13" i="18" s="1"/>
  <c r="HS14" i="18"/>
  <c r="HQ14" i="18"/>
  <c r="HS15" i="18"/>
  <c r="HQ16" i="18"/>
  <c r="HS18" i="18"/>
  <c r="HR18" i="18"/>
  <c r="HS19" i="18"/>
  <c r="HT20" i="18"/>
  <c r="HP22" i="18"/>
  <c r="HT23" i="18"/>
  <c r="HQ25" i="18"/>
  <c r="HU26" i="18"/>
  <c r="HX26" i="18" s="1"/>
  <c r="HR27" i="18"/>
  <c r="HR28" i="18"/>
  <c r="HU28" i="18"/>
  <c r="HS34" i="18"/>
  <c r="HU34" i="18"/>
  <c r="HU35" i="18"/>
  <c r="HP37" i="18"/>
  <c r="I67" i="18"/>
  <c r="HS35" i="18"/>
  <c r="HT36" i="18"/>
  <c r="HT37" i="18"/>
  <c r="K65" i="18"/>
  <c r="K69" i="18"/>
  <c r="HQ10" i="18"/>
  <c r="HQ13" i="18"/>
  <c r="HP29" i="18"/>
  <c r="HQ31" i="18"/>
  <c r="HQ36" i="18"/>
  <c r="HQ37" i="18"/>
  <c r="B40" i="6" l="1"/>
  <c r="B36" i="6"/>
  <c r="B35" i="6"/>
  <c r="E31" i="6"/>
  <c r="E29" i="6"/>
  <c r="E12" i="6"/>
  <c r="B12" i="6"/>
  <c r="B11" i="6"/>
  <c r="E4" i="6"/>
</calcChain>
</file>

<file path=xl/sharedStrings.xml><?xml version="1.0" encoding="utf-8"?>
<sst xmlns="http://schemas.openxmlformats.org/spreadsheetml/2006/main" count="1306" uniqueCount="283">
  <si>
    <t>Table of content</t>
  </si>
  <si>
    <t>Description</t>
  </si>
  <si>
    <t>MiningCapacity_Calcul</t>
  </si>
  <si>
    <t>Production in 2020 by metal in tons by year, with specification of the mining flow considered</t>
  </si>
  <si>
    <t xml:space="preserve">IEA estimation of production between 2020 and 2040 in tons per year for cobalt, copper, nickel and lithium. Beta projection used between 2040 and 2050. </t>
  </si>
  <si>
    <t>By-product content hypothesis from the major host for cadmium, gallium, germanium, indium, selenium and tellurium</t>
  </si>
  <si>
    <t>Reserves_Resources_RR</t>
  </si>
  <si>
    <t>Dark grey spreadsheet represent reference and hypothesis of calculation</t>
  </si>
  <si>
    <t>Ref&amp;Hp</t>
  </si>
  <si>
    <t>The references of each spreadsheet is organized in this file in a table, by spreadsheet name, followed by the hypothesis made.</t>
  </si>
  <si>
    <t>Calcul_Prod</t>
  </si>
  <si>
    <t>Material limits [t]</t>
  </si>
  <si>
    <t>Aluminum</t>
  </si>
  <si>
    <t>Boron</t>
  </si>
  <si>
    <t>Cadmium</t>
  </si>
  <si>
    <t>Chromium</t>
  </si>
  <si>
    <t>Cobalt</t>
  </si>
  <si>
    <t>Concrete</t>
  </si>
  <si>
    <t>Copper</t>
  </si>
  <si>
    <t>Dysprosium</t>
  </si>
  <si>
    <t>Gallium</t>
  </si>
  <si>
    <t>Germanium</t>
  </si>
  <si>
    <t>Glass</t>
  </si>
  <si>
    <t>Hafnium</t>
  </si>
  <si>
    <t>Indium</t>
  </si>
  <si>
    <t>Irridium</t>
  </si>
  <si>
    <t>Iron</t>
  </si>
  <si>
    <t>Lead</t>
  </si>
  <si>
    <t>Lanthanum</t>
  </si>
  <si>
    <t>Lithium</t>
  </si>
  <si>
    <t>Magnesium</t>
  </si>
  <si>
    <t>Manganese</t>
  </si>
  <si>
    <t>Molybdenum</t>
  </si>
  <si>
    <t>Neodymium</t>
  </si>
  <si>
    <t>Nickel</t>
  </si>
  <si>
    <t>Niobium</t>
  </si>
  <si>
    <t>Palladium</t>
  </si>
  <si>
    <t>Polymers</t>
  </si>
  <si>
    <t>Praesodymium</t>
  </si>
  <si>
    <t>Platinum</t>
  </si>
  <si>
    <t>Selenium</t>
  </si>
  <si>
    <t>Silicon</t>
  </si>
  <si>
    <t>Silver</t>
  </si>
  <si>
    <t>Tantalum</t>
  </si>
  <si>
    <t>Tellurium</t>
  </si>
  <si>
    <t>Terbium</t>
  </si>
  <si>
    <t>Titanium</t>
  </si>
  <si>
    <t>Tin</t>
  </si>
  <si>
    <t>Tungsten</t>
  </si>
  <si>
    <t>Vanadium</t>
  </si>
  <si>
    <t>Yttrium</t>
  </si>
  <si>
    <t>Zinc</t>
  </si>
  <si>
    <t>Zirconium</t>
  </si>
  <si>
    <t>Full_Name</t>
  </si>
  <si>
    <t>Short_Code</t>
  </si>
  <si>
    <t>Al</t>
  </si>
  <si>
    <t>B</t>
  </si>
  <si>
    <t>Cd</t>
  </si>
  <si>
    <t>Cr</t>
  </si>
  <si>
    <t>Co</t>
  </si>
  <si>
    <t>Cu</t>
  </si>
  <si>
    <t>Dy</t>
  </si>
  <si>
    <t>Ga</t>
  </si>
  <si>
    <t>Ge</t>
  </si>
  <si>
    <t>Hf</t>
  </si>
  <si>
    <t>In</t>
  </si>
  <si>
    <t>Ir</t>
  </si>
  <si>
    <t>Fe</t>
  </si>
  <si>
    <t>Pb</t>
  </si>
  <si>
    <t>La</t>
  </si>
  <si>
    <t>Li</t>
  </si>
  <si>
    <t>Mg</t>
  </si>
  <si>
    <t>Mn</t>
  </si>
  <si>
    <t>Mo</t>
  </si>
  <si>
    <t>Nd</t>
  </si>
  <si>
    <t>Ni</t>
  </si>
  <si>
    <t>Nb</t>
  </si>
  <si>
    <t>Pd</t>
  </si>
  <si>
    <t>Pr</t>
  </si>
  <si>
    <t>Pt</t>
  </si>
  <si>
    <t>Se</t>
  </si>
  <si>
    <t>Si</t>
  </si>
  <si>
    <t>Ag</t>
  </si>
  <si>
    <t>Ta</t>
  </si>
  <si>
    <t>Te</t>
  </si>
  <si>
    <t>Tb</t>
  </si>
  <si>
    <t>Ti</t>
  </si>
  <si>
    <t>Sn</t>
  </si>
  <si>
    <t>W</t>
  </si>
  <si>
    <t>V</t>
  </si>
  <si>
    <t>Y</t>
  </si>
  <si>
    <t>Zn</t>
  </si>
  <si>
    <t>Zr</t>
  </si>
  <si>
    <t>Metal</t>
  </si>
  <si>
    <t>Production 2020 world</t>
  </si>
  <si>
    <t>Unit</t>
  </si>
  <si>
    <t>Mining flow</t>
  </si>
  <si>
    <t>Ref</t>
  </si>
  <si>
    <t>Future prod hypothesis</t>
  </si>
  <si>
    <t>Beta</t>
  </si>
  <si>
    <t>Years_considered</t>
  </si>
  <si>
    <t>Reference</t>
  </si>
  <si>
    <t>t/yr</t>
  </si>
  <si>
    <t>Mine production</t>
  </si>
  <si>
    <t>(USGS, 2021)</t>
  </si>
  <si>
    <t>All years</t>
  </si>
  <si>
    <t>(Lundaev et al, 2023)</t>
  </si>
  <si>
    <t>(World Mining Data, 2022)</t>
  </si>
  <si>
    <t>1990-2022 / covid</t>
  </si>
  <si>
    <t>Refinery production</t>
  </si>
  <si>
    <t>By-product content</t>
  </si>
  <si>
    <t>(By-product Zn)</t>
  </si>
  <si>
    <t>(International Cadmium Association, 2021)</t>
  </si>
  <si>
    <t>Data IEA until 2040, Beta until 2050</t>
  </si>
  <si>
    <t>(Charpentier Poncelet et al., 2022)</t>
  </si>
  <si>
    <t>(By-product Al)</t>
  </si>
  <si>
    <t>(Lundaev et al, 2023; Frenzel et al, 2016)</t>
  </si>
  <si>
    <t>(Frenzel et al, 2014)</t>
  </si>
  <si>
    <t>Hypothesis, same rate than zirconium</t>
  </si>
  <si>
    <t>(By-product Zn, Cu)</t>
  </si>
  <si>
    <t>(USGS, sd*)</t>
  </si>
  <si>
    <t>1990-2022</t>
  </si>
  <si>
    <t>(BGS, sd*)</t>
  </si>
  <si>
    <t>By-product ratio content</t>
  </si>
  <si>
    <t>(By-product Cu)</t>
  </si>
  <si>
    <t>(Stifner et al, 2024)</t>
  </si>
  <si>
    <t>Hypothesis</t>
  </si>
  <si>
    <t>(Kavlak et Graedel, 2013)</t>
  </si>
  <si>
    <t>Tin association</t>
  </si>
  <si>
    <t>Metal [t]</t>
  </si>
  <si>
    <t>Method</t>
  </si>
  <si>
    <t xml:space="preserve">Hp </t>
  </si>
  <si>
    <t>(IEA, 2024)</t>
  </si>
  <si>
    <t>Data IEA for 2030-2040, Beta until 2050</t>
  </si>
  <si>
    <t>New mines opening for 2040</t>
  </si>
  <si>
    <t>By-product</t>
  </si>
  <si>
    <t>By-product flow</t>
  </si>
  <si>
    <t>Host</t>
  </si>
  <si>
    <t>Host flow</t>
  </si>
  <si>
    <t>Mine</t>
  </si>
  <si>
    <t>Refined</t>
  </si>
  <si>
    <t>0.3% Cd content in Zn ores</t>
  </si>
  <si>
    <t>50 ppm Ga content in bauxite (ICMLR, 2016), 40% Al in Bauxite</t>
  </si>
  <si>
    <t>(Lundaev et al, 2023; Frenzel et al, 2016; Lu et al. 2017)</t>
  </si>
  <si>
    <t>24.70 ppm contained Ge in Zinc</t>
  </si>
  <si>
    <t>Zinc, Copper</t>
  </si>
  <si>
    <t>50 ppm et 10 ppm In content in Zn et Cu ores</t>
  </si>
  <si>
    <t>200 to 380 ppm refined recurable Se from Cu (mean value taken)</t>
  </si>
  <si>
    <t>0.05% Te content in copper</t>
  </si>
  <si>
    <t>Metals</t>
  </si>
  <si>
    <t>2050</t>
  </si>
  <si>
    <t>Resources (estimated)</t>
  </si>
  <si>
    <t>Confidence level</t>
  </si>
  <si>
    <t>Reserves (estimated)</t>
  </si>
  <si>
    <t>Condifence level</t>
  </si>
  <si>
    <t>RR_Refining</t>
  </si>
  <si>
    <t>RR_Mining_Refining</t>
  </si>
  <si>
    <t>Medium</t>
  </si>
  <si>
    <t>(USGS, 2025 ; Lundaev et al., 2023)</t>
  </si>
  <si>
    <t>&gt;12000000000</t>
  </si>
  <si>
    <t>(USGS, 2025)</t>
  </si>
  <si>
    <t>t</t>
  </si>
  <si>
    <t>%</t>
  </si>
  <si>
    <t>(Charpentier-Poncelet, 2022)</t>
  </si>
  <si>
    <t>Bauxite</t>
  </si>
  <si>
    <t>Resources estimated sufficient</t>
  </si>
  <si>
    <t>Low</t>
  </si>
  <si>
    <t>(Lundaev et al., 2023)</t>
  </si>
  <si>
    <t>(Nassar &amp; al., 2022)</t>
  </si>
  <si>
    <t>&gt;130000000</t>
  </si>
  <si>
    <t>&gt;17000000</t>
  </si>
  <si>
    <t>(Watari et al., 2018; USGS, 2017)</t>
  </si>
  <si>
    <t>&gt;4200000</t>
  </si>
  <si>
    <t>&gt;63000000</t>
  </si>
  <si>
    <t>&gt;70000000</t>
  </si>
  <si>
    <t>2020</t>
  </si>
  <si>
    <t>2030</t>
  </si>
  <si>
    <t>2040</t>
  </si>
  <si>
    <t>Production</t>
  </si>
  <si>
    <t>Primary_Production</t>
  </si>
  <si>
    <t>Spreadsheet_name</t>
  </si>
  <si>
    <t>Data</t>
  </si>
  <si>
    <t>Prod Beta</t>
  </si>
  <si>
    <t>Lundaev, V., Solomon, A. A., Le, T., Lohrmann, A., &amp; Breyer, C. (2023). Review of critical materials for the energy transition, an analysis of global resources and production databases and the state of material circularity. Minerals Engineering, 203, 108282. https://doi.org/10.1016/j.mineng.2023.108282</t>
  </si>
  <si>
    <t>U.S. Geological Survey, 2021, Mineral commodity summaries 2021: U.S. Geological Survey, 200 p., https://doi.org/10.3133/mcs2021.</t>
  </si>
  <si>
    <t>Historical Statistics for Mineral and Material Commodities in the United States | U.S. Geological Survey. (s. d.). Consulté 30 mai 2024, à l’adresse https://www.usgs.gov/centers/national-minerals-information-center/historical-statistics-mineral-and-material-commodities</t>
  </si>
  <si>
    <t>World mineral statistics data | Statistics &amp; Commodities | MineralsUK. (s. d.). Consulté 30 mai 2024, à l’adresse https://www2.bgs.ac.uk/mineralsuk/statistics/wms.cfc?method=searchWMS</t>
  </si>
  <si>
    <t>Köstinger, E. (2022). World Mining Data 2022.</t>
  </si>
  <si>
    <t>(International Tin Association, 2018)</t>
  </si>
  <si>
    <t>International Tin Association. (2018). Tin for the future: Introduction to the tin market and the International Tin Association. https://www.internationaltin.org/reports/tin-for-the-future/</t>
  </si>
  <si>
    <t>Prod IEA</t>
  </si>
  <si>
    <t>Global Critical Minerals Outlook 2024. (2024).</t>
  </si>
  <si>
    <t>Prod by-product</t>
  </si>
  <si>
    <t>International Cadmium Association. (2021, January). Report on worldwide cadmium production and trade 2020. International Cadmium Association. https://www.cadmium.org/wp-content/uploads/2021/11/icda-report-on-worldwide-cadmium-production-and-trade-2020.pdf</t>
  </si>
  <si>
    <t>(Lu and al., 2017)</t>
  </si>
  <si>
    <t>Lu, F., Xiao, T., Lin, J., Ning,Z., Long, Q., Xiao, L., Huang,F., Wang, W., Xiao, Q., Lan, X., Chen, H., 2017. Resources and extraction of gallium: A review. Hydrometall. 174, 105–115. https://doi.org/10.1016/j.hydromet.2017.10.010.</t>
  </si>
  <si>
    <t>(Frenzel and al., 2014)</t>
  </si>
  <si>
    <t>Frenzel, M., Ketris, M. P., &amp; Gutzmer, J. (2014). On the geological availability of germanium. Mineralium Deposita, 49(4), 471‑486. https://doi.org/10.1007/s00126-013-0506-z</t>
  </si>
  <si>
    <t>(Frenzel et al, 2016)</t>
  </si>
  <si>
    <t>Frenzel, M., Ketris, M. P., Seifert, T., &amp; Gutzmer, J. (2016). On the current and future availability of gallium. Resources Policy, 47, 38‑50. https://doi.org/10.1016/j.resourpol.2015.11.005</t>
  </si>
  <si>
    <t>(Lundaev and al., 2023)</t>
  </si>
  <si>
    <t>(Stifner and al., 2024)</t>
  </si>
  <si>
    <t>Stiftner, R., Weber, L., &amp; Rechberger, H. (2024). Methodology for a better estimation of the reserves and resources of minor metals exemplified by selenium in different copper deposit types. Mineral Economics, 37(3), 413‑432. https://doi.org/10.1007/s13563-023-00384-0</t>
  </si>
  <si>
    <t>(Kavlak and Graedel, 2013)</t>
  </si>
  <si>
    <t>Kavlak, G., &amp; Graedel, T. E. (2013). Global anthropogenic tellurium cycles for 1940–2010. Resources, Conservation and Recycling, 76, 21‑26. https://doi.org/10.1016/j.resconrec.2013.04.007</t>
  </si>
  <si>
    <t>/</t>
  </si>
  <si>
    <t>Reserves_Resources</t>
  </si>
  <si>
    <t>U.S. Geological Survey, 2025, Mineral commodity summaries 2025 (ver. 1.2, March 2025): U.S. Geological Survey, 212 p., https://doi.org/10.3133/mcs2025</t>
  </si>
  <si>
    <t>(Watari et al., 2018)</t>
  </si>
  <si>
    <t>Watari, T., McLellan, B., Ogata, S., &amp; Tezuka, T. (2018). Analysis of Potential for Critical Metal Resource Constraints in the International Energy Agency’s Long-Term Low-Carbon Energy Scenarios. Minerals, 8(4), 156. https://doi.org/10.3390/min8040156</t>
  </si>
  <si>
    <t>(Mineral Commodity Summaries 2023, 2023)</t>
  </si>
  <si>
    <t>(USGS, 2017)</t>
  </si>
  <si>
    <t>U.S. Geological Survey (USGS). Historical Statistics for Mineral and Material Commodities in the United States. Available online: https://minerals.usgs.gov/minerals/pubs/historical-statistics/ (accessed on 1 October 2017)</t>
  </si>
  <si>
    <t>Recovery_rates</t>
  </si>
  <si>
    <t>Charpentier Poncelet, A., Helbig, C., Loubet, P., Beylot, A., Muller, S., Villeneuve, J., Laratte, B., Thorenz, A., Tuma, A., &amp; Sonnemann, G. (2022). Losses and lifetimes of metals in the economy. Nature Sustainability, 5(8), 717‑726. https://doi.org/10.1038/s41893-022-00895-8</t>
  </si>
  <si>
    <t>Nassar, N. T., Lederer, G. W., Brainard, J. L., Padilla, A. J., &amp; Lessard, J. D. (2022). Rock-to-Metal Ratio : A Foundational Metric for Understanding Mine Wastes. Environmental Science &amp; Technology, 56(10), 6710‑6721. https://doi.org/10.1021/acs.est.1c07875</t>
  </si>
  <si>
    <t>Annual historical production [t]</t>
  </si>
  <si>
    <t xml:space="preserve">Annual growth </t>
  </si>
  <si>
    <t xml:space="preserve">Mean value </t>
  </si>
  <si>
    <t>Median value</t>
  </si>
  <si>
    <t>Aluminium</t>
  </si>
  <si>
    <t>(by-product Zn)</t>
  </si>
  <si>
    <t>(By product Zn)</t>
  </si>
  <si>
    <t xml:space="preserve">Iron </t>
  </si>
  <si>
    <t>Praesodymum</t>
  </si>
  <si>
    <t>Tungsten, mine</t>
  </si>
  <si>
    <t>Metal host</t>
  </si>
  <si>
    <t>By product estimates</t>
  </si>
  <si>
    <t>1. Identify metals 100% by-product of a host metal (inner circle)</t>
  </si>
  <si>
    <t>2. Estimate ratio of prod with Prod 2020 of by-product and host</t>
  </si>
  <si>
    <t>Metals 100% by-product</t>
  </si>
  <si>
    <t>Prod 2020 by-product</t>
  </si>
  <si>
    <t>Prod 2020 host</t>
  </si>
  <si>
    <t>Ratio of prod by product / Host</t>
  </si>
  <si>
    <t>3. Estimate future prod of by-product, by multipling the ratio with the prod of the host (based on beta)</t>
  </si>
  <si>
    <t>Prod host</t>
  </si>
  <si>
    <t>Hp</t>
  </si>
  <si>
    <t>IEA prod estimates 2020-2040, beta prod until 2050</t>
  </si>
  <si>
    <t xml:space="preserve">Prod By-product </t>
  </si>
  <si>
    <t>(Nassar et al., 2015, Fig 2)</t>
  </si>
  <si>
    <t>Iridium</t>
  </si>
  <si>
    <t>Smelter (primary) production</t>
  </si>
  <si>
    <t>World primary Mg production, USGS Minerals Yearbooks 1991-2022 (world total excl. US, withheld); kt converted to t</t>
  </si>
  <si>
    <t>Materials</t>
  </si>
  <si>
    <t>Estimation of beta, the median of historical production growth, by metals, used to project future metal production until 2050. Specification of the historical production years used for each metal to estimate beta. Hypothesis of future production rate for each metal. Beta of the metals added in this version (Iridium, Lanthanum, Magnesium, Palladium, Platinum) is linked to the Calcul_Prod spreadsheet.</t>
  </si>
  <si>
    <t xml:space="preserve">Reserve and resources estimates in tons per metal, with confidence level and reference. </t>
  </si>
  <si>
    <t xml:space="preserve">Recovery rates by metal in percentage (Charpentier Poncelet et al., 2022): RR_Refining compares the metal in the final product to the production state; RR_Mining_Refining compares it to the mining state (see Ref&amp;Hp for the calculation rule). </t>
  </si>
  <si>
    <t>Material_limits</t>
  </si>
  <si>
    <t xml:space="preserve">Table presenting calculation methods for future production. Includes historical data of production by metals (1913–2022), calculation of beta for each metal (mean and median of annual growth over three windows: all years, 1990–2022, 1990–2022 excluding the 2019–2020 covid years), by-product / host ratio estimates, and calculation of future by-product production based on the host one. </t>
  </si>
  <si>
    <t>Beta = median of the annual growth rate of historical production. Window "1990-2022 / covid" excludes the 2019 and 2020 growth years. For metals added in this version: Iridium, Palladium, Platinum (Lundaev series 1920-2020, PGE production split by element), Lanthanum (Lundaev series 1975-2020), Titanium (Lundaev series, Ti content of mineral concentrates, beta 1990-2022 = 4.2%).</t>
  </si>
  <si>
    <t>(USGS Minerals Yearbook, magnesium)</t>
  </si>
  <si>
    <t>U.S. Geological Survey. Minerals Yearbook, Magnesium (metal), annual volumes 1995, 2000, 2005, 2010, 2015 and 2020 (Table "World primary production, by country"); Mineral Commodity Summaries 2021 and 2023, Magnesium metal. https://www.usgs.gov/centers/national-minerals-information-center/magnesium-statistics-and-information</t>
  </si>
  <si>
    <t>Magnesium: world primary (smelter) production 1991-2022, world total excluding the United States (data withheld by USGS). Beta 1990-2022 / covid = 5.7%; production has been flat around 1 Mt/yr since 2014, so this beta is an upper-bound trend.</t>
  </si>
  <si>
    <t>Data IEA for 2030 and 2040 (base case mining capacity); beta applied from 2040 to 2050 (new mines opening).</t>
  </si>
  <si>
    <t>Individual PGE (Ir, Pd, Pt) reserves and resources are taken from Lundaev et al. (2023), who split USGS PGM totals by element; USGS 2025 only reports PGM as a group (~71 kt reserves, &gt;100 kt resources). Titanium reserves and resources are in Ti content (Lundaev), consistent with the production flow. Magnesium: USGS states reserves are sufficient and resources virtually unlimited.</t>
  </si>
  <si>
    <t>RR_Refining = 1 − share of cumulative losses in the fabrication phase (Supplementary Data 3, sheet 7 "LossShare per Phase"). RR_Mining_Refining = production yield (sheet 1 "Process yields") × RR_Refining. Exceptions kept from the original file: Lithium (0.59 for both) and Tungsten (0.89 RR_Refining).</t>
  </si>
  <si>
    <t>Fig 2. MiningCapacity_Results / Material_limits</t>
  </si>
  <si>
    <t>Primary_Production(t) = Production 2020 × (1 + beta)^(t − 2020) × RR_Refining, t = 2020, 2030, 2040, 2050. Co, Cu, Ni, Li: IEA values for 2030 and 2040. By-products: ratio to host × host production (Calcul_Prod). Material_limits = Primary_Production / 1000 (kt/yr), with 2025, 2035, 2045 as linear midpoints between decades.</t>
  </si>
  <si>
    <t>Spreadsheet title</t>
  </si>
  <si>
    <t>Reference data -- material list</t>
  </si>
  <si>
    <t>List of materials covered</t>
  </si>
  <si>
    <t xml:space="preserve">Material limits in tons per year, per material, every 5 years from 2020 to 2050. </t>
  </si>
  <si>
    <t>Yellow spreadsheets represent study results</t>
  </si>
  <si>
    <t>MiningCapacity_Results</t>
  </si>
  <si>
    <t>Global primary mining capacity in tons per year for decades from 2020 to 2050 per metal: Primary_Production = production 2020 × (1 + beta)^(t − 2020) × RR_Refining (IEA data for Co, Cu, Ni, Li until 2040; by-product ratio for by-products).</t>
  </si>
  <si>
    <t>2025</t>
  </si>
  <si>
    <t>2035</t>
  </si>
  <si>
    <t>2045</t>
  </si>
  <si>
    <t>Red sheet represent data used for the material limits in EnergyScope</t>
  </si>
  <si>
    <t>Demand from rest of economy [%]</t>
  </si>
  <si>
    <t xml:space="preserve">Source </t>
  </si>
  <si>
    <t>IAI</t>
  </si>
  <si>
    <t xml:space="preserve">Bieuville </t>
  </si>
  <si>
    <t>Charpentier-Poncelet</t>
  </si>
  <si>
    <t>https://www.cobaltinstitute.org/wp-content/uploads/2025/05/Cobalt-Market-Report-2024.pdf</t>
  </si>
  <si>
    <t>https://www.iea.org/data-and-statistics/data-tools/critical-minerals-data-explorer</t>
  </si>
  <si>
    <t>Charpentier-Poncelet + hypothèse</t>
  </si>
  <si>
    <t>https://www.iea.org/data-and-statistics/charts/total-neodymium-demand-by-sector-and-scenario-2020-2040</t>
  </si>
  <si>
    <t>same as Nd</t>
  </si>
  <si>
    <t>https://www.silverinstitute.org/all-world-silver-surveys/</t>
  </si>
  <si>
    <t>Hypothèse</t>
  </si>
  <si>
    <t>RoE_Demand</t>
  </si>
  <si>
    <t>Material demand from the rest of economy in % until 2050. Most values are hypothesis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</si>
</sst>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_-;_-@_-"/>
    <numFmt numFmtId="165" formatCode="0\ %"/>
    <numFmt numFmtId="166" formatCode="_-* #,##0_-;\-* #,##0_-;_-* \-??_-;_-@_-"/>
    <numFmt numFmtId="167" formatCode="0.0%"/>
    <numFmt numFmtId="168" formatCode="0.00\ %"/>
    <numFmt numFmtId="169" formatCode="_-* #,##0.00\ _€_-;\-* #,##0.00\ _€_-;_-* \-??\ _€_-;_-@_-"/>
  </numFmts>
  <fonts count="21" x14ac:knownFonts="1">
    <font>
      <sz val="11"/>
      <color theme="1"/>
      <name val="Calibri"/>
      <family val="2"/>
      <charset val="1"/>
    </font>
    <font>
      <sz val="8"/>
      <name val="Times New Roman"/>
      <family val="1"/>
      <charset val="1"/>
    </font>
    <font>
      <sz val="11"/>
      <color rgb="FF000000"/>
      <name val="Calibri"/>
      <family val="2"/>
      <charset val="1"/>
    </font>
    <font>
      <sz val="10"/>
      <color rgb="FF000000"/>
      <name val="Arial"/>
      <family val="2"/>
      <charset val="1"/>
    </font>
    <font>
      <b/>
      <sz val="11"/>
      <color theme="1"/>
      <name val="Calibri"/>
      <family val="2"/>
      <charset val="1"/>
    </font>
    <font>
      <i/>
      <sz val="11"/>
      <color theme="1"/>
      <name val="Calibri"/>
      <family val="2"/>
      <charset val="1"/>
    </font>
    <font>
      <b/>
      <sz val="11"/>
      <name val="Calibri"/>
      <family val="2"/>
      <charset val="1"/>
    </font>
    <font>
      <sz val="11"/>
      <name val="Calibri"/>
      <family val="2"/>
      <charset val="1"/>
    </font>
    <font>
      <b/>
      <sz val="11"/>
      <name val="Calibri"/>
      <family val="2"/>
    </font>
    <font>
      <sz val="11"/>
      <name val="Calibri"/>
      <family val="2"/>
    </font>
    <font>
      <u/>
      <sz val="11"/>
      <color theme="10"/>
      <name val="Calibri"/>
      <family val="2"/>
      <charset val="1"/>
    </font>
    <font>
      <sz val="10"/>
      <name val="Arial"/>
      <family val="2"/>
      <charset val="1"/>
    </font>
    <font>
      <sz val="11"/>
      <color rgb="FF0070C0"/>
      <name val="Calibri"/>
      <family val="2"/>
      <charset val="1"/>
    </font>
    <font>
      <sz val="12"/>
      <color theme="1"/>
      <name val="Times New Roman"/>
      <family val="1"/>
      <charset val="1"/>
    </font>
    <font>
      <sz val="12"/>
      <color theme="1"/>
      <name val="Calibri"/>
      <family val="2"/>
      <charset val="1"/>
    </font>
    <font>
      <b/>
      <sz val="14"/>
      <color theme="1"/>
      <name val="Calibri"/>
      <family val="2"/>
      <charset val="1"/>
    </font>
    <font>
      <sz val="11"/>
      <color theme="1"/>
      <name val="Calibri"/>
      <family val="2"/>
      <charset val="1"/>
    </font>
    <font>
      <sz val="11"/>
      <color theme="1"/>
      <name val="Calibri"/>
      <family val="2"/>
      <scheme val="minor"/>
    </font>
    <font>
      <b/>
      <sz val="11"/>
      <color theme="1"/>
      <name val="Calibri"/>
      <family val="2"/>
      <scheme val="minor"/>
    </font>
    <font>
      <b/>
      <sz val="14"/>
      <color theme="1"/>
      <name val="Calibri"/>
      <family val="2"/>
      <scheme val="minor"/>
    </font>
    <font>
      <sz val="11"/>
      <color theme="1"/>
      <name val="Calibri"/>
      <family val="2"/>
    </font>
  </fonts>
  <fills count="27">
    <fill>
      <patternFill patternType="none"/>
    </fill>
    <fill>
      <patternFill patternType="gray125"/>
    </fill>
    <fill>
      <patternFill patternType="solid">
        <fgColor rgb="FFFFFFCC"/>
        <bgColor rgb="FFFFF8E5"/>
      </patternFill>
    </fill>
    <fill>
      <patternFill patternType="solid">
        <fgColor theme="2" tint="-9.9978637043366805E-2"/>
        <bgColor rgb="FFD9D9D9"/>
      </patternFill>
    </fill>
    <fill>
      <patternFill patternType="solid">
        <fgColor theme="2"/>
        <bgColor rgb="FFDEEBF7"/>
      </patternFill>
    </fill>
    <fill>
      <patternFill patternType="solid">
        <fgColor theme="7" tint="0.79979857783745845"/>
        <bgColor rgb="FFFFF8E5"/>
      </patternFill>
    </fill>
    <fill>
      <patternFill patternType="solid">
        <fgColor theme="4" tint="0.79979857783745845"/>
        <bgColor rgb="FFDDEBF7"/>
      </patternFill>
    </fill>
    <fill>
      <patternFill patternType="solid">
        <fgColor theme="0"/>
        <bgColor rgb="FFFFF8E5"/>
      </patternFill>
    </fill>
    <fill>
      <patternFill patternType="solid">
        <fgColor theme="9" tint="0.79979857783745845"/>
        <bgColor rgb="FFE7E6E6"/>
      </patternFill>
    </fill>
    <fill>
      <patternFill patternType="solid">
        <fgColor theme="5" tint="0.59978026673177287"/>
        <bgColor rgb="FFFFE699"/>
      </patternFill>
    </fill>
    <fill>
      <patternFill patternType="solid">
        <fgColor theme="0" tint="-0.14999847407452621"/>
        <bgColor rgb="FFD0CECE"/>
      </patternFill>
    </fill>
    <fill>
      <patternFill patternType="solid">
        <fgColor theme="0" tint="-4.9989318521683403E-2"/>
        <bgColor rgb="FFFFF8E5"/>
      </patternFill>
    </fill>
    <fill>
      <patternFill patternType="solid">
        <fgColor theme="4" tint="0.59978026673177287"/>
        <bgColor rgb="FFD0CECE"/>
      </patternFill>
    </fill>
    <fill>
      <patternFill patternType="solid">
        <fgColor rgb="FFFFF8E5"/>
        <bgColor rgb="FFFFF2CC"/>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bgColor indexed="64"/>
      </patternFill>
    </fill>
    <fill>
      <patternFill patternType="solid">
        <fgColor theme="7" tint="0.59968871120334488"/>
        <bgColor rgb="FFFFF2CC"/>
      </patternFill>
    </fill>
    <fill>
      <patternFill patternType="solid">
        <fgColor theme="5" tint="0.59968871120334488"/>
        <bgColor rgb="FFFFE699"/>
      </patternFill>
    </fill>
    <fill>
      <patternFill patternType="solid">
        <fgColor rgb="FFDDE406"/>
        <bgColor rgb="FFFFF8E5"/>
      </patternFill>
    </fill>
    <fill>
      <patternFill patternType="solid">
        <fgColor rgb="FFDDE406"/>
        <bgColor indexed="64"/>
      </patternFill>
    </fill>
    <fill>
      <patternFill patternType="solid">
        <fgColor rgb="FFC00000"/>
        <bgColor rgb="FFFFF8E5"/>
      </patternFill>
    </fill>
    <fill>
      <patternFill patternType="solid">
        <fgColor rgb="FFC00000"/>
        <bgColor indexed="64"/>
      </patternFill>
    </fill>
    <fill>
      <patternFill patternType="solid">
        <fgColor theme="7" tint="0.79998168889431442"/>
        <bgColor rgb="FFE7E6E6"/>
      </patternFill>
    </fill>
    <fill>
      <patternFill patternType="solid">
        <fgColor theme="2" tint="-9.9978637043366805E-2"/>
        <bgColor rgb="FFFFF8E5"/>
      </patternFill>
    </fill>
    <fill>
      <patternFill patternType="solid">
        <fgColor theme="5" tint="0.59999389629810485"/>
        <bgColor rgb="FFFFF8E5"/>
      </patternFill>
    </fill>
    <fill>
      <patternFill patternType="solid">
        <fgColor theme="5" tint="0.59999389629810485"/>
        <bgColor indexed="64"/>
      </patternFill>
    </fill>
  </fills>
  <borders count="32">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medium">
        <color auto="1"/>
      </top>
      <bottom/>
      <diagonal/>
    </border>
    <border>
      <left/>
      <right/>
      <top/>
      <bottom style="medium">
        <color auto="1"/>
      </bottom>
      <diagonal/>
    </border>
    <border>
      <left style="medium">
        <color auto="1"/>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medium">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medium">
        <color indexed="64"/>
      </right>
      <top/>
      <bottom style="double">
        <color indexed="64"/>
      </bottom>
      <diagonal/>
    </border>
    <border>
      <left/>
      <right/>
      <top/>
      <bottom style="double">
        <color indexed="64"/>
      </bottom>
      <diagonal/>
    </border>
    <border>
      <left style="thin">
        <color indexed="64"/>
      </left>
      <right style="medium">
        <color indexed="64"/>
      </right>
      <top style="double">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2">
    <xf numFmtId="0" fontId="0" fillId="0" borderId="0"/>
    <xf numFmtId="169" fontId="1" fillId="0" borderId="0"/>
    <xf numFmtId="164" fontId="16" fillId="0" borderId="0"/>
    <xf numFmtId="0" fontId="1" fillId="0" borderId="0"/>
    <xf numFmtId="0" fontId="2" fillId="0" borderId="0"/>
    <xf numFmtId="0" fontId="3" fillId="0" borderId="0"/>
    <xf numFmtId="0" fontId="1" fillId="0" borderId="0"/>
    <xf numFmtId="0" fontId="2" fillId="0" borderId="0"/>
    <xf numFmtId="0" fontId="16" fillId="2" borderId="1"/>
    <xf numFmtId="0" fontId="16" fillId="0" borderId="0"/>
    <xf numFmtId="0" fontId="17" fillId="0" borderId="0"/>
    <xf numFmtId="0" fontId="10" fillId="0" borderId="0" applyNumberFormat="0" applyFill="0" applyBorder="0" applyAlignment="0" applyProtection="0"/>
  </cellStyleXfs>
  <cellXfs count="232">
    <xf numFmtId="0" fontId="0" fillId="0" borderId="0" xfId="0"/>
    <xf numFmtId="0" fontId="4" fillId="3" borderId="2" xfId="0" applyFont="1" applyFill="1" applyBorder="1" applyAlignment="1">
      <alignment horizontal="center" vertical="center"/>
    </xf>
    <xf numFmtId="0" fontId="0" fillId="0" borderId="0" xfId="0" applyAlignment="1">
      <alignment wrapText="1"/>
    </xf>
    <xf numFmtId="0" fontId="4" fillId="4" borderId="2" xfId="0" applyFont="1" applyFill="1" applyBorder="1"/>
    <xf numFmtId="0" fontId="0" fillId="0" borderId="2" xfId="0" applyBorder="1" applyAlignment="1">
      <alignment wrapText="1"/>
    </xf>
    <xf numFmtId="0" fontId="0" fillId="0" borderId="2" xfId="0" applyBorder="1"/>
    <xf numFmtId="0" fontId="0" fillId="0" borderId="0" xfId="0" applyAlignment="1">
      <alignment horizontal="center"/>
    </xf>
    <xf numFmtId="0" fontId="0" fillId="0" borderId="0" xfId="0" applyAlignment="1">
      <alignment horizontal="left"/>
    </xf>
    <xf numFmtId="0" fontId="0" fillId="0" borderId="0" xfId="0" applyAlignment="1">
      <alignment horizontal="right"/>
    </xf>
    <xf numFmtId="164" fontId="4" fillId="3" borderId="2" xfId="0" applyNumberFormat="1" applyFont="1" applyFill="1" applyBorder="1" applyAlignment="1">
      <alignment horizontal="center" vertical="center"/>
    </xf>
    <xf numFmtId="165" fontId="4" fillId="3" borderId="2" xfId="0" applyNumberFormat="1" applyFont="1" applyFill="1" applyBorder="1" applyAlignment="1">
      <alignment horizontal="center" vertical="center"/>
    </xf>
    <xf numFmtId="0" fontId="4" fillId="3" borderId="2" xfId="0" applyFont="1" applyFill="1" applyBorder="1" applyAlignment="1">
      <alignment horizontal="left"/>
    </xf>
    <xf numFmtId="0" fontId="6" fillId="4" borderId="2" xfId="0" applyFont="1" applyFill="1" applyBorder="1"/>
    <xf numFmtId="166" fontId="7" fillId="0" borderId="2" xfId="0" applyNumberFormat="1" applyFont="1" applyBorder="1"/>
    <xf numFmtId="0" fontId="0" fillId="0" borderId="2" xfId="0" applyBorder="1" applyAlignment="1">
      <alignment horizontal="center"/>
    </xf>
    <xf numFmtId="0" fontId="0" fillId="0" borderId="2" xfId="0" applyBorder="1" applyAlignment="1">
      <alignment horizontal="left"/>
    </xf>
    <xf numFmtId="165" fontId="0" fillId="7" borderId="2" xfId="0" applyNumberFormat="1" applyFill="1" applyBorder="1" applyAlignment="1">
      <alignment horizontal="center"/>
    </xf>
    <xf numFmtId="0" fontId="0" fillId="8" borderId="2" xfId="0" applyFill="1" applyBorder="1" applyAlignment="1">
      <alignment horizontal="right"/>
    </xf>
    <xf numFmtId="4" fontId="6" fillId="4" borderId="2" xfId="0" applyNumberFormat="1" applyFont="1" applyFill="1" applyBorder="1"/>
    <xf numFmtId="166" fontId="0" fillId="7" borderId="2" xfId="0" applyNumberFormat="1" applyFill="1" applyBorder="1" applyAlignment="1">
      <alignment horizontal="right" vertical="center"/>
    </xf>
    <xf numFmtId="0" fontId="0" fillId="9" borderId="2" xfId="0" applyFill="1" applyBorder="1" applyAlignment="1">
      <alignment horizontal="right"/>
    </xf>
    <xf numFmtId="0" fontId="0" fillId="0" borderId="2" xfId="0" applyBorder="1" applyAlignment="1">
      <alignment horizontal="center" wrapText="1"/>
    </xf>
    <xf numFmtId="166" fontId="0" fillId="0" borderId="2" xfId="0" applyNumberFormat="1" applyBorder="1" applyAlignment="1">
      <alignment horizontal="left"/>
    </xf>
    <xf numFmtId="0" fontId="5" fillId="0" borderId="2" xfId="0" applyFont="1" applyBorder="1" applyAlignment="1">
      <alignment horizontal="center"/>
    </xf>
    <xf numFmtId="0" fontId="5" fillId="10" borderId="2" xfId="0" applyFont="1" applyFill="1" applyBorder="1" applyAlignment="1">
      <alignment horizontal="right"/>
    </xf>
    <xf numFmtId="165" fontId="0" fillId="7" borderId="2" xfId="0" applyNumberFormat="1" applyFill="1" applyBorder="1" applyAlignment="1">
      <alignment horizontal="center" vertical="center"/>
    </xf>
    <xf numFmtId="166" fontId="0" fillId="0" borderId="2" xfId="0" applyNumberFormat="1" applyBorder="1"/>
    <xf numFmtId="0" fontId="5" fillId="7" borderId="2" xfId="0" applyFont="1" applyFill="1" applyBorder="1" applyAlignment="1">
      <alignment horizontal="center"/>
    </xf>
    <xf numFmtId="165" fontId="5" fillId="7" borderId="2" xfId="0" applyNumberFormat="1" applyFont="1" applyFill="1" applyBorder="1" applyAlignment="1">
      <alignment horizontal="center"/>
    </xf>
    <xf numFmtId="0" fontId="5" fillId="0" borderId="2" xfId="0" applyFont="1" applyBorder="1" applyAlignment="1">
      <alignment horizontal="right"/>
    </xf>
    <xf numFmtId="3" fontId="6" fillId="4" borderId="2" xfId="0" applyNumberFormat="1" applyFont="1" applyFill="1" applyBorder="1" applyAlignment="1">
      <alignment horizontal="left"/>
    </xf>
    <xf numFmtId="0" fontId="6" fillId="4" borderId="2" xfId="0" applyFont="1" applyFill="1" applyBorder="1" applyAlignment="1">
      <alignment horizontal="left"/>
    </xf>
    <xf numFmtId="166" fontId="7" fillId="7" borderId="2" xfId="0" applyNumberFormat="1" applyFont="1" applyFill="1" applyBorder="1"/>
    <xf numFmtId="167" fontId="0" fillId="7" borderId="2" xfId="0" applyNumberFormat="1" applyFill="1" applyBorder="1" applyAlignment="1">
      <alignment horizontal="center"/>
    </xf>
    <xf numFmtId="3" fontId="7" fillId="7" borderId="2" xfId="0" applyNumberFormat="1" applyFont="1" applyFill="1" applyBorder="1"/>
    <xf numFmtId="3" fontId="7" fillId="0" borderId="2" xfId="0" applyNumberFormat="1" applyFont="1" applyBorder="1"/>
    <xf numFmtId="165" fontId="0" fillId="0" borderId="2" xfId="0" applyNumberFormat="1" applyBorder="1" applyAlignment="1">
      <alignment horizontal="center"/>
    </xf>
    <xf numFmtId="166" fontId="0" fillId="0" borderId="0" xfId="0" applyNumberFormat="1"/>
    <xf numFmtId="0" fontId="0" fillId="11" borderId="2" xfId="0" applyFill="1" applyBorder="1" applyAlignment="1">
      <alignment horizontal="center"/>
    </xf>
    <xf numFmtId="0" fontId="4" fillId="11" borderId="2" xfId="0" applyFont="1" applyFill="1" applyBorder="1" applyAlignment="1">
      <alignment horizontal="center" vertical="top"/>
    </xf>
    <xf numFmtId="0" fontId="4" fillId="11" borderId="2" xfId="0" applyFont="1" applyFill="1" applyBorder="1" applyAlignment="1">
      <alignment horizontal="left" vertical="top"/>
    </xf>
    <xf numFmtId="0" fontId="4" fillId="12" borderId="2" xfId="0" applyFont="1" applyFill="1" applyBorder="1" applyAlignment="1">
      <alignment horizontal="left"/>
    </xf>
    <xf numFmtId="166" fontId="7" fillId="4" borderId="2" xfId="0" applyNumberFormat="1" applyFont="1" applyFill="1" applyBorder="1"/>
    <xf numFmtId="166" fontId="0" fillId="7" borderId="2" xfId="0" applyNumberFormat="1" applyFill="1" applyBorder="1"/>
    <xf numFmtId="166" fontId="0" fillId="0" borderId="2" xfId="0" applyNumberFormat="1" applyBorder="1" applyAlignment="1">
      <alignment horizontal="center" vertical="center"/>
    </xf>
    <xf numFmtId="166" fontId="0" fillId="0" borderId="2" xfId="0" applyNumberFormat="1" applyBorder="1" applyAlignment="1">
      <alignment horizontal="right"/>
    </xf>
    <xf numFmtId="0" fontId="4" fillId="4" borderId="2" xfId="0" applyFont="1" applyFill="1" applyBorder="1" applyAlignment="1">
      <alignment horizontal="center"/>
    </xf>
    <xf numFmtId="0" fontId="0" fillId="10" borderId="2" xfId="0" applyFill="1" applyBorder="1" applyAlignment="1">
      <alignment horizontal="center"/>
    </xf>
    <xf numFmtId="0" fontId="0" fillId="7" borderId="2" xfId="0" applyFill="1" applyBorder="1"/>
    <xf numFmtId="0" fontId="0" fillId="7" borderId="2" xfId="0" applyFill="1" applyBorder="1" applyAlignment="1">
      <alignment horizontal="center"/>
    </xf>
    <xf numFmtId="0" fontId="4" fillId="0" borderId="0" xfId="0" applyFont="1"/>
    <xf numFmtId="165" fontId="0" fillId="0" borderId="2" xfId="0" applyNumberFormat="1" applyBorder="1"/>
    <xf numFmtId="165" fontId="0" fillId="0" borderId="0" xfId="0" applyNumberFormat="1"/>
    <xf numFmtId="0" fontId="4" fillId="8" borderId="2" xfId="0" applyFont="1" applyFill="1" applyBorder="1"/>
    <xf numFmtId="0" fontId="0" fillId="0" borderId="0" xfId="0" applyAlignment="1">
      <alignment horizontal="center" vertical="center"/>
    </xf>
    <xf numFmtId="166" fontId="4" fillId="10" borderId="2" xfId="0" applyNumberFormat="1" applyFont="1" applyFill="1" applyBorder="1"/>
    <xf numFmtId="166" fontId="4" fillId="10" borderId="2" xfId="0" applyNumberFormat="1" applyFont="1" applyFill="1" applyBorder="1" applyAlignment="1">
      <alignment horizontal="center"/>
    </xf>
    <xf numFmtId="166" fontId="4" fillId="10" borderId="2" xfId="0" applyNumberFormat="1" applyFont="1" applyFill="1" applyBorder="1" applyAlignment="1">
      <alignment horizontal="center" vertical="center"/>
    </xf>
    <xf numFmtId="166" fontId="4" fillId="3" borderId="2" xfId="0" applyNumberFormat="1" applyFont="1" applyFill="1" applyBorder="1" applyAlignment="1">
      <alignment horizontal="center" vertical="center"/>
    </xf>
    <xf numFmtId="168" fontId="4" fillId="3" borderId="2" xfId="0" applyNumberFormat="1" applyFont="1" applyFill="1" applyBorder="1" applyAlignment="1">
      <alignment horizontal="center" vertical="center"/>
    </xf>
    <xf numFmtId="166" fontId="0" fillId="8" borderId="2" xfId="0" applyNumberFormat="1" applyFill="1" applyBorder="1" applyAlignment="1">
      <alignment horizontal="center" vertical="center"/>
    </xf>
    <xf numFmtId="166" fontId="0" fillId="0" borderId="2" xfId="0" applyNumberFormat="1" applyBorder="1" applyAlignment="1">
      <alignment horizontal="center"/>
    </xf>
    <xf numFmtId="168" fontId="0" fillId="0" borderId="2" xfId="0" applyNumberFormat="1" applyBorder="1"/>
    <xf numFmtId="168" fontId="0" fillId="0" borderId="2" xfId="0" applyNumberFormat="1" applyBorder="1" applyAlignment="1">
      <alignment horizontal="center"/>
    </xf>
    <xf numFmtId="0" fontId="0" fillId="7" borderId="2" xfId="0" applyFill="1" applyBorder="1" applyAlignment="1">
      <alignment vertical="center"/>
    </xf>
    <xf numFmtId="2" fontId="0" fillId="3" borderId="2" xfId="0" applyNumberFormat="1" applyFill="1" applyBorder="1"/>
    <xf numFmtId="168" fontId="0" fillId="3" borderId="2" xfId="0" applyNumberFormat="1" applyFill="1" applyBorder="1"/>
    <xf numFmtId="168" fontId="0" fillId="3" borderId="2" xfId="0" applyNumberFormat="1" applyFill="1" applyBorder="1" applyAlignment="1">
      <alignment horizontal="center"/>
    </xf>
    <xf numFmtId="0" fontId="0" fillId="3" borderId="2" xfId="0" applyFill="1" applyBorder="1" applyAlignment="1">
      <alignment vertical="center"/>
    </xf>
    <xf numFmtId="166" fontId="0" fillId="10" borderId="2" xfId="0" applyNumberFormat="1" applyFill="1" applyBorder="1" applyAlignment="1">
      <alignment horizontal="right"/>
    </xf>
    <xf numFmtId="166" fontId="0" fillId="10" borderId="2" xfId="0" applyNumberFormat="1" applyFill="1" applyBorder="1"/>
    <xf numFmtId="166" fontId="0" fillId="10" borderId="2" xfId="0" applyNumberFormat="1" applyFill="1" applyBorder="1" applyAlignment="1">
      <alignment horizontal="center" vertical="center"/>
    </xf>
    <xf numFmtId="166" fontId="0" fillId="7" borderId="2" xfId="0" applyNumberFormat="1" applyFill="1" applyBorder="1" applyAlignment="1">
      <alignment horizontal="right"/>
    </xf>
    <xf numFmtId="166" fontId="0" fillId="5" borderId="2" xfId="0" applyNumberFormat="1" applyFill="1" applyBorder="1" applyAlignment="1">
      <alignment horizontal="center" vertical="center"/>
    </xf>
    <xf numFmtId="166" fontId="0" fillId="7" borderId="2" xfId="0" applyNumberFormat="1" applyFill="1" applyBorder="1" applyAlignment="1">
      <alignment horizontal="left"/>
    </xf>
    <xf numFmtId="165" fontId="0" fillId="7" borderId="2" xfId="0" applyNumberFormat="1" applyFill="1" applyBorder="1" applyAlignment="1">
      <alignment horizontal="right"/>
    </xf>
    <xf numFmtId="168" fontId="0" fillId="7" borderId="2" xfId="0" applyNumberFormat="1" applyFill="1" applyBorder="1"/>
    <xf numFmtId="166" fontId="0" fillId="10" borderId="2" xfId="0" applyNumberFormat="1" applyFill="1" applyBorder="1" applyAlignment="1">
      <alignment horizontal="right" vertical="center"/>
    </xf>
    <xf numFmtId="166" fontId="0" fillId="10" borderId="2" xfId="0" applyNumberFormat="1" applyFill="1" applyBorder="1" applyAlignment="1">
      <alignment horizontal="center"/>
    </xf>
    <xf numFmtId="165" fontId="0" fillId="7" borderId="2" xfId="0" applyNumberFormat="1" applyFill="1" applyBorder="1"/>
    <xf numFmtId="3" fontId="7" fillId="0" borderId="0" xfId="0" applyNumberFormat="1" applyFont="1"/>
    <xf numFmtId="0" fontId="0" fillId="7" borderId="0" xfId="0" applyFill="1"/>
    <xf numFmtId="0" fontId="0" fillId="7" borderId="16" xfId="0" applyFill="1" applyBorder="1"/>
    <xf numFmtId="0" fontId="0" fillId="7" borderId="17" xfId="0" applyFill="1" applyBorder="1"/>
    <xf numFmtId="0" fontId="0" fillId="7" borderId="5" xfId="0" applyFill="1" applyBorder="1"/>
    <xf numFmtId="0" fontId="0" fillId="7" borderId="7" xfId="0" applyFill="1" applyBorder="1"/>
    <xf numFmtId="0" fontId="0" fillId="7" borderId="18" xfId="0" applyFill="1" applyBorder="1"/>
    <xf numFmtId="0" fontId="0" fillId="7" borderId="6" xfId="0" applyFill="1" applyBorder="1"/>
    <xf numFmtId="0" fontId="0" fillId="7" borderId="20" xfId="0" applyFill="1" applyBorder="1"/>
    <xf numFmtId="0" fontId="4" fillId="11" borderId="21" xfId="0" applyFont="1" applyFill="1" applyBorder="1"/>
    <xf numFmtId="0" fontId="4" fillId="11" borderId="5" xfId="0" applyFont="1" applyFill="1" applyBorder="1" applyAlignment="1">
      <alignment horizontal="center"/>
    </xf>
    <xf numFmtId="0" fontId="4" fillId="11" borderId="2" xfId="0" applyFont="1" applyFill="1" applyBorder="1" applyAlignment="1">
      <alignment horizontal="center" vertical="center"/>
    </xf>
    <xf numFmtId="0" fontId="0" fillId="0" borderId="11" xfId="0" applyBorder="1"/>
    <xf numFmtId="0" fontId="0" fillId="0" borderId="4" xfId="0" applyBorder="1"/>
    <xf numFmtId="0" fontId="0" fillId="0" borderId="0" xfId="0" applyAlignment="1">
      <alignment vertical="center"/>
    </xf>
    <xf numFmtId="0" fontId="0" fillId="11" borderId="2" xfId="0" applyFill="1" applyBorder="1"/>
    <xf numFmtId="0" fontId="4" fillId="11" borderId="2" xfId="0" applyFont="1" applyFill="1" applyBorder="1" applyAlignment="1">
      <alignment vertical="center"/>
    </xf>
    <xf numFmtId="0" fontId="4" fillId="5" borderId="2" xfId="0" applyFont="1" applyFill="1" applyBorder="1"/>
    <xf numFmtId="0" fontId="4" fillId="5" borderId="4" xfId="0" applyFont="1" applyFill="1" applyBorder="1"/>
    <xf numFmtId="0" fontId="4" fillId="6" borderId="2" xfId="0" applyFont="1" applyFill="1" applyBorder="1"/>
    <xf numFmtId="0" fontId="0" fillId="6" borderId="2" xfId="0" applyFill="1" applyBorder="1"/>
    <xf numFmtId="0" fontId="0" fillId="8" borderId="2" xfId="0" applyFill="1" applyBorder="1" applyAlignment="1">
      <alignment horizontal="center"/>
    </xf>
    <xf numFmtId="3" fontId="0" fillId="0" borderId="2" xfId="0" applyNumberFormat="1" applyBorder="1"/>
    <xf numFmtId="165" fontId="0" fillId="8" borderId="2" xfId="0" applyNumberFormat="1" applyFill="1" applyBorder="1"/>
    <xf numFmtId="0" fontId="7" fillId="7" borderId="2" xfId="0" applyFont="1" applyFill="1" applyBorder="1"/>
    <xf numFmtId="4" fontId="0" fillId="7" borderId="2" xfId="0" applyNumberFormat="1" applyFill="1" applyBorder="1"/>
    <xf numFmtId="164" fontId="11" fillId="0" borderId="2" xfId="0" applyNumberFormat="1" applyFont="1" applyBorder="1"/>
    <xf numFmtId="164" fontId="0" fillId="7" borderId="2" xfId="0" applyNumberFormat="1" applyFill="1" applyBorder="1" applyAlignment="1">
      <alignment horizontal="right" vertical="center"/>
    </xf>
    <xf numFmtId="4" fontId="7" fillId="7" borderId="2" xfId="0" applyNumberFormat="1" applyFont="1" applyFill="1" applyBorder="1"/>
    <xf numFmtId="168" fontId="0" fillId="8" borderId="2" xfId="0" applyNumberFormat="1" applyFill="1" applyBorder="1"/>
    <xf numFmtId="3" fontId="12" fillId="0" borderId="2" xfId="0" applyNumberFormat="1" applyFont="1" applyBorder="1"/>
    <xf numFmtId="3" fontId="0" fillId="7" borderId="2" xfId="0" applyNumberFormat="1" applyFill="1" applyBorder="1" applyAlignment="1">
      <alignment horizontal="left"/>
    </xf>
    <xf numFmtId="3" fontId="13" fillId="0" borderId="2" xfId="0" applyNumberFormat="1" applyFont="1" applyBorder="1" applyAlignment="1">
      <alignment horizontal="right"/>
    </xf>
    <xf numFmtId="166" fontId="13" fillId="0" borderId="2" xfId="0" applyNumberFormat="1" applyFont="1" applyBorder="1" applyAlignment="1">
      <alignment horizontal="right" vertical="center"/>
    </xf>
    <xf numFmtId="166" fontId="13" fillId="0" borderId="2" xfId="0" applyNumberFormat="1" applyFont="1" applyBorder="1"/>
    <xf numFmtId="49" fontId="13" fillId="0" borderId="2" xfId="0" applyNumberFormat="1" applyFont="1" applyBorder="1" applyAlignment="1">
      <alignment horizontal="center"/>
    </xf>
    <xf numFmtId="0" fontId="14" fillId="0" borderId="0" xfId="0" applyFont="1" applyAlignment="1">
      <alignment horizontal="center"/>
    </xf>
    <xf numFmtId="0" fontId="14" fillId="0" borderId="2" xfId="0" applyFont="1" applyBorder="1" applyAlignment="1">
      <alignment horizontal="center"/>
    </xf>
    <xf numFmtId="3" fontId="7" fillId="7" borderId="2" xfId="0" applyNumberFormat="1" applyFont="1" applyFill="1" applyBorder="1" applyAlignment="1">
      <alignment horizontal="left"/>
    </xf>
    <xf numFmtId="0" fontId="0" fillId="7" borderId="2" xfId="0" applyFill="1" applyBorder="1" applyAlignment="1">
      <alignment horizontal="left"/>
    </xf>
    <xf numFmtId="167" fontId="0" fillId="7" borderId="2" xfId="0" applyNumberFormat="1" applyFill="1" applyBorder="1"/>
    <xf numFmtId="0" fontId="7" fillId="7" borderId="2" xfId="0" applyFont="1" applyFill="1" applyBorder="1" applyAlignment="1">
      <alignment horizontal="left"/>
    </xf>
    <xf numFmtId="167" fontId="0" fillId="8" borderId="2" xfId="0" applyNumberFormat="1" applyFill="1" applyBorder="1"/>
    <xf numFmtId="0" fontId="7" fillId="7" borderId="0" xfId="0" applyFont="1" applyFill="1"/>
    <xf numFmtId="165" fontId="7" fillId="7" borderId="2" xfId="0" applyNumberFormat="1" applyFont="1" applyFill="1" applyBorder="1"/>
    <xf numFmtId="165" fontId="7" fillId="8" borderId="2" xfId="0" applyNumberFormat="1" applyFont="1" applyFill="1" applyBorder="1"/>
    <xf numFmtId="165" fontId="7" fillId="7" borderId="2" xfId="0" applyNumberFormat="1" applyFont="1" applyFill="1" applyBorder="1" applyAlignment="1">
      <alignment horizontal="center"/>
    </xf>
    <xf numFmtId="4" fontId="0" fillId="0" borderId="2" xfId="0" applyNumberFormat="1" applyBorder="1"/>
    <xf numFmtId="0" fontId="7" fillId="0" borderId="2" xfId="0" applyFont="1" applyBorder="1"/>
    <xf numFmtId="3" fontId="0" fillId="0" borderId="0" xfId="0" applyNumberFormat="1"/>
    <xf numFmtId="4" fontId="0" fillId="0" borderId="0" xfId="0" applyNumberFormat="1"/>
    <xf numFmtId="0" fontId="4" fillId="7" borderId="12" xfId="0" applyFont="1" applyFill="1" applyBorder="1"/>
    <xf numFmtId="0" fontId="0" fillId="0" borderId="21" xfId="0" applyBorder="1"/>
    <xf numFmtId="0" fontId="0" fillId="5" borderId="2" xfId="0" applyFill="1" applyBorder="1"/>
    <xf numFmtId="0" fontId="0" fillId="0" borderId="12" xfId="0" applyBorder="1"/>
    <xf numFmtId="0" fontId="4" fillId="0" borderId="2" xfId="0" applyFont="1" applyBorder="1"/>
    <xf numFmtId="164" fontId="0" fillId="0" borderId="2" xfId="0" applyNumberFormat="1" applyBorder="1" applyAlignment="1">
      <alignment horizontal="right"/>
    </xf>
    <xf numFmtId="0" fontId="0" fillId="0" borderId="7" xfId="0" applyBorder="1"/>
    <xf numFmtId="166" fontId="0" fillId="7" borderId="0" xfId="0" applyNumberFormat="1" applyFill="1"/>
    <xf numFmtId="164" fontId="0" fillId="7" borderId="0" xfId="0" applyNumberFormat="1" applyFill="1" applyAlignment="1">
      <alignment horizontal="right"/>
    </xf>
    <xf numFmtId="3" fontId="7" fillId="7" borderId="0" xfId="0" applyNumberFormat="1" applyFont="1" applyFill="1"/>
    <xf numFmtId="0" fontId="4" fillId="5" borderId="2" xfId="0" applyFont="1" applyFill="1" applyBorder="1" applyAlignment="1">
      <alignment horizontal="center" vertical="top"/>
    </xf>
    <xf numFmtId="0" fontId="4" fillId="11" borderId="2" xfId="0" applyFont="1" applyFill="1" applyBorder="1"/>
    <xf numFmtId="164" fontId="0" fillId="0" borderId="2" xfId="0" applyNumberFormat="1" applyBorder="1"/>
    <xf numFmtId="164" fontId="0" fillId="7" borderId="2" xfId="0" applyNumberFormat="1" applyFill="1" applyBorder="1"/>
    <xf numFmtId="0" fontId="4" fillId="6" borderId="2" xfId="0" applyFont="1" applyFill="1" applyBorder="1" applyAlignment="1">
      <alignment horizontal="center" vertical="top"/>
    </xf>
    <xf numFmtId="169" fontId="0" fillId="0" borderId="2" xfId="0" applyNumberFormat="1" applyBorder="1"/>
    <xf numFmtId="0" fontId="5" fillId="0" borderId="19" xfId="0" applyFont="1" applyBorder="1"/>
    <xf numFmtId="0" fontId="0" fillId="0" borderId="19" xfId="0" applyBorder="1"/>
    <xf numFmtId="0" fontId="17" fillId="0" borderId="0" xfId="10"/>
    <xf numFmtId="0" fontId="17" fillId="0" borderId="2" xfId="10" applyBorder="1"/>
    <xf numFmtId="0" fontId="8" fillId="14" borderId="0" xfId="10" applyFont="1" applyFill="1"/>
    <xf numFmtId="0" fontId="0" fillId="0" borderId="3" xfId="0" applyBorder="1"/>
    <xf numFmtId="0" fontId="18" fillId="15" borderId="26" xfId="0" applyFont="1" applyFill="1" applyBorder="1" applyAlignment="1">
      <alignment vertical="center"/>
    </xf>
    <xf numFmtId="0" fontId="19" fillId="0" borderId="27" xfId="0" applyFont="1" applyBorder="1" applyAlignment="1">
      <alignment horizontal="center"/>
    </xf>
    <xf numFmtId="0" fontId="18" fillId="16" borderId="28" xfId="0" applyFont="1" applyFill="1" applyBorder="1"/>
    <xf numFmtId="0" fontId="18" fillId="16" borderId="13" xfId="0" applyFont="1" applyFill="1" applyBorder="1"/>
    <xf numFmtId="0" fontId="18" fillId="16" borderId="14" xfId="0" applyFont="1" applyFill="1" applyBorder="1"/>
    <xf numFmtId="0" fontId="4" fillId="5" borderId="2" xfId="0" applyFont="1" applyFill="1" applyBorder="1" applyAlignment="1">
      <alignment horizontal="center" vertical="center"/>
    </xf>
    <xf numFmtId="0" fontId="0" fillId="13" borderId="9" xfId="0" applyFill="1" applyBorder="1" applyAlignment="1">
      <alignment horizontal="center" vertical="center"/>
    </xf>
    <xf numFmtId="0" fontId="4" fillId="5" borderId="15" xfId="0" applyFont="1" applyFill="1" applyBorder="1" applyAlignment="1">
      <alignment horizontal="center" vertical="center"/>
    </xf>
    <xf numFmtId="0" fontId="4" fillId="11" borderId="4" xfId="0" applyFont="1" applyFill="1" applyBorder="1" applyAlignment="1">
      <alignment horizontal="center" vertical="top"/>
    </xf>
    <xf numFmtId="166" fontId="7" fillId="4" borderId="4" xfId="0" applyNumberFormat="1" applyFont="1" applyFill="1" applyBorder="1"/>
    <xf numFmtId="0" fontId="18" fillId="16" borderId="2" xfId="0" applyFont="1" applyFill="1" applyBorder="1"/>
    <xf numFmtId="0" fontId="20" fillId="0" borderId="0" xfId="0" applyFont="1"/>
    <xf numFmtId="10" fontId="0" fillId="0" borderId="0" xfId="0" applyNumberFormat="1"/>
    <xf numFmtId="10" fontId="20" fillId="0" borderId="0" xfId="0" applyNumberFormat="1" applyFont="1"/>
    <xf numFmtId="3" fontId="20" fillId="0" borderId="0" xfId="0" applyNumberFormat="1" applyFont="1"/>
    <xf numFmtId="0" fontId="0" fillId="0" borderId="2" xfId="0" applyBorder="1" applyAlignment="1">
      <alignment horizontal="center" vertical="center"/>
    </xf>
    <xf numFmtId="0" fontId="5" fillId="7" borderId="2" xfId="0" applyFont="1" applyFill="1" applyBorder="1" applyAlignment="1">
      <alignment horizontal="center" vertical="center"/>
    </xf>
    <xf numFmtId="0" fontId="5" fillId="0" borderId="2" xfId="0" applyFont="1" applyBorder="1" applyAlignment="1">
      <alignment horizontal="center" vertical="center"/>
    </xf>
    <xf numFmtId="165" fontId="5" fillId="7" borderId="2" xfId="0" applyNumberFormat="1" applyFont="1" applyFill="1" applyBorder="1" applyAlignment="1">
      <alignment horizontal="center" vertical="center"/>
    </xf>
    <xf numFmtId="167" fontId="0" fillId="7" borderId="2" xfId="0" applyNumberFormat="1" applyFill="1" applyBorder="1" applyAlignment="1">
      <alignment horizontal="center" vertical="center"/>
    </xf>
    <xf numFmtId="165" fontId="0" fillId="0" borderId="2" xfId="0" applyNumberFormat="1" applyBorder="1" applyAlignment="1">
      <alignment horizontal="center" vertical="center"/>
    </xf>
    <xf numFmtId="0" fontId="20" fillId="0" borderId="2" xfId="0" applyFont="1" applyBorder="1"/>
    <xf numFmtId="0" fontId="20" fillId="0" borderId="2" xfId="0" applyFont="1" applyBorder="1" applyAlignment="1">
      <alignment horizontal="center" vertical="center"/>
    </xf>
    <xf numFmtId="0" fontId="20" fillId="0" borderId="2" xfId="0" applyFont="1" applyBorder="1" applyAlignment="1">
      <alignment horizontal="left"/>
    </xf>
    <xf numFmtId="10" fontId="20" fillId="0" borderId="2" xfId="0" applyNumberFormat="1" applyFont="1" applyBorder="1" applyAlignment="1">
      <alignment horizontal="center" vertical="center"/>
    </xf>
    <xf numFmtId="0" fontId="20" fillId="0" borderId="2" xfId="0" applyFont="1" applyBorder="1" applyAlignment="1">
      <alignment horizontal="right"/>
    </xf>
    <xf numFmtId="3" fontId="20" fillId="0" borderId="2" xfId="0" applyNumberFormat="1" applyFont="1" applyBorder="1"/>
    <xf numFmtId="166" fontId="0" fillId="0" borderId="29" xfId="0" applyNumberFormat="1" applyBorder="1"/>
    <xf numFmtId="3" fontId="20" fillId="0" borderId="2" xfId="0" applyNumberFormat="1" applyFont="1" applyBorder="1" applyAlignment="1">
      <alignment horizontal="right"/>
    </xf>
    <xf numFmtId="0" fontId="20" fillId="0" borderId="2" xfId="0" applyFont="1" applyBorder="1" applyAlignment="1">
      <alignment horizontal="center"/>
    </xf>
    <xf numFmtId="10" fontId="20" fillId="0" borderId="2" xfId="0" applyNumberFormat="1" applyFont="1" applyBorder="1"/>
    <xf numFmtId="0" fontId="0" fillId="18" borderId="2" xfId="0" applyFill="1" applyBorder="1" applyAlignment="1">
      <alignment horizontal="center"/>
    </xf>
    <xf numFmtId="165" fontId="0" fillId="18" borderId="2" xfId="0" applyNumberFormat="1" applyFill="1" applyBorder="1" applyAlignment="1">
      <alignment horizontal="center"/>
    </xf>
    <xf numFmtId="0" fontId="0" fillId="18" borderId="2" xfId="0" applyFill="1" applyBorder="1" applyAlignment="1">
      <alignment horizontal="right"/>
    </xf>
    <xf numFmtId="0" fontId="10" fillId="0" borderId="10" xfId="0" applyFont="1" applyBorder="1" applyAlignment="1">
      <alignment vertical="center" wrapText="1"/>
    </xf>
    <xf numFmtId="0" fontId="0" fillId="0" borderId="4" xfId="0" applyBorder="1" applyAlignment="1">
      <alignment vertical="top" wrapText="1"/>
    </xf>
    <xf numFmtId="0" fontId="0" fillId="0" borderId="0" xfId="0" applyAlignment="1">
      <alignment vertical="center" wrapText="1"/>
    </xf>
    <xf numFmtId="0" fontId="8" fillId="16" borderId="2" xfId="0" applyFont="1" applyFill="1" applyBorder="1"/>
    <xf numFmtId="0" fontId="9" fillId="0" borderId="0" xfId="0" applyFont="1"/>
    <xf numFmtId="0" fontId="4" fillId="21" borderId="2" xfId="0" applyFont="1" applyFill="1" applyBorder="1" applyAlignment="1">
      <alignment horizontal="center" vertical="center"/>
    </xf>
    <xf numFmtId="0" fontId="4" fillId="24" borderId="2" xfId="0" applyFont="1" applyFill="1" applyBorder="1" applyAlignment="1">
      <alignment horizontal="center" vertical="center"/>
    </xf>
    <xf numFmtId="0" fontId="4" fillId="4" borderId="0" xfId="0" applyFont="1" applyFill="1" applyAlignment="1">
      <alignment horizontal="center" vertical="top"/>
    </xf>
    <xf numFmtId="0" fontId="8" fillId="20" borderId="2" xfId="0" applyFont="1" applyFill="1" applyBorder="1" applyAlignment="1">
      <alignment horizontal="center"/>
    </xf>
    <xf numFmtId="0" fontId="4" fillId="0" borderId="2" xfId="0" applyFont="1" applyBorder="1" applyAlignment="1">
      <alignment horizontal="center" vertical="center" wrapText="1"/>
    </xf>
    <xf numFmtId="0" fontId="0" fillId="0" borderId="22" xfId="0" applyBorder="1"/>
    <xf numFmtId="0" fontId="0" fillId="0" borderId="23" xfId="0" applyBorder="1"/>
    <xf numFmtId="0" fontId="0" fillId="0" borderId="24" xfId="0" applyBorder="1"/>
    <xf numFmtId="0" fontId="0" fillId="0" borderId="25" xfId="0" applyBorder="1"/>
    <xf numFmtId="0" fontId="0" fillId="0" borderId="3" xfId="0" applyBorder="1"/>
    <xf numFmtId="0" fontId="4" fillId="5" borderId="2" xfId="0" applyFont="1" applyFill="1" applyBorder="1" applyAlignment="1">
      <alignment horizontal="center" vertical="center"/>
    </xf>
    <xf numFmtId="0" fontId="4" fillId="3" borderId="2" xfId="0" applyFont="1" applyFill="1" applyBorder="1" applyAlignment="1">
      <alignment horizontal="center"/>
    </xf>
    <xf numFmtId="0" fontId="4" fillId="3" borderId="2" xfId="0" applyFont="1" applyFill="1" applyBorder="1" applyAlignment="1">
      <alignment horizontal="center" vertical="center"/>
    </xf>
    <xf numFmtId="0" fontId="0" fillId="0" borderId="4" xfId="0" applyBorder="1"/>
    <xf numFmtId="0" fontId="4" fillId="19" borderId="2" xfId="0" applyFont="1" applyFill="1" applyBorder="1" applyAlignment="1">
      <alignment horizontal="center"/>
    </xf>
    <xf numFmtId="0" fontId="4" fillId="21" borderId="2" xfId="0" applyFont="1" applyFill="1" applyBorder="1" applyAlignment="1">
      <alignment horizontal="center"/>
    </xf>
    <xf numFmtId="0" fontId="0" fillId="22" borderId="4" xfId="0" applyFill="1" applyBorder="1"/>
    <xf numFmtId="0" fontId="4" fillId="5" borderId="15" xfId="0" applyFont="1" applyFill="1" applyBorder="1" applyAlignment="1">
      <alignment horizontal="center" vertical="center"/>
    </xf>
    <xf numFmtId="0" fontId="4" fillId="11" borderId="22" xfId="0" applyFont="1" applyFill="1" applyBorder="1" applyAlignment="1">
      <alignment horizontal="left" vertical="center"/>
    </xf>
    <xf numFmtId="0" fontId="0" fillId="13" borderId="9" xfId="0" applyFill="1" applyBorder="1" applyAlignment="1">
      <alignment horizontal="center" vertical="center"/>
    </xf>
    <xf numFmtId="0" fontId="15" fillId="11" borderId="8" xfId="0" applyFont="1" applyFill="1" applyBorder="1" applyAlignment="1">
      <alignment horizontal="center"/>
    </xf>
    <xf numFmtId="165" fontId="0" fillId="5" borderId="2" xfId="0" applyNumberFormat="1" applyFill="1" applyBorder="1" applyAlignment="1">
      <alignment horizontal="center" vertical="center"/>
    </xf>
    <xf numFmtId="0" fontId="0" fillId="5" borderId="2" xfId="0" applyFill="1" applyBorder="1" applyAlignment="1">
      <alignment horizontal="center" vertical="center"/>
    </xf>
    <xf numFmtId="0" fontId="4" fillId="17" borderId="2" xfId="0" applyFont="1" applyFill="1" applyBorder="1" applyAlignment="1">
      <alignment horizontal="left" vertical="center"/>
    </xf>
    <xf numFmtId="0" fontId="6" fillId="17" borderId="2" xfId="0" applyFont="1" applyFill="1" applyBorder="1" applyAlignment="1">
      <alignment vertical="center"/>
    </xf>
    <xf numFmtId="0" fontId="0" fillId="18" borderId="2" xfId="0" applyFill="1" applyBorder="1" applyAlignment="1">
      <alignment horizontal="center"/>
    </xf>
    <xf numFmtId="0" fontId="0" fillId="6" borderId="2" xfId="0" applyFill="1" applyBorder="1" applyAlignment="1">
      <alignment horizontal="center"/>
    </xf>
    <xf numFmtId="10" fontId="0" fillId="0" borderId="3" xfId="0" applyNumberFormat="1" applyBorder="1"/>
    <xf numFmtId="10" fontId="0" fillId="0" borderId="4" xfId="0" applyNumberFormat="1" applyBorder="1"/>
    <xf numFmtId="10" fontId="0" fillId="0" borderId="2" xfId="0" applyNumberFormat="1" applyBorder="1"/>
    <xf numFmtId="0" fontId="10" fillId="0" borderId="0" xfId="11"/>
    <xf numFmtId="10" fontId="20" fillId="0" borderId="12" xfId="0" applyNumberFormat="1" applyFont="1" applyBorder="1"/>
    <xf numFmtId="0" fontId="4" fillId="23" borderId="29" xfId="0" applyFont="1" applyFill="1" applyBorder="1" applyAlignment="1">
      <alignment horizontal="center"/>
    </xf>
    <xf numFmtId="0" fontId="4" fillId="23" borderId="4" xfId="0" applyFont="1" applyFill="1" applyBorder="1" applyAlignment="1">
      <alignment horizontal="center"/>
    </xf>
    <xf numFmtId="0" fontId="4" fillId="5" borderId="21" xfId="0" applyFont="1" applyFill="1" applyBorder="1" applyAlignment="1">
      <alignment horizontal="center" vertical="center"/>
    </xf>
    <xf numFmtId="0" fontId="4" fillId="5" borderId="30" xfId="0" applyFont="1" applyFill="1" applyBorder="1" applyAlignment="1">
      <alignment horizontal="center" vertical="center"/>
    </xf>
    <xf numFmtId="0" fontId="4" fillId="5" borderId="31" xfId="0" applyFont="1" applyFill="1" applyBorder="1" applyAlignment="1">
      <alignment horizontal="center" vertical="center"/>
    </xf>
    <xf numFmtId="0" fontId="4" fillId="25" borderId="2" xfId="0" applyFont="1" applyFill="1" applyBorder="1" applyAlignment="1">
      <alignment horizontal="center"/>
    </xf>
    <xf numFmtId="0" fontId="0" fillId="26" borderId="4" xfId="0" applyFill="1" applyBorder="1"/>
    <xf numFmtId="0" fontId="4" fillId="25" borderId="2" xfId="0" applyFont="1" applyFill="1" applyBorder="1" applyAlignment="1">
      <alignment horizontal="center" vertical="center"/>
    </xf>
  </cellXfs>
  <cellStyles count="12">
    <cellStyle name="Comma 3" xfId="1" xr:uid="{00000000-0005-0000-0000-000001000000}"/>
    <cellStyle name="Lien hypertexte" xfId="11" builtinId="8"/>
    <cellStyle name="Milliers 2" xfId="2" xr:uid="{00000000-0005-0000-0000-000002000000}"/>
    <cellStyle name="Normal" xfId="0" builtinId="0"/>
    <cellStyle name="Normal 2" xfId="3" xr:uid="{00000000-0005-0000-0000-000003000000}"/>
    <cellStyle name="Normal 2 2" xfId="4" xr:uid="{00000000-0005-0000-0000-000004000000}"/>
    <cellStyle name="Normal 2 6" xfId="5" xr:uid="{00000000-0005-0000-0000-000005000000}"/>
    <cellStyle name="Normal 3" xfId="6" xr:uid="{00000000-0005-0000-0000-000006000000}"/>
    <cellStyle name="Normal 4" xfId="7" xr:uid="{00000000-0005-0000-0000-000007000000}"/>
    <cellStyle name="Normal 5" xfId="10" xr:uid="{00000000-0005-0000-0000-00000A000000}"/>
    <cellStyle name="Note 2" xfId="8" xr:uid="{00000000-0005-0000-0000-000008000000}"/>
    <cellStyle name="Обычный 2" xfId="9" xr:uid="{00000000-0005-0000-0000-000009000000}"/>
  </cellStyles>
  <dxfs count="0"/>
  <tableStyles count="0" defaultTableStyle="TableStyleMedium2" defaultPivotStyle="PivotStyleLight16"/>
  <colors>
    <indexedColors>
      <rgbColor rgb="FF000000"/>
      <rgbColor rgb="FFFFFFFF"/>
      <rgbColor rgb="FFFF0000"/>
      <rgbColor rgb="FF00FF00"/>
      <rgbColor rgb="FF0000FF"/>
      <rgbColor rgb="FFFFF2CC"/>
      <rgbColor rgb="FFFF00FF"/>
      <rgbColor rgb="FF00FFFF"/>
      <rgbColor rgb="FF800000"/>
      <rgbColor rgb="FF008000"/>
      <rgbColor rgb="FF000080"/>
      <rgbColor rgb="FF808000"/>
      <rgbColor rgb="FF800080"/>
      <rgbColor rgb="FF0070C0"/>
      <rgbColor rgb="FFBFBFBF"/>
      <rgbColor rgb="FF808080"/>
      <rgbColor rgb="FFB2B2B2"/>
      <rgbColor rgb="FF993366"/>
      <rgbColor rgb="FFFFFFCC"/>
      <rgbColor rgb="FFDDEBF7"/>
      <rgbColor rgb="FF660066"/>
      <rgbColor rgb="FFE7E6E6"/>
      <rgbColor rgb="FF0563C1"/>
      <rgbColor rgb="FFBDD7EE"/>
      <rgbColor rgb="FF000080"/>
      <rgbColor rgb="FFFF00FF"/>
      <rgbColor rgb="FFFFF8E5"/>
      <rgbColor rgb="FF00FFFF"/>
      <rgbColor rgb="FF800080"/>
      <rgbColor rgb="FF800000"/>
      <rgbColor rgb="FF008080"/>
      <rgbColor rgb="FF0000FF"/>
      <rgbColor rgb="FF00CCFF"/>
      <rgbColor rgb="FFDEEBF7"/>
      <rgbColor rgb="FFE2F0D9"/>
      <rgbColor rgb="FFFFE699"/>
      <rgbColor rgb="FFD0CECE"/>
      <rgbColor rgb="FFFCE4D6"/>
      <rgbColor rgb="FFD9D9D9"/>
      <rgbColor rgb="FFF8CBAD"/>
      <rgbColor rgb="FF3366FF"/>
      <rgbColor rgb="FF33CCCC"/>
      <rgbColor rgb="FFC6E0B4"/>
      <rgbColor rgb="FFFFD700"/>
      <rgbColor rgb="FFF2F2F2"/>
      <rgbColor rgb="FFFF6600"/>
      <rgbColor rgb="FF666699"/>
      <rgbColor rgb="FFA6A6A6"/>
      <rgbColor rgb="FF003366"/>
      <rgbColor rgb="FF2BA84A"/>
      <rgbColor rgb="FF003300"/>
      <rgbColor rgb="FF333300"/>
      <rgbColor rgb="FF993300"/>
      <rgbColor rgb="FF993366"/>
      <rgbColor rgb="FF333399"/>
      <rgbColor rgb="FF1B1B1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92880</xdr:colOff>
      <xdr:row>43</xdr:row>
      <xdr:rowOff>64080</xdr:rowOff>
    </xdr:from>
    <xdr:to>
      <xdr:col>4</xdr:col>
      <xdr:colOff>344160</xdr:colOff>
      <xdr:row>67</xdr:row>
      <xdr:rowOff>1440</xdr:rowOff>
    </xdr:to>
    <xdr:pic>
      <xdr:nvPicPr>
        <xdr:cNvPr id="2" name="Image 2">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tretch>
          <a:fillRect/>
        </a:stretch>
      </xdr:blipFill>
      <xdr:spPr>
        <a:xfrm>
          <a:off x="92880" y="8322120"/>
          <a:ext cx="4903200" cy="4547520"/>
        </a:xfrm>
        <a:prstGeom prst="rect">
          <a:avLst/>
        </a:prstGeom>
        <a:noFill/>
        <a:ln w="0">
          <a:noFill/>
          <a:prstDash val="solid"/>
        </a:ln>
      </xdr:spPr>
    </xdr:pic>
    <xdr:clientData/>
  </xdr:twoCellAnchor>
  <xdr:twoCellAnchor editAs="oneCell">
    <xdr:from>
      <xdr:col>0</xdr:col>
      <xdr:colOff>92880</xdr:colOff>
      <xdr:row>43</xdr:row>
      <xdr:rowOff>64080</xdr:rowOff>
    </xdr:from>
    <xdr:to>
      <xdr:col>4</xdr:col>
      <xdr:colOff>343440</xdr:colOff>
      <xdr:row>67</xdr:row>
      <xdr:rowOff>720</xdr:rowOff>
    </xdr:to>
    <xdr:pic>
      <xdr:nvPicPr>
        <xdr:cNvPr id="3" name="Image 2">
          <a:extLst>
            <a:ext uri="{FF2B5EF4-FFF2-40B4-BE49-F238E27FC236}">
              <a16:creationId xmlns:a16="http://schemas.microsoft.com/office/drawing/2014/main" id="{81DAC5AC-8AFC-4A40-A160-0B40077ED2ED}"/>
            </a:ext>
          </a:extLst>
        </xdr:cNvPr>
        <xdr:cNvPicPr/>
      </xdr:nvPicPr>
      <xdr:blipFill>
        <a:blip xmlns:r="http://schemas.openxmlformats.org/officeDocument/2006/relationships" r:embed="rId1"/>
        <a:stretch/>
      </xdr:blipFill>
      <xdr:spPr>
        <a:xfrm>
          <a:off x="92880" y="8306380"/>
          <a:ext cx="5279760" cy="45467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www.iea.org/data-and-statistics/data-tools/critical-minerals-data-explorer" TargetMode="External"/><Relationship Id="rId2" Type="http://schemas.openxmlformats.org/officeDocument/2006/relationships/hyperlink" Target="https://www.iea.org/data-and-statistics/data-tools/critical-minerals-data-explorer" TargetMode="External"/><Relationship Id="rId1" Type="http://schemas.openxmlformats.org/officeDocument/2006/relationships/hyperlink" Target="https://international-aluminium.org/report-reveals-global-aluminium-demand-to-reach-new-highs-after-covid/" TargetMode="External"/><Relationship Id="rId4" Type="http://schemas.openxmlformats.org/officeDocument/2006/relationships/hyperlink" Target="https://www.silverinstitute.org/all-world-silver-survey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016/j.mineng.2023.108282" TargetMode="External"/><Relationship Id="rId13" Type="http://schemas.openxmlformats.org/officeDocument/2006/relationships/hyperlink" Target="https://doi.org/10.1088/1748-9326/aca4ea" TargetMode="External"/><Relationship Id="rId3" Type="http://schemas.openxmlformats.org/officeDocument/2006/relationships/hyperlink" Target="https://www2.bgs.ac.uk/mineralsuk/statistics/wms.cfc?method=searchWMS" TargetMode="External"/><Relationship Id="rId7" Type="http://schemas.openxmlformats.org/officeDocument/2006/relationships/hyperlink" Target="https://doi.org/10.1016/j.resourpol.2015.11.005" TargetMode="External"/><Relationship Id="rId12" Type="http://schemas.openxmlformats.org/officeDocument/2006/relationships/hyperlink" Target="https://doi.org/10.1088/1748-9326/aca4ea" TargetMode="External"/><Relationship Id="rId2" Type="http://schemas.openxmlformats.org/officeDocument/2006/relationships/hyperlink" Target="https://www.usgs.gov/centers/national-minerals-information-center/historical-statistics-mineral-and-material-commodities" TargetMode="External"/><Relationship Id="rId1" Type="http://schemas.openxmlformats.org/officeDocument/2006/relationships/hyperlink" Target="https://doi.org/10.1016/j.mineng.2023.108282" TargetMode="External"/><Relationship Id="rId6" Type="http://schemas.openxmlformats.org/officeDocument/2006/relationships/hyperlink" Target="https://doi.org/10.1007/s00126-013-0506-z" TargetMode="External"/><Relationship Id="rId11" Type="http://schemas.openxmlformats.org/officeDocument/2006/relationships/hyperlink" Target="https://doi.org/10.1016/j.enpol.2018.04.056" TargetMode="External"/><Relationship Id="rId5" Type="http://schemas.openxmlformats.org/officeDocument/2006/relationships/hyperlink" Target="https://www.cadmium.org/wp-content/uploads/2021/11/icda-report-on-worldwide-cadmium-production-and-trade-2020.pdf" TargetMode="External"/><Relationship Id="rId10" Type="http://schemas.openxmlformats.org/officeDocument/2006/relationships/hyperlink" Target="https://doi.org/10.1016/j.resconrec.2013.04.007" TargetMode="External"/><Relationship Id="rId4" Type="http://schemas.openxmlformats.org/officeDocument/2006/relationships/hyperlink" Target="https://www.internationaltin.org/reports/tin-for-the-future/" TargetMode="External"/><Relationship Id="rId9" Type="http://schemas.openxmlformats.org/officeDocument/2006/relationships/hyperlink" Target="https://doi.org/10.1007/s13563-023-00384-0" TargetMode="External"/><Relationship Id="rId14" Type="http://schemas.openxmlformats.org/officeDocument/2006/relationships/hyperlink" Target="http://data.europa.eu/eli/reg/2023/1542/oj"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tabSelected="1" topLeftCell="A4" zoomScale="110" zoomScaleNormal="110" workbookViewId="0">
      <selection activeCell="G17" sqref="G17"/>
    </sheetView>
  </sheetViews>
  <sheetFormatPr baseColWidth="10" defaultColWidth="10.6640625" defaultRowHeight="15" x14ac:dyDescent="0.2"/>
  <cols>
    <col min="1" max="1" width="31.5" customWidth="1"/>
    <col min="2" max="2" width="94.83203125" style="2" customWidth="1"/>
  </cols>
  <sheetData>
    <row r="1" spans="1:2" ht="14.25" customHeight="1" x14ac:dyDescent="0.2">
      <c r="A1" s="196"/>
      <c r="B1" s="197"/>
    </row>
    <row r="2" spans="1:2" ht="15" customHeight="1" x14ac:dyDescent="0.2">
      <c r="A2" s="198"/>
      <c r="B2" s="199"/>
    </row>
    <row r="3" spans="1:2" ht="15" customHeight="1" x14ac:dyDescent="0.2">
      <c r="A3" s="200"/>
      <c r="B3" s="201"/>
    </row>
    <row r="4" spans="1:2" ht="15" customHeight="1" x14ac:dyDescent="0.2">
      <c r="A4" s="204" t="s">
        <v>0</v>
      </c>
      <c r="B4" s="205"/>
    </row>
    <row r="5" spans="1:2" ht="15" customHeight="1" x14ac:dyDescent="0.2">
      <c r="A5" s="190" t="s">
        <v>258</v>
      </c>
      <c r="B5" s="190" t="s">
        <v>1</v>
      </c>
    </row>
    <row r="6" spans="1:2" ht="15.75" customHeight="1" x14ac:dyDescent="0.2">
      <c r="A6" s="206" t="s">
        <v>259</v>
      </c>
      <c r="B6" s="205"/>
    </row>
    <row r="7" spans="1:2" ht="15" customHeight="1" x14ac:dyDescent="0.2">
      <c r="A7" s="195" t="s">
        <v>243</v>
      </c>
      <c r="B7" s="191" t="s">
        <v>260</v>
      </c>
    </row>
    <row r="8" spans="1:2" x14ac:dyDescent="0.2">
      <c r="A8" s="207" t="s">
        <v>268</v>
      </c>
      <c r="B8" s="208"/>
    </row>
    <row r="9" spans="1:2" ht="31.5" customHeight="1" x14ac:dyDescent="0.2">
      <c r="A9" s="192" t="s">
        <v>247</v>
      </c>
      <c r="B9" s="4" t="s">
        <v>261</v>
      </c>
    </row>
    <row r="10" spans="1:2" ht="15.75" customHeight="1" x14ac:dyDescent="0.2">
      <c r="A10" s="229" t="s">
        <v>268</v>
      </c>
      <c r="B10" s="230"/>
    </row>
    <row r="11" spans="1:2" ht="15" customHeight="1" x14ac:dyDescent="0.2">
      <c r="A11" s="231" t="s">
        <v>281</v>
      </c>
      <c r="B11" s="4" t="s">
        <v>282</v>
      </c>
    </row>
    <row r="12" spans="1:2" ht="15" customHeight="1" x14ac:dyDescent="0.2">
      <c r="A12" s="224" t="s">
        <v>262</v>
      </c>
      <c r="B12" s="225"/>
    </row>
    <row r="13" spans="1:2" ht="15.75" customHeight="1" x14ac:dyDescent="0.2">
      <c r="A13" s="226" t="s">
        <v>2</v>
      </c>
      <c r="B13" s="4" t="s">
        <v>3</v>
      </c>
    </row>
    <row r="14" spans="1:2" ht="31.5" customHeight="1" x14ac:dyDescent="0.2">
      <c r="A14" s="227"/>
      <c r="B14" s="4" t="s">
        <v>244</v>
      </c>
    </row>
    <row r="15" spans="1:2" ht="15" customHeight="1" x14ac:dyDescent="0.2">
      <c r="A15" s="227"/>
      <c r="B15" s="4" t="s">
        <v>4</v>
      </c>
    </row>
    <row r="16" spans="1:2" ht="31.5" customHeight="1" x14ac:dyDescent="0.2">
      <c r="A16" s="228"/>
      <c r="B16" s="4" t="s">
        <v>5</v>
      </c>
    </row>
    <row r="17" spans="1:2" ht="31.5" customHeight="1" x14ac:dyDescent="0.2">
      <c r="A17" s="202" t="s">
        <v>6</v>
      </c>
      <c r="B17" s="4" t="s">
        <v>245</v>
      </c>
    </row>
    <row r="18" spans="1:2" ht="15" customHeight="1" x14ac:dyDescent="0.2">
      <c r="A18" s="202"/>
      <c r="B18" s="4" t="s">
        <v>246</v>
      </c>
    </row>
    <row r="19" spans="1:2" ht="15.75" customHeight="1" x14ac:dyDescent="0.2">
      <c r="A19" s="158" t="s">
        <v>263</v>
      </c>
      <c r="B19" s="4" t="s">
        <v>264</v>
      </c>
    </row>
    <row r="20" spans="1:2" ht="31.5" customHeight="1" x14ac:dyDescent="0.2">
      <c r="A20" s="203" t="s">
        <v>7</v>
      </c>
      <c r="B20" s="203"/>
    </row>
    <row r="21" spans="1:2" ht="63.75" customHeight="1" x14ac:dyDescent="0.2">
      <c r="A21" s="193" t="s">
        <v>8</v>
      </c>
      <c r="B21" s="4" t="s">
        <v>9</v>
      </c>
    </row>
    <row r="22" spans="1:2" ht="15" customHeight="1" x14ac:dyDescent="0.2">
      <c r="A22" s="193" t="s">
        <v>10</v>
      </c>
      <c r="B22" s="4" t="s">
        <v>248</v>
      </c>
    </row>
    <row r="23" spans="1:2" ht="31.5" customHeight="1" x14ac:dyDescent="0.2"/>
    <row r="24" spans="1:2" ht="48" customHeight="1" x14ac:dyDescent="0.2"/>
  </sheetData>
  <mergeCells count="9">
    <mergeCell ref="A1:B3"/>
    <mergeCell ref="A17:A18"/>
    <mergeCell ref="A20:B20"/>
    <mergeCell ref="A4:B4"/>
    <mergeCell ref="A6:B6"/>
    <mergeCell ref="A8:B8"/>
    <mergeCell ref="A10:B10"/>
    <mergeCell ref="A13:A16"/>
    <mergeCell ref="A12:B12"/>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DE406"/>
  </sheetPr>
  <dimension ref="A1:B42"/>
  <sheetViews>
    <sheetView workbookViewId="0">
      <selection activeCell="E46" sqref="E46"/>
    </sheetView>
  </sheetViews>
  <sheetFormatPr baseColWidth="10" defaultColWidth="8.83203125" defaultRowHeight="15" x14ac:dyDescent="0.2"/>
  <cols>
    <col min="1" max="1" width="12.5" style="149" bestFit="1" customWidth="1"/>
    <col min="2" max="2" width="10.1640625" style="149" bestFit="1" customWidth="1"/>
    <col min="3" max="3" width="8.83203125" style="149" customWidth="1"/>
    <col min="4" max="16384" width="8.83203125" style="149"/>
  </cols>
  <sheetData>
    <row r="1" spans="1:2" x14ac:dyDescent="0.2">
      <c r="A1" s="151" t="s">
        <v>53</v>
      </c>
      <c r="B1" s="151" t="s">
        <v>54</v>
      </c>
    </row>
    <row r="2" spans="1:2" x14ac:dyDescent="0.2">
      <c r="A2" s="150" t="s">
        <v>12</v>
      </c>
      <c r="B2" s="150" t="s">
        <v>55</v>
      </c>
    </row>
    <row r="3" spans="1:2" x14ac:dyDescent="0.2">
      <c r="A3" s="150" t="s">
        <v>13</v>
      </c>
      <c r="B3" s="150" t="s">
        <v>56</v>
      </c>
    </row>
    <row r="4" spans="1:2" x14ac:dyDescent="0.2">
      <c r="A4" s="150" t="s">
        <v>14</v>
      </c>
      <c r="B4" s="150" t="s">
        <v>57</v>
      </c>
    </row>
    <row r="5" spans="1:2" x14ac:dyDescent="0.2">
      <c r="A5" s="150" t="s">
        <v>15</v>
      </c>
      <c r="B5" s="150" t="s">
        <v>58</v>
      </c>
    </row>
    <row r="6" spans="1:2" x14ac:dyDescent="0.2">
      <c r="A6" s="150" t="s">
        <v>16</v>
      </c>
      <c r="B6" s="150" t="s">
        <v>59</v>
      </c>
    </row>
    <row r="7" spans="1:2" x14ac:dyDescent="0.2">
      <c r="A7" s="150" t="s">
        <v>17</v>
      </c>
      <c r="B7" s="150" t="s">
        <v>17</v>
      </c>
    </row>
    <row r="8" spans="1:2" x14ac:dyDescent="0.2">
      <c r="A8" s="150" t="s">
        <v>18</v>
      </c>
      <c r="B8" s="150" t="s">
        <v>60</v>
      </c>
    </row>
    <row r="9" spans="1:2" x14ac:dyDescent="0.2">
      <c r="A9" s="150" t="s">
        <v>19</v>
      </c>
      <c r="B9" s="150" t="s">
        <v>61</v>
      </c>
    </row>
    <row r="10" spans="1:2" x14ac:dyDescent="0.2">
      <c r="A10" s="150" t="s">
        <v>20</v>
      </c>
      <c r="B10" s="150" t="s">
        <v>62</v>
      </c>
    </row>
    <row r="11" spans="1:2" x14ac:dyDescent="0.2">
      <c r="A11" s="150" t="s">
        <v>21</v>
      </c>
      <c r="B11" s="150" t="s">
        <v>63</v>
      </c>
    </row>
    <row r="12" spans="1:2" x14ac:dyDescent="0.2">
      <c r="A12" s="150" t="s">
        <v>22</v>
      </c>
      <c r="B12" s="150" t="s">
        <v>22</v>
      </c>
    </row>
    <row r="13" spans="1:2" x14ac:dyDescent="0.2">
      <c r="A13" s="150" t="s">
        <v>23</v>
      </c>
      <c r="B13" s="150" t="s">
        <v>64</v>
      </c>
    </row>
    <row r="14" spans="1:2" x14ac:dyDescent="0.2">
      <c r="A14" s="150" t="s">
        <v>24</v>
      </c>
      <c r="B14" s="150" t="s">
        <v>65</v>
      </c>
    </row>
    <row r="15" spans="1:2" x14ac:dyDescent="0.2">
      <c r="A15" s="150" t="s">
        <v>25</v>
      </c>
      <c r="B15" s="150" t="s">
        <v>66</v>
      </c>
    </row>
    <row r="16" spans="1:2" x14ac:dyDescent="0.2">
      <c r="A16" s="150" t="s">
        <v>26</v>
      </c>
      <c r="B16" s="150" t="s">
        <v>67</v>
      </c>
    </row>
    <row r="17" spans="1:2" x14ac:dyDescent="0.2">
      <c r="A17" s="150" t="s">
        <v>27</v>
      </c>
      <c r="B17" s="150" t="s">
        <v>68</v>
      </c>
    </row>
    <row r="18" spans="1:2" x14ac:dyDescent="0.2">
      <c r="A18" s="150" t="s">
        <v>28</v>
      </c>
      <c r="B18" s="150" t="s">
        <v>69</v>
      </c>
    </row>
    <row r="19" spans="1:2" x14ac:dyDescent="0.2">
      <c r="A19" s="150" t="s">
        <v>29</v>
      </c>
      <c r="B19" s="150" t="s">
        <v>70</v>
      </c>
    </row>
    <row r="20" spans="1:2" x14ac:dyDescent="0.2">
      <c r="A20" s="150" t="s">
        <v>30</v>
      </c>
      <c r="B20" s="150" t="s">
        <v>71</v>
      </c>
    </row>
    <row r="21" spans="1:2" x14ac:dyDescent="0.2">
      <c r="A21" s="150" t="s">
        <v>31</v>
      </c>
      <c r="B21" s="150" t="s">
        <v>72</v>
      </c>
    </row>
    <row r="22" spans="1:2" x14ac:dyDescent="0.2">
      <c r="A22" s="150" t="s">
        <v>32</v>
      </c>
      <c r="B22" s="150" t="s">
        <v>73</v>
      </c>
    </row>
    <row r="23" spans="1:2" x14ac:dyDescent="0.2">
      <c r="A23" s="150" t="s">
        <v>33</v>
      </c>
      <c r="B23" s="150" t="s">
        <v>74</v>
      </c>
    </row>
    <row r="24" spans="1:2" x14ac:dyDescent="0.2">
      <c r="A24" s="150" t="s">
        <v>34</v>
      </c>
      <c r="B24" s="150" t="s">
        <v>75</v>
      </c>
    </row>
    <row r="25" spans="1:2" x14ac:dyDescent="0.2">
      <c r="A25" s="150" t="s">
        <v>35</v>
      </c>
      <c r="B25" s="150" t="s">
        <v>76</v>
      </c>
    </row>
    <row r="26" spans="1:2" x14ac:dyDescent="0.2">
      <c r="A26" s="150" t="s">
        <v>36</v>
      </c>
      <c r="B26" s="150" t="s">
        <v>77</v>
      </c>
    </row>
    <row r="27" spans="1:2" x14ac:dyDescent="0.2">
      <c r="A27" s="150" t="s">
        <v>37</v>
      </c>
      <c r="B27" s="150" t="s">
        <v>37</v>
      </c>
    </row>
    <row r="28" spans="1:2" x14ac:dyDescent="0.2">
      <c r="A28" s="150" t="s">
        <v>38</v>
      </c>
      <c r="B28" s="150" t="s">
        <v>78</v>
      </c>
    </row>
    <row r="29" spans="1:2" x14ac:dyDescent="0.2">
      <c r="A29" s="150" t="s">
        <v>39</v>
      </c>
      <c r="B29" s="150" t="s">
        <v>79</v>
      </c>
    </row>
    <row r="30" spans="1:2" x14ac:dyDescent="0.2">
      <c r="A30" s="150" t="s">
        <v>40</v>
      </c>
      <c r="B30" s="150" t="s">
        <v>80</v>
      </c>
    </row>
    <row r="31" spans="1:2" x14ac:dyDescent="0.2">
      <c r="A31" s="150" t="s">
        <v>41</v>
      </c>
      <c r="B31" s="150" t="s">
        <v>81</v>
      </c>
    </row>
    <row r="32" spans="1:2" x14ac:dyDescent="0.2">
      <c r="A32" s="150" t="s">
        <v>42</v>
      </c>
      <c r="B32" s="150" t="s">
        <v>82</v>
      </c>
    </row>
    <row r="33" spans="1:2" x14ac:dyDescent="0.2">
      <c r="A33" s="150" t="s">
        <v>43</v>
      </c>
      <c r="B33" s="150" t="s">
        <v>83</v>
      </c>
    </row>
    <row r="34" spans="1:2" x14ac:dyDescent="0.2">
      <c r="A34" s="150" t="s">
        <v>44</v>
      </c>
      <c r="B34" s="150" t="s">
        <v>84</v>
      </c>
    </row>
    <row r="35" spans="1:2" x14ac:dyDescent="0.2">
      <c r="A35" s="150" t="s">
        <v>45</v>
      </c>
      <c r="B35" s="150" t="s">
        <v>85</v>
      </c>
    </row>
    <row r="36" spans="1:2" x14ac:dyDescent="0.2">
      <c r="A36" s="150" t="s">
        <v>46</v>
      </c>
      <c r="B36" s="150" t="s">
        <v>86</v>
      </c>
    </row>
    <row r="37" spans="1:2" x14ac:dyDescent="0.2">
      <c r="A37" s="150" t="s">
        <v>47</v>
      </c>
      <c r="B37" s="150" t="s">
        <v>87</v>
      </c>
    </row>
    <row r="38" spans="1:2" x14ac:dyDescent="0.2">
      <c r="A38" s="150" t="s">
        <v>48</v>
      </c>
      <c r="B38" s="150" t="s">
        <v>88</v>
      </c>
    </row>
    <row r="39" spans="1:2" x14ac:dyDescent="0.2">
      <c r="A39" s="150" t="s">
        <v>49</v>
      </c>
      <c r="B39" s="150" t="s">
        <v>89</v>
      </c>
    </row>
    <row r="40" spans="1:2" x14ac:dyDescent="0.2">
      <c r="A40" s="150" t="s">
        <v>50</v>
      </c>
      <c r="B40" s="150" t="s">
        <v>90</v>
      </c>
    </row>
    <row r="41" spans="1:2" x14ac:dyDescent="0.2">
      <c r="A41" s="150" t="s">
        <v>51</v>
      </c>
      <c r="B41" s="150" t="s">
        <v>91</v>
      </c>
    </row>
    <row r="42" spans="1:2" x14ac:dyDescent="0.2">
      <c r="A42" s="150" t="s">
        <v>52</v>
      </c>
      <c r="B42" s="150" t="s">
        <v>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J42"/>
  <sheetViews>
    <sheetView workbookViewId="0">
      <selection activeCell="H42" sqref="H42"/>
    </sheetView>
  </sheetViews>
  <sheetFormatPr baseColWidth="10" defaultColWidth="8.83203125" defaultRowHeight="15" x14ac:dyDescent="0.2"/>
  <cols>
    <col min="1" max="1" width="15.6640625" bestFit="1" customWidth="1"/>
    <col min="2" max="8" width="12.1640625" bestFit="1" customWidth="1"/>
  </cols>
  <sheetData>
    <row r="1" spans="1:10" ht="44" customHeight="1" thickBot="1" x14ac:dyDescent="0.3">
      <c r="A1" s="153" t="s">
        <v>11</v>
      </c>
      <c r="B1" s="154">
        <v>2020</v>
      </c>
      <c r="C1" s="154">
        <v>2025</v>
      </c>
      <c r="D1" s="154">
        <v>2030</v>
      </c>
      <c r="E1" s="154">
        <v>2035</v>
      </c>
      <c r="F1" s="154">
        <v>2040</v>
      </c>
      <c r="G1" s="154">
        <v>2045</v>
      </c>
      <c r="H1" s="154">
        <v>2050</v>
      </c>
    </row>
    <row r="2" spans="1:10" ht="16" thickTop="1" x14ac:dyDescent="0.2">
      <c r="A2" s="155" t="s">
        <v>12</v>
      </c>
      <c r="B2" s="152">
        <f>MiningCapacity_Results!C2*0.003*(1-RoE_Demand!B2)</f>
        <v>44339.874117675077</v>
      </c>
      <c r="C2" s="152">
        <f>MiningCapacity_Results!D2*0.003*(1-RoE_Demand!C2)</f>
        <v>59673.352400837066</v>
      </c>
      <c r="D2" s="152">
        <f>MiningCapacity_Results!E2*0.003*(1-RoE_Demand!D2)</f>
        <v>80309.406772425005</v>
      </c>
      <c r="E2" s="152">
        <f>MiningCapacity_Results!F2*0.003*(1-RoE_Demand!E2)</f>
        <v>108081.75771348746</v>
      </c>
      <c r="F2" s="152">
        <f>MiningCapacity_Results!G2*0.003*(1-RoE_Demand!F2)</f>
        <v>145458.25725670802</v>
      </c>
      <c r="G2" s="152">
        <f>MiningCapacity_Results!H2*0.003*(1-RoE_Demand!G2)</f>
        <v>195760.18240049676</v>
      </c>
      <c r="H2" s="152">
        <f>MiningCapacity_Results!I2*0.003*(1-RoE_Demand!H2)</f>
        <v>263457.36389405624</v>
      </c>
      <c r="J2" s="165"/>
    </row>
    <row r="3" spans="1:10" x14ac:dyDescent="0.2">
      <c r="A3" s="156" t="s">
        <v>13</v>
      </c>
      <c r="B3" s="152">
        <f>MiningCapacity_Results!C3*0.003*(1-RoE_Demand!B3)</f>
        <v>103.85256564000011</v>
      </c>
      <c r="C3" s="152">
        <f>MiningCapacity_Results!D3*0.003*(1-RoE_Demand!C3)</f>
        <v>132.36637148530494</v>
      </c>
      <c r="D3" s="152">
        <f>MiningCapacity_Results!E3*0.003*(1-RoE_Demand!D3)</f>
        <v>168.70894033490654</v>
      </c>
      <c r="E3" s="152">
        <f>MiningCapacity_Results!F3*0.003*(1-RoE_Demand!E3)</f>
        <v>215.02974078342064</v>
      </c>
      <c r="F3" s="152">
        <f>MiningCapacity_Results!G3*0.003*(1-RoE_Demand!F3)</f>
        <v>274.06840046293797</v>
      </c>
      <c r="G3" s="152">
        <f>MiningCapacity_Results!H3*0.003*(1-RoE_Demand!G3)</f>
        <v>349.31674036647797</v>
      </c>
      <c r="H3" s="152">
        <f>MiningCapacity_Results!I3*0.003*(1-RoE_Demand!H3)</f>
        <v>445.22529738616242</v>
      </c>
      <c r="J3" s="165"/>
    </row>
    <row r="4" spans="1:10" x14ac:dyDescent="0.2">
      <c r="A4" s="156" t="s">
        <v>14</v>
      </c>
      <c r="B4" s="152">
        <f>MiningCapacity_Results!C4*0.003*(1-RoE_Demand!B4)</f>
        <v>0.64165236059686048</v>
      </c>
      <c r="C4" s="152">
        <f>MiningCapacity_Results!D4*0.003*(1-RoE_Demand!C4)</f>
        <v>0.76961076226507419</v>
      </c>
      <c r="D4" s="152">
        <f>MiningCapacity_Results!E4*0.003*(1-RoE_Demand!D4)</f>
        <v>0.92308664592658041</v>
      </c>
      <c r="E4" s="152">
        <f>MiningCapacity_Results!F4*0.003*(1-RoE_Demand!E4)</f>
        <v>1.1071687113368385</v>
      </c>
      <c r="F4" s="152">
        <f>MiningCapacity_Results!G4*0.003*(1-RoE_Demand!F4)</f>
        <v>1.3279604474537849</v>
      </c>
      <c r="G4" s="152">
        <f>MiningCapacity_Results!H4*0.003*(1-RoE_Demand!G4)</f>
        <v>1.5927825018396384</v>
      </c>
      <c r="H4" s="152">
        <f>MiningCapacity_Results!I4*0.003*(1-RoE_Demand!H4)</f>
        <v>1.9104154065965342</v>
      </c>
      <c r="J4" s="165"/>
    </row>
    <row r="5" spans="1:10" x14ac:dyDescent="0.2">
      <c r="A5" s="156" t="s">
        <v>15</v>
      </c>
      <c r="B5" s="152">
        <f>MiningCapacity_Results!C5*0.003*(1-RoE_Demand!B5)</f>
        <v>19806.378205828434</v>
      </c>
      <c r="C5" s="152">
        <f>MiningCapacity_Results!D5*0.003*(1-RoE_Demand!C5)</f>
        <v>27544.251487715163</v>
      </c>
      <c r="D5" s="152">
        <f>MiningCapacity_Results!E5*0.003*(1-RoE_Demand!D5)</f>
        <v>38305.124850904853</v>
      </c>
      <c r="E5" s="152">
        <f>MiningCapacity_Results!F5*0.003*(1-RoE_Demand!E5)</f>
        <v>53270.011366902603</v>
      </c>
      <c r="F5" s="152">
        <f>MiningCapacity_Results!G5*0.003*(1-RoE_Demand!F5)</f>
        <v>74081.317371372585</v>
      </c>
      <c r="G5" s="152">
        <f>MiningCapacity_Results!H5*0.003*(1-RoE_Demand!G5)</f>
        <v>103023.09766143236</v>
      </c>
      <c r="H5" s="152">
        <f>MiningCapacity_Results!I5*0.003*(1-RoE_Demand!H5)</f>
        <v>143271.73204209958</v>
      </c>
      <c r="J5" s="165"/>
    </row>
    <row r="6" spans="1:10" x14ac:dyDescent="0.2">
      <c r="A6" s="156" t="s">
        <v>16</v>
      </c>
      <c r="B6" s="152">
        <f>MiningCapacity_Results!C6*0.003*(1-RoE_Demand!B6)</f>
        <v>183.18</v>
      </c>
      <c r="C6" s="152">
        <f>MiningCapacity_Results!D6*0.003*(1-RoE_Demand!C6)</f>
        <v>323.79000000000002</v>
      </c>
      <c r="D6" s="152">
        <f>MiningCapacity_Results!E6*0.003*(1-RoE_Demand!D6)</f>
        <v>615.6</v>
      </c>
      <c r="E6" s="152">
        <f>MiningCapacity_Results!F6*0.003*(1-RoE_Demand!E6)</f>
        <v>529.245</v>
      </c>
      <c r="F6" s="152">
        <f>MiningCapacity_Results!G6*0.003*(1-RoE_Demand!F6)</f>
        <v>442.89000000000004</v>
      </c>
      <c r="G6" s="152">
        <f>MiningCapacity_Results!H6*0.003*(1-RoE_Demand!G6)</f>
        <v>647.74979147151112</v>
      </c>
      <c r="H6" s="152">
        <f>MiningCapacity_Results!I6*0.003*(1-RoE_Demand!H6)</f>
        <v>947.36795220345005</v>
      </c>
      <c r="J6" s="165"/>
    </row>
    <row r="7" spans="1:10" x14ac:dyDescent="0.2">
      <c r="A7" s="156" t="s">
        <v>17</v>
      </c>
      <c r="B7" s="93"/>
      <c r="C7" s="5"/>
      <c r="D7" s="5"/>
      <c r="E7" s="5"/>
      <c r="F7" s="5"/>
      <c r="G7" s="5"/>
      <c r="H7" s="5"/>
      <c r="J7" s="165"/>
    </row>
    <row r="8" spans="1:10" x14ac:dyDescent="0.2">
      <c r="A8" s="156" t="s">
        <v>18</v>
      </c>
      <c r="B8" s="93">
        <f>MiningCapacity_Results!C7*0.003*(1-RoE_Demand!B8)</f>
        <v>12359.999999999996</v>
      </c>
      <c r="C8" s="93">
        <f>MiningCapacity_Results!D7*0.003*(1-RoE_Demand!C8)</f>
        <v>13469.999999999996</v>
      </c>
      <c r="D8" s="93">
        <f>MiningCapacity_Results!E7*0.003*(1-RoE_Demand!D8)</f>
        <v>14579.999999999996</v>
      </c>
      <c r="E8" s="93">
        <f>MiningCapacity_Results!F7*0.003*(1-RoE_Demand!E8)</f>
        <v>15337.5</v>
      </c>
      <c r="F8" s="93">
        <f>MiningCapacity_Results!G7*0.003*(1-RoE_Demand!F8)</f>
        <v>12450</v>
      </c>
      <c r="G8" s="93">
        <f>MiningCapacity_Results!H7*0.003*(1-RoE_Demand!G8)</f>
        <v>14178.560932100509</v>
      </c>
      <c r="H8" s="93">
        <f>MiningCapacity_Results!I7*0.003*(1-RoE_Demand!H8)</f>
        <v>16147.115671107375</v>
      </c>
      <c r="J8" s="165"/>
    </row>
    <row r="9" spans="1:10" x14ac:dyDescent="0.2">
      <c r="A9" s="156" t="s">
        <v>19</v>
      </c>
      <c r="B9" s="93">
        <f>MiningCapacity_Results!C8*0.003*(1-RoE_Demand!B9)</f>
        <v>0.84648175605207743</v>
      </c>
      <c r="C9" s="93">
        <f>MiningCapacity_Results!D8*0.003*(1-RoE_Demand!C9)</f>
        <v>1.3103796746931549</v>
      </c>
      <c r="D9" s="93">
        <f>MiningCapacity_Results!E8*0.003*(1-RoE_Demand!D9)</f>
        <v>1.9721604152530561</v>
      </c>
      <c r="E9" s="93">
        <f>MiningCapacity_Results!F8*0.003*(1-RoE_Demand!E9)</f>
        <v>2.9075854319028678</v>
      </c>
      <c r="F9" s="93">
        <f>MiningCapacity_Results!G8*0.003*(1-RoE_Demand!F9)</f>
        <v>4.2197168144338644</v>
      </c>
      <c r="G9" s="93">
        <f>MiningCapacity_Results!H8*0.003*(1-RoE_Demand!G9)</f>
        <v>6.0483803905393403</v>
      </c>
      <c r="H9" s="93">
        <f>MiningCapacity_Results!I8*0.003*(1-RoE_Demand!H9)</f>
        <v>8.5828215228308515</v>
      </c>
      <c r="J9" s="165"/>
    </row>
    <row r="10" spans="1:10" x14ac:dyDescent="0.2">
      <c r="A10" s="156" t="s">
        <v>20</v>
      </c>
      <c r="B10" s="93">
        <f>MiningCapacity_Results!C9*0.003*(1-RoE_Demand!B10)</f>
        <v>0.11688705000000009</v>
      </c>
      <c r="C10" s="93">
        <f>MiningCapacity_Results!D9*0.003*(1-RoE_Demand!C10)</f>
        <v>0.15730856851855232</v>
      </c>
      <c r="D10" s="93">
        <f>MiningCapacity_Results!E9*0.003*(1-RoE_Demand!D10)</f>
        <v>0.2117085316923992</v>
      </c>
      <c r="E10" s="93">
        <f>MiningCapacity_Results!F9*0.003*(1-RoE_Demand!E10)</f>
        <v>0.28492092206703645</v>
      </c>
      <c r="F10" s="93">
        <f>MiningCapacity_Results!G9*0.003*(1-RoE_Demand!F10)</f>
        <v>0.3834513950976724</v>
      </c>
      <c r="G10" s="93">
        <f>MiningCapacity_Results!H9*0.003*(1-RoE_Demand!G10)</f>
        <v>0.51605537191037454</v>
      </c>
      <c r="H10" s="93">
        <f>MiningCapacity_Results!I9*0.003*(1-RoE_Demand!H10)</f>
        <v>0.69451604631590924</v>
      </c>
      <c r="J10" s="165"/>
    </row>
    <row r="11" spans="1:10" x14ac:dyDescent="0.2">
      <c r="A11" s="156" t="s">
        <v>21</v>
      </c>
      <c r="B11" s="93">
        <f>MiningCapacity_Results!C10*0.003*(1-RoE_Demand!B11)</f>
        <v>6.2243999999999959E-2</v>
      </c>
      <c r="C11" s="93">
        <f>MiningCapacity_Results!D10*0.003*(1-RoE_Demand!C11)</f>
        <v>7.4656707008554646E-2</v>
      </c>
      <c r="D11" s="93">
        <f>MiningCapacity_Results!E10*0.003*(1-RoE_Demand!D11)</f>
        <v>8.9544757749520851E-2</v>
      </c>
      <c r="E11" s="93">
        <f>MiningCapacity_Results!F10*0.003*(1-RoE_Demand!E11)</f>
        <v>0.10740178560918304</v>
      </c>
      <c r="F11" s="93">
        <f>MiningCapacity_Results!G10*0.003*(1-RoE_Demand!F11)</f>
        <v>0.1288198644113551</v>
      </c>
      <c r="G11" s="93">
        <f>MiningCapacity_Results!H10*0.003*(1-RoE_Demand!G11)</f>
        <v>0.15450913942292074</v>
      </c>
      <c r="H11" s="93">
        <f>MiningCapacity_Results!I10*0.003*(1-RoE_Demand!H11)</f>
        <v>0.18532137317718853</v>
      </c>
      <c r="J11" s="165"/>
    </row>
    <row r="12" spans="1:10" x14ac:dyDescent="0.2">
      <c r="A12" s="156" t="s">
        <v>22</v>
      </c>
      <c r="B12" s="93"/>
      <c r="C12" s="5"/>
      <c r="D12" s="5"/>
      <c r="E12" s="5"/>
      <c r="F12" s="5"/>
      <c r="G12" s="5"/>
      <c r="H12" s="5"/>
      <c r="J12" s="165"/>
    </row>
    <row r="13" spans="1:10" x14ac:dyDescent="0.2">
      <c r="A13" s="156" t="s">
        <v>23</v>
      </c>
      <c r="B13" s="93">
        <f>MiningCapacity_Results!C11*0.003*(1-RoE_Demand!B13)</f>
        <v>1.1248471467391314E-2</v>
      </c>
      <c r="C13" s="93">
        <f>MiningCapacity_Results!D11*0.003*(1-RoE_Demand!C13)</f>
        <v>1.5922775376010202E-2</v>
      </c>
      <c r="D13" s="93">
        <f>MiningCapacity_Results!E11*0.003*(1-RoE_Demand!D13)</f>
        <v>2.2539486934723522E-2</v>
      </c>
      <c r="E13" s="93">
        <f>MiningCapacity_Results!F11*0.003*(1-RoE_Demand!E13)</f>
        <v>3.1905773917151735E-2</v>
      </c>
      <c r="F13" s="93">
        <f>MiningCapacity_Results!G11*0.003*(1-RoE_Demand!F13)</f>
        <v>4.5164222779363238E-2</v>
      </c>
      <c r="G13" s="93">
        <f>MiningCapacity_Results!H11*0.003*(1-RoE_Demand!G13)</f>
        <v>6.3932221940788042E-2</v>
      </c>
      <c r="H13" s="93">
        <f>MiningCapacity_Results!I11*0.003*(1-RoE_Demand!H13)</f>
        <v>9.0499265807221882E-2</v>
      </c>
      <c r="J13" s="165"/>
    </row>
    <row r="14" spans="1:10" x14ac:dyDescent="0.2">
      <c r="A14" s="156" t="s">
        <v>24</v>
      </c>
      <c r="B14" s="93">
        <f>MiningCapacity_Results!C12*0.003*(1-RoE_Demand!B14)</f>
        <v>0.24179999999999996</v>
      </c>
      <c r="C14" s="93">
        <f>MiningCapacity_Results!D12*0.003*(1-RoE_Demand!C14)</f>
        <v>0.2832688185083887</v>
      </c>
      <c r="D14" s="93">
        <f>MiningCapacity_Results!E12*0.003*(1-RoE_Demand!D14)</f>
        <v>0.33184955971521296</v>
      </c>
      <c r="E14" s="93">
        <f>MiningCapacity_Results!F12*0.003*(1-RoE_Demand!E14)</f>
        <v>0.37436486973969907</v>
      </c>
      <c r="F14" s="93">
        <f>MiningCapacity_Results!G12*0.003*(1-RoE_Demand!F14)</f>
        <v>0.42232708042612793</v>
      </c>
      <c r="G14" s="93">
        <f>MiningCapacity_Results!H12*0.003*(1-RoE_Demand!G14)</f>
        <v>0.50359832752130396</v>
      </c>
      <c r="H14" s="93">
        <f>MiningCapacity_Results!I12*0.003*(1-RoE_Demand!H14)</f>
        <v>0.60050914856409587</v>
      </c>
      <c r="J14" s="165"/>
    </row>
    <row r="15" spans="1:10" x14ac:dyDescent="0.2">
      <c r="A15" s="156" t="s">
        <v>25</v>
      </c>
      <c r="B15" s="93">
        <f>MiningCapacity_Results!C13*0.003*(1-RoE_Demand!B15)</f>
        <v>5.4000000000000055E-4</v>
      </c>
      <c r="C15" s="93">
        <f>MiningCapacity_Results!D13*0.003*(1-RoE_Demand!C15)</f>
        <v>6.2905278036644199E-4</v>
      </c>
      <c r="D15" s="93">
        <f>MiningCapacity_Results!E13*0.003*(1-RoE_Demand!D15)</f>
        <v>7.3279148238287149E-4</v>
      </c>
      <c r="E15" s="93">
        <f>MiningCapacity_Results!F13*0.003*(1-RoE_Demand!E15)</f>
        <v>8.5363799892924355E-4</v>
      </c>
      <c r="F15" s="93">
        <f>MiningCapacity_Results!G13*0.003*(1-RoE_Demand!F15)</f>
        <v>9.9441362343127035E-4</v>
      </c>
      <c r="G15" s="93">
        <f>MiningCapacity_Results!H13*0.003*(1-RoE_Demand!G15)</f>
        <v>1.1584049160253853E-3</v>
      </c>
      <c r="H15" s="93">
        <f>MiningCapacity_Results!I13*0.003*(1-RoE_Demand!H15)</f>
        <v>1.3494404318813381E-3</v>
      </c>
      <c r="J15" s="165"/>
    </row>
    <row r="16" spans="1:10" x14ac:dyDescent="0.2">
      <c r="A16" s="156" t="s">
        <v>26</v>
      </c>
      <c r="B16" s="93">
        <f>MiningCapacity_Results!C14*0.003*(1-RoE_Demand!B16)</f>
        <v>889200</v>
      </c>
      <c r="C16" s="93">
        <f>MiningCapacity_Results!D14*0.003*(1-RoE_Demand!C16)</f>
        <v>1073067.9328719468</v>
      </c>
      <c r="D16" s="93">
        <f>MiningCapacity_Results!E14*0.003*(1-RoE_Demand!D16)</f>
        <v>1294955.9025619356</v>
      </c>
      <c r="E16" s="93">
        <f>MiningCapacity_Results!F14*0.003*(1-RoE_Demand!E16)</f>
        <v>1562725.6562330904</v>
      </c>
      <c r="F16" s="93">
        <f>MiningCapacity_Results!G14*0.003*(1-RoE_Demand!F16)</f>
        <v>1885864.5856725157</v>
      </c>
      <c r="G16" s="93">
        <f>MiningCapacity_Results!H14*0.003*(1-RoE_Demand!G16)</f>
        <v>2275821.8765452285</v>
      </c>
      <c r="H16" s="93">
        <f>MiningCapacity_Results!I14*0.003*(1-RoE_Demand!H16)</f>
        <v>2746414.1662720921</v>
      </c>
      <c r="J16" s="165"/>
    </row>
    <row r="17" spans="1:10" x14ac:dyDescent="0.2">
      <c r="A17" s="156" t="s">
        <v>27</v>
      </c>
      <c r="B17" s="93">
        <f>MiningCapacity_Results!C15*0.003*(1-RoE_Demand!B17)</f>
        <v>448.06178755074791</v>
      </c>
      <c r="C17" s="93">
        <f>MiningCapacity_Results!D15*0.003*(1-RoE_Demand!C17)</f>
        <v>487.07994167955275</v>
      </c>
      <c r="D17" s="93">
        <f>MiningCapacity_Results!E15*0.003*(1-RoE_Demand!D17)</f>
        <v>529.49587797572599</v>
      </c>
      <c r="E17" s="93">
        <f>MiningCapacity_Results!F15*0.003*(1-RoE_Demand!E17)</f>
        <v>575.60548239068339</v>
      </c>
      <c r="F17" s="93">
        <f>MiningCapacity_Results!G15*0.003*(1-RoE_Demand!F17)</f>
        <v>625.73040724105545</v>
      </c>
      <c r="G17" s="93">
        <f>MiningCapacity_Results!H15*0.003*(1-RoE_Demand!G17)</f>
        <v>680.22031499746311</v>
      </c>
      <c r="H17" s="93">
        <f>MiningCapacity_Results!I15*0.003*(1-RoE_Demand!H17)</f>
        <v>739.45531746709264</v>
      </c>
      <c r="J17" s="165"/>
    </row>
    <row r="18" spans="1:10" x14ac:dyDescent="0.2">
      <c r="A18" s="156" t="s">
        <v>28</v>
      </c>
      <c r="B18" s="93">
        <f>MiningCapacity_Results!C16*0.003*(1-RoE_Demand!B18)</f>
        <v>1.4719604400000017</v>
      </c>
      <c r="C18" s="93">
        <f>MiningCapacity_Results!D16*0.003*(1-RoE_Demand!C18)</f>
        <v>1.7482272570419495</v>
      </c>
      <c r="D18" s="93">
        <f>MiningCapacity_Results!E16*0.003*(1-RoE_Demand!D18)</f>
        <v>2.0763455723473223</v>
      </c>
      <c r="E18" s="93">
        <f>MiningCapacity_Results!F16*0.003*(1-RoE_Demand!E18)</f>
        <v>2.4660472020674367</v>
      </c>
      <c r="F18" s="93">
        <f>MiningCapacity_Results!G16*0.003*(1-RoE_Demand!F18)</f>
        <v>2.9288904909742848</v>
      </c>
      <c r="G18" s="93">
        <f>MiningCapacity_Results!H16*0.003*(1-RoE_Demand!G18)</f>
        <v>3.4786031268695083</v>
      </c>
      <c r="H18" s="93">
        <f>MiningCapacity_Results!I16*0.003*(1-RoE_Demand!H18)</f>
        <v>4.1314892965633128</v>
      </c>
      <c r="J18" s="165"/>
    </row>
    <row r="19" spans="1:10" x14ac:dyDescent="0.2">
      <c r="A19" s="156" t="s">
        <v>29</v>
      </c>
      <c r="B19" s="93">
        <f>MiningCapacity_Results!C17*0.003*(1-RoE_Demand!B19)</f>
        <v>87.614999999999995</v>
      </c>
      <c r="C19" s="93">
        <f>MiningCapacity_Results!D17*0.003*(1-RoE_Demand!C19)</f>
        <v>316.36395900000002</v>
      </c>
      <c r="D19" s="93">
        <f>MiningCapacity_Results!E17*0.003*(1-RoE_Demand!D19)</f>
        <v>708.64679340000009</v>
      </c>
      <c r="E19" s="93">
        <f>MiningCapacity_Results!F17*0.003*(1-RoE_Demand!E19)</f>
        <v>696.82705200000009</v>
      </c>
      <c r="F19" s="93">
        <f>MiningCapacity_Results!G17*0.003*(1-RoE_Demand!F19)</f>
        <v>666.83688000000006</v>
      </c>
      <c r="G19" s="93">
        <f>MiningCapacity_Results!H17*0.003*(1-RoE_Demand!G19)</f>
        <v>900.96999313446838</v>
      </c>
      <c r="H19" s="93">
        <f>MiningCapacity_Results!I17*0.003*(1-RoE_Demand!H19)</f>
        <v>1145.7031428788177</v>
      </c>
      <c r="J19" s="165"/>
    </row>
    <row r="20" spans="1:10" x14ac:dyDescent="0.2">
      <c r="A20" s="156" t="s">
        <v>30</v>
      </c>
      <c r="B20" s="93">
        <f>MiningCapacity_Results!C18*0.003*(1-RoE_Demand!B20)</f>
        <v>141.12000000000012</v>
      </c>
      <c r="C20" s="93">
        <f>MiningCapacity_Results!D18*0.003*(1-RoE_Demand!C20)</f>
        <v>185.3139694388461</v>
      </c>
      <c r="D20" s="93">
        <f>MiningCapacity_Results!E18*0.003*(1-RoE_Demand!D20)</f>
        <v>243.34798234964239</v>
      </c>
      <c r="E20" s="93">
        <f>MiningCapacity_Results!F18*0.003*(1-RoE_Demand!E20)</f>
        <v>319.55626816997199</v>
      </c>
      <c r="F20" s="93">
        <f>MiningCapacity_Results!G18*0.003*(1-RoE_Demand!F20)</f>
        <v>419.63038912728052</v>
      </c>
      <c r="G20" s="93">
        <f>MiningCapacity_Results!H18*0.003*(1-RoE_Demand!G20)</f>
        <v>551.04431056082672</v>
      </c>
      <c r="H20" s="93">
        <f>MiningCapacity_Results!I18*0.003*(1-RoE_Demand!H20)</f>
        <v>723.61258876643251</v>
      </c>
      <c r="J20" s="165"/>
    </row>
    <row r="21" spans="1:10" x14ac:dyDescent="0.2">
      <c r="A21" s="156" t="s">
        <v>31</v>
      </c>
      <c r="B21" s="93">
        <f>MiningCapacity_Results!C19*0.003*(1-RoE_Demand!B21)</f>
        <v>2733.7370558670177</v>
      </c>
      <c r="C21" s="93">
        <f>MiningCapacity_Results!D19*0.003*(1-RoE_Demand!C21)</f>
        <v>4852.2692904050391</v>
      </c>
      <c r="D21" s="93">
        <f>MiningCapacity_Results!E19*0.003*(1-RoE_Demand!D21)</f>
        <v>8788.3425245402686</v>
      </c>
      <c r="E21" s="93">
        <f>MiningCapacity_Results!F19*0.003*(1-RoE_Demand!E21)</f>
        <v>13370.521327896973</v>
      </c>
      <c r="F21" s="93">
        <f>MiningCapacity_Results!G19*0.003*(1-RoE_Demand!F21)</f>
        <v>18364.138828156643</v>
      </c>
      <c r="G21" s="93">
        <f>MiningCapacity_Results!H19*0.003*(1-RoE_Demand!G21)</f>
        <v>26864.489607057974</v>
      </c>
      <c r="H21" s="93">
        <f>MiningCapacity_Results!I19*0.003*(1-RoE_Demand!H21)</f>
        <v>34059.534951294685</v>
      </c>
      <c r="J21" s="165"/>
    </row>
    <row r="22" spans="1:10" x14ac:dyDescent="0.2">
      <c r="A22" s="156" t="s">
        <v>32</v>
      </c>
      <c r="B22" s="93">
        <f>MiningCapacity_Results!C20*0.003*(1-RoE_Demand!B22)</f>
        <v>126.26865000000002</v>
      </c>
      <c r="C22" s="93">
        <f>MiningCapacity_Results!D20*0.003*(1-RoE_Demand!C22)</f>
        <v>142.14602441370607</v>
      </c>
      <c r="D22" s="93">
        <f>MiningCapacity_Results!E20*0.003*(1-RoE_Demand!D22)</f>
        <v>213.35981925967016</v>
      </c>
      <c r="E22" s="93">
        <f>MiningCapacity_Results!F20*0.003*(1-RoE_Demand!E22)</f>
        <v>300.23535213797129</v>
      </c>
      <c r="F22" s="93">
        <f>MiningCapacity_Results!G20*0.003*(1-RoE_Demand!F22)</f>
        <v>337.98778790191949</v>
      </c>
      <c r="G22" s="93">
        <f>MiningCapacity_Results!H20*0.003*(1-RoE_Demand!G22)</f>
        <v>456.58478506556378</v>
      </c>
      <c r="H22" s="93">
        <f>MiningCapacity_Results!I20*0.003*(1-RoE_Demand!H22)</f>
        <v>513.99703730780641</v>
      </c>
      <c r="J22" s="165"/>
    </row>
    <row r="23" spans="1:10" x14ac:dyDescent="0.2">
      <c r="A23" s="156" t="s">
        <v>33</v>
      </c>
      <c r="B23" s="93">
        <f>MiningCapacity_Results!C21*0.003*(1-RoE_Demand!B23)</f>
        <v>15.791048516772051</v>
      </c>
      <c r="C23" s="93">
        <f>MiningCapacity_Results!D21*0.003*(1-RoE_Demand!C23)</f>
        <v>38.949962488760377</v>
      </c>
      <c r="D23" s="93">
        <f>MiningCapacity_Results!E21*0.003*(1-RoE_Demand!D23)</f>
        <v>70.026827191191884</v>
      </c>
      <c r="E23" s="93">
        <f>MiningCapacity_Results!F21*0.003*(1-RoE_Demand!E23)</f>
        <v>92.121129323172127</v>
      </c>
      <c r="F23" s="93">
        <f>MiningCapacity_Results!G21*0.003*(1-RoE_Demand!F23)</f>
        <v>121.18644822514574</v>
      </c>
      <c r="G23" s="93">
        <f>MiningCapacity_Results!H21*0.003*(1-RoE_Demand!G23)</f>
        <v>194.41734527359864</v>
      </c>
      <c r="H23" s="93">
        <f>MiningCapacity_Results!I21*0.003*(1-RoE_Demand!H23)</f>
        <v>255.75834469435651</v>
      </c>
      <c r="J23" s="165"/>
    </row>
    <row r="24" spans="1:10" x14ac:dyDescent="0.2">
      <c r="A24" s="156" t="s">
        <v>34</v>
      </c>
      <c r="B24" s="93">
        <f>MiningCapacity_Results!C22*0.003*(1-RoE_Demand!B24)</f>
        <v>711.31268814095085</v>
      </c>
      <c r="C24" s="93">
        <f>MiningCapacity_Results!D22*0.003*(1-RoE_Demand!C24)</f>
        <v>1775.1644137509652</v>
      </c>
      <c r="D24" s="93">
        <f>MiningCapacity_Results!E22*0.003*(1-RoE_Demand!D24)</f>
        <v>4522.9284871432656</v>
      </c>
      <c r="E24" s="93">
        <f>MiningCapacity_Results!F22*0.003*(1-RoE_Demand!E24)</f>
        <v>5509.8394180001806</v>
      </c>
      <c r="F24" s="93">
        <f>MiningCapacity_Results!G22*0.003*(1-RoE_Demand!F24)</f>
        <v>6235.179985847496</v>
      </c>
      <c r="G24" s="93">
        <f>MiningCapacity_Results!H22*0.003*(1-RoE_Demand!G24)</f>
        <v>7981.8580474037844</v>
      </c>
      <c r="H24" s="93">
        <f>MiningCapacity_Results!I22*0.003*(1-RoE_Demand!H24)</f>
        <v>10217.837822406498</v>
      </c>
      <c r="J24" s="165"/>
    </row>
    <row r="25" spans="1:10" x14ac:dyDescent="0.2">
      <c r="A25" s="156" t="s">
        <v>35</v>
      </c>
      <c r="B25" s="93">
        <f>MiningCapacity_Results!C23*0.003*(1-RoE_Demand!B25)</f>
        <v>18.327185340058705</v>
      </c>
      <c r="C25" s="93">
        <f>MiningCapacity_Results!D23*0.003*(1-RoE_Demand!C25)</f>
        <v>19.142217382236126</v>
      </c>
      <c r="D25" s="93">
        <f>MiningCapacity_Results!E23*0.003*(1-RoE_Demand!D25)</f>
        <v>19.993494882592227</v>
      </c>
      <c r="E25" s="93">
        <f>MiningCapacity_Results!F23*0.003*(1-RoE_Demand!E25)</f>
        <v>20.882629720379111</v>
      </c>
      <c r="F25" s="93">
        <f>MiningCapacity_Results!G23*0.003*(1-RoE_Demand!F25)</f>
        <v>21.811305457063796</v>
      </c>
      <c r="G25" s="93">
        <f>MiningCapacity_Results!H23*0.003*(1-RoE_Demand!G25)</f>
        <v>22.781280524122806</v>
      </c>
      <c r="H25" s="93">
        <f>MiningCapacity_Results!I23*0.003*(1-RoE_Demand!H25)</f>
        <v>23.794391552601834</v>
      </c>
      <c r="J25" s="165"/>
    </row>
    <row r="26" spans="1:10" x14ac:dyDescent="0.2">
      <c r="A26" s="156" t="s">
        <v>36</v>
      </c>
      <c r="B26" s="93">
        <f>MiningCapacity_Results!C24*0.003*(1-RoE_Demand!B26)</f>
        <v>0.46486507499999996</v>
      </c>
      <c r="C26" s="93">
        <f>MiningCapacity_Results!D24*0.003*(1-RoE_Demand!C26)</f>
        <v>0.46486507499999996</v>
      </c>
      <c r="D26" s="93">
        <f>MiningCapacity_Results!E24*0.003*(1-RoE_Demand!D26)</f>
        <v>0.43387406999999995</v>
      </c>
      <c r="E26" s="93">
        <f>MiningCapacity_Results!F24*0.003*(1-RoE_Demand!E26)</f>
        <v>0.37189205999999997</v>
      </c>
      <c r="F26" s="93">
        <f>MiningCapacity_Results!G24*0.003*(1-RoE_Demand!F26)</f>
        <v>0.30991004999999999</v>
      </c>
      <c r="G26" s="93">
        <f>MiningCapacity_Results!H24*0.003*(1-RoE_Demand!G26)</f>
        <v>0.24792804000000002</v>
      </c>
      <c r="H26" s="93">
        <f>MiningCapacity_Results!I24*0.003*(1-RoE_Demand!H26)</f>
        <v>0.21693703499999997</v>
      </c>
      <c r="J26" s="165"/>
    </row>
    <row r="27" spans="1:10" x14ac:dyDescent="0.2">
      <c r="A27" s="156" t="s">
        <v>37</v>
      </c>
      <c r="B27" s="93"/>
      <c r="C27" s="5"/>
      <c r="D27" s="5"/>
      <c r="E27" s="5"/>
      <c r="F27" s="5"/>
      <c r="G27" s="5"/>
      <c r="H27" s="5"/>
      <c r="J27" s="165"/>
    </row>
    <row r="28" spans="1:10" x14ac:dyDescent="0.2">
      <c r="A28" s="156" t="s">
        <v>38</v>
      </c>
      <c r="B28" s="93">
        <f>MiningCapacity_Results!C25*0.003*(1-RoE_Demand!B28)</f>
        <v>4.5242177317673828</v>
      </c>
      <c r="C28" s="93">
        <f>MiningCapacity_Results!D25*0.003*(1-RoE_Demand!C28)</f>
        <v>11.101796546695807</v>
      </c>
      <c r="D28" s="93">
        <f>MiningCapacity_Results!E25*0.003*(1-RoE_Demand!D28)</f>
        <v>19.856575920891157</v>
      </c>
      <c r="E28" s="93">
        <f>MiningCapacity_Results!F25*0.003*(1-RoE_Demand!E28)</f>
        <v>25.98680305944054</v>
      </c>
      <c r="F28" s="93">
        <f>MiningCapacity_Results!G25*0.003*(1-RoE_Demand!F28)</f>
        <v>34.00958634261049</v>
      </c>
      <c r="G28" s="93">
        <f>MiningCapacity_Results!H25*0.003*(1-RoE_Demand!G28)</f>
        <v>54.279519162177372</v>
      </c>
      <c r="H28" s="93">
        <f>MiningCapacity_Results!I25*0.003*(1-RoE_Demand!H28)</f>
        <v>71.036979399081005</v>
      </c>
      <c r="J28" s="165"/>
    </row>
    <row r="29" spans="1:10" x14ac:dyDescent="0.2">
      <c r="A29" s="156" t="s">
        <v>39</v>
      </c>
      <c r="B29" s="93">
        <f>MiningCapacity_Results!C26*0.003*(1-RoE_Demand!B29)</f>
        <v>0.18870000000000001</v>
      </c>
      <c r="C29" s="93">
        <f>MiningCapacity_Results!D26*0.003*(1-RoE_Demand!C29)</f>
        <v>0.20029700834737058</v>
      </c>
      <c r="D29" s="93">
        <f>MiningCapacity_Results!E26*0.003*(1-RoE_Demand!D29)</f>
        <v>0.21260673848917144</v>
      </c>
      <c r="E29" s="93">
        <f>MiningCapacity_Results!F26*0.003*(1-RoE_Demand!E29)</f>
        <v>0.22567299244235725</v>
      </c>
      <c r="F29" s="93">
        <f>MiningCapacity_Results!G26*0.003*(1-RoE_Demand!F29)</f>
        <v>0.23954226418125554</v>
      </c>
      <c r="G29" s="93">
        <f>MiningCapacity_Results!H26*0.003*(1-RoE_Demand!G29)</f>
        <v>0.25426390507822466</v>
      </c>
      <c r="H29" s="93">
        <f>MiningCapacity_Results!I26*0.003*(1-RoE_Demand!H29)</f>
        <v>0.26989029951186122</v>
      </c>
      <c r="J29" s="165"/>
    </row>
    <row r="30" spans="1:10" x14ac:dyDescent="0.2">
      <c r="A30" s="156" t="s">
        <v>40</v>
      </c>
      <c r="B30" s="93">
        <f>MiningCapacity_Results!C27*0.003*(1-RoE_Demand!B30)</f>
        <v>1.7921999999999996</v>
      </c>
      <c r="C30" s="93">
        <f>MiningCapacity_Results!D27*0.003*(1-RoE_Demand!C30)</f>
        <v>1.9531499999999997</v>
      </c>
      <c r="D30" s="93">
        <f>MiningCapacity_Results!E27*0.003*(1-RoE_Demand!D30)</f>
        <v>2.1140999999999996</v>
      </c>
      <c r="E30" s="93">
        <f>MiningCapacity_Results!F27*0.003*(1-RoE_Demand!E30)</f>
        <v>1.7791499999999996</v>
      </c>
      <c r="F30" s="93">
        <f>MiningCapacity_Results!G27*0.003*(1-RoE_Demand!F30)</f>
        <v>1.4441999999999997</v>
      </c>
      <c r="G30" s="93">
        <f>MiningCapacity_Results!H27*0.003*(1-RoE_Demand!G30)</f>
        <v>1.644713068123659</v>
      </c>
      <c r="H30" s="93">
        <f>MiningCapacity_Results!I27*0.003*(1-RoE_Demand!H30)</f>
        <v>1.8730654178484567</v>
      </c>
      <c r="J30" s="165"/>
    </row>
    <row r="31" spans="1:10" x14ac:dyDescent="0.2">
      <c r="A31" s="156" t="s">
        <v>41</v>
      </c>
      <c r="B31" s="93">
        <f>MiningCapacity_Results!C28*0.003*(1-RoE_Demand!B31)</f>
        <v>1799.9999999999995</v>
      </c>
      <c r="C31" s="93">
        <f>MiningCapacity_Results!D28*0.003*(1-RoE_Demand!C31)</f>
        <v>5289.5810764800044</v>
      </c>
      <c r="D31" s="93">
        <f>MiningCapacity_Results!E28*0.003*(1-RoE_Demand!D31)</f>
        <v>8743.6462389547996</v>
      </c>
      <c r="E31" s="93">
        <f>MiningCapacity_Results!F28*0.003*(1-RoE_Demand!E31)</f>
        <v>12847.284912502997</v>
      </c>
      <c r="F31" s="93">
        <f>MiningCapacity_Results!G28*0.003*(1-RoE_Demand!F31)</f>
        <v>18876.876432589663</v>
      </c>
      <c r="G31" s="93">
        <f>MiningCapacity_Results!H28*0.003*(1-RoE_Demand!G31)</f>
        <v>27736.324544688225</v>
      </c>
      <c r="H31" s="93">
        <f>MiningCapacity_Results!I28*0.003*(1-RoE_Demand!H31)</f>
        <v>40753.7604007474</v>
      </c>
      <c r="J31" s="165"/>
    </row>
    <row r="32" spans="1:10" x14ac:dyDescent="0.2">
      <c r="A32" s="156" t="s">
        <v>42</v>
      </c>
      <c r="B32" s="93">
        <f>MiningCapacity_Results!C29*0.003*(1-RoE_Demand!B32)</f>
        <v>7.049999999999998</v>
      </c>
      <c r="C32" s="93">
        <f>MiningCapacity_Results!D29*0.003*(1-RoE_Demand!C32)</f>
        <v>13.492027534928649</v>
      </c>
      <c r="D32" s="93">
        <f>MiningCapacity_Results!E29*0.003*(1-RoE_Demand!D32)</f>
        <v>16.08199723212304</v>
      </c>
      <c r="E32" s="93">
        <f>MiningCapacity_Results!F29*0.003*(1-RoE_Demand!E32)</f>
        <v>18.104192696908662</v>
      </c>
      <c r="F32" s="93">
        <f>MiningCapacity_Results!G29*0.003*(1-RoE_Demand!F32)</f>
        <v>20.380664694563684</v>
      </c>
      <c r="G32" s="93">
        <f>MiningCapacity_Results!H29*0.003*(1-RoE_Demand!G32)</f>
        <v>22.943386669937507</v>
      </c>
      <c r="H32" s="93">
        <f>MiningCapacity_Results!I29*0.003*(1-RoE_Demand!H32)</f>
        <v>25.828352498565817</v>
      </c>
      <c r="J32" s="165"/>
    </row>
    <row r="33" spans="1:10" x14ac:dyDescent="0.2">
      <c r="A33" s="156" t="s">
        <v>43</v>
      </c>
      <c r="B33" s="93">
        <f>MiningCapacity_Results!C30*0.003*(1-RoE_Demand!B33)</f>
        <v>4.2097990582934737E-2</v>
      </c>
      <c r="C33" s="93">
        <f>MiningCapacity_Results!D30*0.003*(1-RoE_Demand!C33)</f>
        <v>6.1082003887364789E-2</v>
      </c>
      <c r="D33" s="93">
        <f>MiningCapacity_Results!E30*0.003*(1-RoE_Demand!D33)</f>
        <v>8.862682392276669E-2</v>
      </c>
      <c r="E33" s="93">
        <f>MiningCapacity_Results!F30*0.003*(1-RoE_Demand!E33)</f>
        <v>0.12859293112127076</v>
      </c>
      <c r="F33" s="93">
        <f>MiningCapacity_Results!G30*0.003*(1-RoE_Demand!F33)</f>
        <v>0.18658168263786826</v>
      </c>
      <c r="G33" s="93">
        <f>MiningCapacity_Results!H30*0.003*(1-RoE_Demand!G33)</f>
        <v>0.27072035758441276</v>
      </c>
      <c r="H33" s="93">
        <f>MiningCapacity_Results!I30*0.003*(1-RoE_Demand!H33)</f>
        <v>0.39280121700305437</v>
      </c>
      <c r="J33" s="165"/>
    </row>
    <row r="34" spans="1:10" x14ac:dyDescent="0.2">
      <c r="A34" s="156" t="s">
        <v>44</v>
      </c>
      <c r="B34" s="93">
        <f>MiningCapacity_Results!C31*0.003*(1-RoE_Demand!B34)</f>
        <v>0.55066529542875842</v>
      </c>
      <c r="C34" s="93">
        <f>MiningCapacity_Results!D31*0.003*(1-RoE_Demand!C34)</f>
        <v>0.75014780839657946</v>
      </c>
      <c r="D34" s="93">
        <f>MiningCapacity_Results!E31*0.003*(1-RoE_Demand!D34)</f>
        <v>0.97435679700865307</v>
      </c>
      <c r="E34" s="93">
        <f>MiningCapacity_Results!F31*0.003*(1-RoE_Demand!E34)</f>
        <v>0.81998339501345474</v>
      </c>
      <c r="F34" s="93">
        <f>MiningCapacity_Results!G31*0.003*(1-RoE_Demand!F34)</f>
        <v>0.66560999301825652</v>
      </c>
      <c r="G34" s="93">
        <f>MiningCapacity_Results!H31*0.003*(1-RoE_Demand!G34)</f>
        <v>0.75802344120677534</v>
      </c>
      <c r="H34" s="93">
        <f>MiningCapacity_Results!I31*0.003*(1-RoE_Demand!H34)</f>
        <v>0.86326759430608679</v>
      </c>
      <c r="J34" s="165"/>
    </row>
    <row r="35" spans="1:10" x14ac:dyDescent="0.2">
      <c r="A35" s="156" t="s">
        <v>45</v>
      </c>
      <c r="B35" s="93">
        <f>MiningCapacity_Results!C32*0.003*(1-RoE_Demand!B35)</f>
        <v>0.28243204343415995</v>
      </c>
      <c r="C35" s="93">
        <f>MiningCapacity_Results!D32*0.003*(1-RoE_Demand!C35)</f>
        <v>0.41235352653598123</v>
      </c>
      <c r="D35" s="93">
        <f>MiningCapacity_Results!E32*0.003*(1-RoE_Demand!D35)</f>
        <v>0.58975361997791287</v>
      </c>
      <c r="E35" s="93">
        <f>MiningCapacity_Results!F32*0.003*(1-RoE_Demand!E35)</f>
        <v>0.73803943984426068</v>
      </c>
      <c r="F35" s="93">
        <f>MiningCapacity_Results!G32*0.003*(1-RoE_Demand!F35)</f>
        <v>0.92360978604256805</v>
      </c>
      <c r="G35" s="93">
        <f>MiningCapacity_Results!H32*0.003*(1-RoE_Demand!G35)</f>
        <v>1.1558393641586531</v>
      </c>
      <c r="H35" s="93">
        <f>MiningCapacity_Results!I32*0.003*(1-RoE_Demand!H35)</f>
        <v>1.4464600266557881</v>
      </c>
      <c r="J35" s="165"/>
    </row>
    <row r="36" spans="1:10" x14ac:dyDescent="0.2">
      <c r="A36" s="156" t="s">
        <v>46</v>
      </c>
      <c r="B36" s="93">
        <f>MiningCapacity_Results!C33*0.003*(1-RoE_Demand!B36)</f>
        <v>147.77996745600012</v>
      </c>
      <c r="C36" s="93">
        <f>MiningCapacity_Results!D33*0.003*(1-RoE_Demand!C36)</f>
        <v>181.53240501518695</v>
      </c>
      <c r="D36" s="93">
        <f>MiningCapacity_Results!E33*0.003*(1-RoE_Demand!D36)</f>
        <v>668.98135054217482</v>
      </c>
      <c r="E36" s="93">
        <f>MiningCapacity_Results!F33*0.003*(1-RoE_Demand!E36)</f>
        <v>1369.6239930759086</v>
      </c>
      <c r="F36" s="93">
        <f>MiningCapacity_Results!G33*0.003*(1-RoE_Demand!F36)</f>
        <v>1682.4414141490518</v>
      </c>
      <c r="G36" s="93">
        <f>MiningCapacity_Results!H33*0.003*(1-RoE_Demand!G36)</f>
        <v>2066.7052609722896</v>
      </c>
      <c r="H36" s="93">
        <f>MiningCapacity_Results!I33*0.003*(1-RoE_Demand!H36)</f>
        <v>2538.7336520664921</v>
      </c>
      <c r="J36" s="165"/>
    </row>
    <row r="37" spans="1:10" x14ac:dyDescent="0.2">
      <c r="A37" s="156" t="s">
        <v>47</v>
      </c>
      <c r="B37" s="93">
        <f>MiningCapacity_Results!C34*0.003*(1-RoE_Demand!B37)</f>
        <v>275.61413950506028</v>
      </c>
      <c r="C37" s="93">
        <f>MiningCapacity_Results!D34*0.003*(1-RoE_Demand!C37)</f>
        <v>305.6904119644995</v>
      </c>
      <c r="D37" s="93">
        <f>MiningCapacity_Results!E34*0.003*(1-RoE_Demand!D37)</f>
        <v>339.048744505032</v>
      </c>
      <c r="E37" s="93">
        <f>MiningCapacity_Results!F34*0.003*(1-RoE_Demand!E37)</f>
        <v>376.04729049790427</v>
      </c>
      <c r="F37" s="93">
        <f>MiningCapacity_Results!G34*0.003*(1-RoE_Demand!F37)</f>
        <v>417.08328664439705</v>
      </c>
      <c r="G37" s="93">
        <f>MiningCapacity_Results!H34*0.003*(1-RoE_Demand!G37)</f>
        <v>462.59731792712432</v>
      </c>
      <c r="H37" s="93">
        <f>MiningCapacity_Results!I34*0.003*(1-RoE_Demand!H37)</f>
        <v>513.07804797227709</v>
      </c>
      <c r="J37" s="165"/>
    </row>
    <row r="38" spans="1:10" x14ac:dyDescent="0.2">
      <c r="A38" s="156" t="s">
        <v>48</v>
      </c>
      <c r="B38" s="93">
        <f>MiningCapacity_Results!C35*0.003*(1-RoE_Demand!B38)</f>
        <v>9.1216469492035284</v>
      </c>
      <c r="C38" s="93">
        <f>MiningCapacity_Results!D35*0.003*(1-RoE_Demand!C38)</f>
        <v>10.576927014063372</v>
      </c>
      <c r="D38" s="93">
        <f>MiningCapacity_Results!E35*0.003*(1-RoE_Demand!D38)</f>
        <v>12.26438445642667</v>
      </c>
      <c r="E38" s="93">
        <f>MiningCapacity_Results!F35*0.003*(1-RoE_Demand!E38)</f>
        <v>14.221061173537841</v>
      </c>
      <c r="F38" s="93">
        <f>MiningCapacity_Results!G35*0.003*(1-RoE_Demand!F38)</f>
        <v>16.489908777731625</v>
      </c>
      <c r="G38" s="93">
        <f>MiningCapacity_Results!H35*0.003*(1-RoE_Demand!G38)</f>
        <v>19.12073144048394</v>
      </c>
      <c r="H38" s="93">
        <f>MiningCapacity_Results!I35*0.003*(1-RoE_Demand!H38)</f>
        <v>22.171279159095739</v>
      </c>
      <c r="J38" s="165"/>
    </row>
    <row r="39" spans="1:10" x14ac:dyDescent="0.2">
      <c r="A39" s="156" t="s">
        <v>49</v>
      </c>
      <c r="B39" s="93">
        <f>MiningCapacity_Results!C36*0.003*(1-RoE_Demand!B39)</f>
        <v>315</v>
      </c>
      <c r="C39" s="93">
        <f>MiningCapacity_Results!D36*0.003*(1-RoE_Demand!C39)</f>
        <v>386.09718191386088</v>
      </c>
      <c r="D39" s="93">
        <f>MiningCapacity_Results!E36*0.003*(1-RoE_Demand!D39)</f>
        <v>473.24137740261904</v>
      </c>
      <c r="E39" s="93">
        <f>MiningCapacity_Results!F36*0.003*(1-RoE_Demand!E39)</f>
        <v>580.05448311169732</v>
      </c>
      <c r="F39" s="93">
        <f>MiningCapacity_Results!G36*0.003*(1-RoE_Demand!F39)</f>
        <v>710.97587709818106</v>
      </c>
      <c r="G39" s="93">
        <f>MiningCapacity_Results!H36*0.003*(1-RoE_Demand!G39)</f>
        <v>871.44692875029637</v>
      </c>
      <c r="H39" s="93">
        <f>MiningCapacity_Results!I36*0.003*(1-RoE_Demand!H39)</f>
        <v>1068.1371535808848</v>
      </c>
      <c r="J39" s="165"/>
    </row>
    <row r="40" spans="1:10" x14ac:dyDescent="0.2">
      <c r="A40" s="156" t="s">
        <v>50</v>
      </c>
      <c r="B40" s="93">
        <f>MiningCapacity_Results!C37*0.003*(1-RoE_Demand!B40)</f>
        <v>17.205171220760729</v>
      </c>
      <c r="C40" s="93">
        <f>MiningCapacity_Results!D37*0.003*(1-RoE_Demand!C40)</f>
        <v>21.500152916697488</v>
      </c>
      <c r="D40" s="93">
        <f>MiningCapacity_Results!E37*0.003*(1-RoE_Demand!D40)</f>
        <v>26.867304574312563</v>
      </c>
      <c r="E40" s="93">
        <f>MiningCapacity_Results!F37*0.003*(1-RoE_Demand!E40)</f>
        <v>33.57427539635173</v>
      </c>
      <c r="F40" s="93">
        <f>MiningCapacity_Results!G37*0.003*(1-RoE_Demand!F40)</f>
        <v>41.955528708592503</v>
      </c>
      <c r="G40" s="93">
        <f>MiningCapacity_Results!H37*0.003*(1-RoE_Demand!G40)</f>
        <v>52.429020982201344</v>
      </c>
      <c r="H40" s="93">
        <f>MiningCapacity_Results!I37*0.003*(1-RoE_Demand!H40)</f>
        <v>65.517044493570012</v>
      </c>
      <c r="J40" s="165"/>
    </row>
    <row r="41" spans="1:10" x14ac:dyDescent="0.2">
      <c r="A41" s="156" t="s">
        <v>51</v>
      </c>
      <c r="B41" s="93">
        <f>MiningCapacity_Results!C38*0.003*(1-RoE_Demand!B41)</f>
        <v>35124.578414664298</v>
      </c>
      <c r="C41" s="93">
        <f>MiningCapacity_Results!D38*0.003*(1-RoE_Demand!C41)</f>
        <v>42129.126654819738</v>
      </c>
      <c r="D41" s="93">
        <f>MiningCapacity_Results!E38*0.003*(1-RoE_Demand!D41)</f>
        <v>50530.522864776896</v>
      </c>
      <c r="E41" s="93">
        <f>MiningCapacity_Results!F38*0.003*(1-RoE_Demand!E41)</f>
        <v>60607.326658067061</v>
      </c>
      <c r="F41" s="93">
        <f>MiningCapacity_Results!G38*0.003*(1-RoE_Demand!F41)</f>
        <v>72693.648044519694</v>
      </c>
      <c r="G41" s="93">
        <f>MiningCapacity_Results!H38*0.003*(1-RoE_Demand!G41)</f>
        <v>87190.225297903453</v>
      </c>
      <c r="H41" s="93">
        <f>MiningCapacity_Results!I38*0.003*(1-RoE_Demand!H41)</f>
        <v>104577.7119734505</v>
      </c>
      <c r="J41" s="165"/>
    </row>
    <row r="42" spans="1:10" x14ac:dyDescent="0.2">
      <c r="A42" s="157" t="s">
        <v>52</v>
      </c>
      <c r="B42" s="93">
        <f>MiningCapacity_Results!C39*0.003*(1-RoE_Demand!B42)</f>
        <v>17.072133956041064</v>
      </c>
      <c r="C42" s="93">
        <f>MiningCapacity_Results!D39*0.003*(1-RoE_Demand!C42)</f>
        <v>24.166461635186145</v>
      </c>
      <c r="D42" s="93">
        <f>MiningCapacity_Results!E39*0.003*(1-RoE_Demand!D42)</f>
        <v>34.208838184418433</v>
      </c>
      <c r="E42" s="93">
        <f>MiningCapacity_Results!F39*0.003*(1-RoE_Demand!E42)</f>
        <v>48.424325728507107</v>
      </c>
      <c r="F42" s="93">
        <f>MiningCapacity_Results!G39*0.003*(1-RoE_Demand!F42)</f>
        <v>68.547061131372359</v>
      </c>
      <c r="G42" s="93">
        <f>MiningCapacity_Results!H39*0.003*(1-RoE_Demand!G42)</f>
        <v>97.031802075914058</v>
      </c>
      <c r="H42" s="93">
        <f>MiningCapacity_Results!I39*0.003*(1-RoE_Demand!H42)</f>
        <v>137.35338114722265</v>
      </c>
      <c r="J42" s="16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8CF83-2C26-504D-AE05-F9F44E3772BC}">
  <sheetPr>
    <tabColor theme="5" tint="0.59999389629810485"/>
  </sheetPr>
  <dimension ref="A1:M42"/>
  <sheetViews>
    <sheetView workbookViewId="0">
      <selection activeCell="O44" sqref="O44"/>
    </sheetView>
  </sheetViews>
  <sheetFormatPr baseColWidth="10" defaultRowHeight="15" x14ac:dyDescent="0.2"/>
  <cols>
    <col min="1" max="1" width="14.83203125" bestFit="1" customWidth="1"/>
  </cols>
  <sheetData>
    <row r="1" spans="1:13" ht="20" thickBot="1" x14ac:dyDescent="0.3">
      <c r="A1" s="153" t="s">
        <v>269</v>
      </c>
      <c r="B1" s="154">
        <v>2020</v>
      </c>
      <c r="C1" s="154">
        <v>2025</v>
      </c>
      <c r="D1" s="154">
        <v>2030</v>
      </c>
      <c r="E1" s="154">
        <v>2035</v>
      </c>
      <c r="F1" s="154">
        <v>2040</v>
      </c>
      <c r="G1" s="154">
        <v>2045</v>
      </c>
      <c r="H1" s="154">
        <v>2050</v>
      </c>
      <c r="K1" t="s">
        <v>270</v>
      </c>
    </row>
    <row r="2" spans="1:13" ht="16" thickTop="1" x14ac:dyDescent="0.2">
      <c r="A2" s="155" t="s">
        <v>12</v>
      </c>
      <c r="B2" s="219">
        <v>0.75</v>
      </c>
      <c r="C2" s="219">
        <v>0.75</v>
      </c>
      <c r="D2" s="219">
        <v>0.75</v>
      </c>
      <c r="E2" s="219">
        <v>0.75</v>
      </c>
      <c r="F2" s="219">
        <v>0.75</v>
      </c>
      <c r="G2" s="219">
        <v>0.75</v>
      </c>
      <c r="H2" s="219">
        <v>0.75</v>
      </c>
      <c r="K2" s="222" t="s">
        <v>271</v>
      </c>
      <c r="L2" t="s">
        <v>272</v>
      </c>
      <c r="M2" t="s">
        <v>273</v>
      </c>
    </row>
    <row r="3" spans="1:13" x14ac:dyDescent="0.2">
      <c r="A3" s="156" t="s">
        <v>13</v>
      </c>
      <c r="B3" s="219">
        <v>0.99</v>
      </c>
      <c r="C3" s="219">
        <v>0.99</v>
      </c>
      <c r="D3" s="219">
        <v>0.99</v>
      </c>
      <c r="E3" s="219">
        <v>0.99</v>
      </c>
      <c r="F3" s="219">
        <v>0.99</v>
      </c>
      <c r="G3" s="219">
        <v>0.99</v>
      </c>
      <c r="H3" s="219">
        <v>0.99</v>
      </c>
      <c r="K3" t="s">
        <v>273</v>
      </c>
      <c r="L3" t="s">
        <v>272</v>
      </c>
    </row>
    <row r="4" spans="1:13" x14ac:dyDescent="0.2">
      <c r="A4" s="156" t="s">
        <v>14</v>
      </c>
      <c r="B4" s="219">
        <v>0.92</v>
      </c>
      <c r="C4" s="219">
        <v>0.92</v>
      </c>
      <c r="D4" s="219">
        <v>0.92</v>
      </c>
      <c r="E4" s="219">
        <v>0.92</v>
      </c>
      <c r="F4" s="219">
        <v>0.92</v>
      </c>
      <c r="G4" s="219">
        <v>0.92</v>
      </c>
      <c r="H4" s="219">
        <v>0.92</v>
      </c>
      <c r="K4" t="s">
        <v>273</v>
      </c>
      <c r="L4" t="s">
        <v>272</v>
      </c>
    </row>
    <row r="5" spans="1:13" x14ac:dyDescent="0.2">
      <c r="A5" s="156" t="s">
        <v>15</v>
      </c>
      <c r="B5" s="219">
        <v>0.8</v>
      </c>
      <c r="C5" s="219">
        <v>0.8</v>
      </c>
      <c r="D5" s="219">
        <v>0.8</v>
      </c>
      <c r="E5" s="219">
        <v>0.8</v>
      </c>
      <c r="F5" s="219">
        <v>0.8</v>
      </c>
      <c r="G5" s="219">
        <v>0.8</v>
      </c>
      <c r="H5" s="219">
        <v>0.8</v>
      </c>
      <c r="K5" t="s">
        <v>273</v>
      </c>
      <c r="L5" t="s">
        <v>272</v>
      </c>
    </row>
    <row r="6" spans="1:13" x14ac:dyDescent="0.2">
      <c r="A6" s="156" t="s">
        <v>16</v>
      </c>
      <c r="B6" s="219">
        <v>0.56999999999999995</v>
      </c>
      <c r="C6" s="219">
        <v>0.56999999999999995</v>
      </c>
      <c r="D6" s="219">
        <v>0.43</v>
      </c>
      <c r="E6" s="219">
        <v>0.43</v>
      </c>
      <c r="F6" s="219">
        <v>0.43</v>
      </c>
      <c r="G6" s="219">
        <v>0.43</v>
      </c>
      <c r="H6" s="219">
        <v>0.43</v>
      </c>
      <c r="K6" t="s">
        <v>274</v>
      </c>
    </row>
    <row r="7" spans="1:13" x14ac:dyDescent="0.2">
      <c r="A7" s="156" t="s">
        <v>17</v>
      </c>
      <c r="B7" s="220"/>
      <c r="C7" s="221"/>
      <c r="D7" s="221"/>
      <c r="E7" s="221"/>
      <c r="F7" s="221"/>
      <c r="G7" s="221"/>
      <c r="H7" s="221"/>
    </row>
    <row r="8" spans="1:13" x14ac:dyDescent="0.2">
      <c r="A8" s="156" t="s">
        <v>18</v>
      </c>
      <c r="B8" s="220">
        <v>0.8</v>
      </c>
      <c r="C8" s="220">
        <v>0.8</v>
      </c>
      <c r="D8" s="220">
        <v>0.8</v>
      </c>
      <c r="E8" s="220">
        <v>0.75</v>
      </c>
      <c r="F8" s="220">
        <v>0.75</v>
      </c>
      <c r="G8" s="220">
        <v>0.75</v>
      </c>
      <c r="H8" s="220">
        <v>0.75</v>
      </c>
      <c r="K8" t="s">
        <v>273</v>
      </c>
      <c r="L8" t="s">
        <v>272</v>
      </c>
      <c r="M8" t="s">
        <v>275</v>
      </c>
    </row>
    <row r="9" spans="1:13" x14ac:dyDescent="0.2">
      <c r="A9" s="156" t="s">
        <v>19</v>
      </c>
      <c r="B9" s="220">
        <v>0.75</v>
      </c>
      <c r="C9" s="220">
        <v>0.7</v>
      </c>
      <c r="D9" s="220">
        <v>0.65</v>
      </c>
      <c r="E9" s="220">
        <v>0.6</v>
      </c>
      <c r="F9" s="220">
        <v>0.55000000000000004</v>
      </c>
      <c r="G9" s="220">
        <v>0.5</v>
      </c>
      <c r="H9" s="220">
        <v>0.45</v>
      </c>
      <c r="K9" t="s">
        <v>272</v>
      </c>
      <c r="L9" s="222" t="s">
        <v>275</v>
      </c>
    </row>
    <row r="10" spans="1:13" x14ac:dyDescent="0.2">
      <c r="A10" s="156" t="s">
        <v>20</v>
      </c>
      <c r="B10" s="220">
        <v>0.95</v>
      </c>
      <c r="C10" s="220">
        <v>0.95</v>
      </c>
      <c r="D10" s="220">
        <v>0.95</v>
      </c>
      <c r="E10" s="220">
        <v>0.95</v>
      </c>
      <c r="F10" s="220">
        <v>0.95</v>
      </c>
      <c r="G10" s="220">
        <v>0.95</v>
      </c>
      <c r="H10" s="220">
        <v>0.95</v>
      </c>
      <c r="K10" t="s">
        <v>273</v>
      </c>
      <c r="L10" t="s">
        <v>275</v>
      </c>
    </row>
    <row r="11" spans="1:13" x14ac:dyDescent="0.2">
      <c r="A11" s="156" t="s">
        <v>21</v>
      </c>
      <c r="B11" s="220">
        <v>0.93</v>
      </c>
      <c r="C11" s="220">
        <v>0.93</v>
      </c>
      <c r="D11" s="220">
        <v>0.93</v>
      </c>
      <c r="E11" s="220">
        <v>0.93</v>
      </c>
      <c r="F11" s="220">
        <v>0.93</v>
      </c>
      <c r="G11" s="220">
        <v>0.93</v>
      </c>
      <c r="H11" s="220">
        <v>0.93</v>
      </c>
      <c r="K11" t="s">
        <v>273</v>
      </c>
      <c r="L11" s="222" t="s">
        <v>275</v>
      </c>
    </row>
    <row r="12" spans="1:13" x14ac:dyDescent="0.2">
      <c r="A12" s="156" t="s">
        <v>22</v>
      </c>
      <c r="B12" s="220"/>
      <c r="C12" s="221"/>
      <c r="D12" s="221"/>
      <c r="E12" s="221"/>
      <c r="F12" s="221"/>
      <c r="G12" s="221"/>
      <c r="H12" s="221"/>
    </row>
    <row r="13" spans="1:13" x14ac:dyDescent="0.2">
      <c r="A13" s="156" t="s">
        <v>23</v>
      </c>
      <c r="B13" s="220">
        <v>0.95</v>
      </c>
      <c r="C13" s="220">
        <v>0.95</v>
      </c>
      <c r="D13" s="220">
        <v>0.95</v>
      </c>
      <c r="E13" s="220">
        <v>0.95</v>
      </c>
      <c r="F13" s="220">
        <v>0.95</v>
      </c>
      <c r="G13" s="220">
        <v>0.95</v>
      </c>
      <c r="H13" s="220">
        <v>0.95</v>
      </c>
      <c r="K13" t="s">
        <v>273</v>
      </c>
      <c r="L13" t="s">
        <v>275</v>
      </c>
    </row>
    <row r="14" spans="1:13" x14ac:dyDescent="0.2">
      <c r="A14" s="156" t="s">
        <v>24</v>
      </c>
      <c r="B14" s="220">
        <v>0.9</v>
      </c>
      <c r="C14" s="220">
        <v>0.9</v>
      </c>
      <c r="D14" s="220">
        <v>0.9</v>
      </c>
      <c r="E14" s="220">
        <v>0.9</v>
      </c>
      <c r="F14" s="220">
        <v>0.9</v>
      </c>
      <c r="G14" s="220">
        <v>0.9</v>
      </c>
      <c r="H14" s="220">
        <v>0.9</v>
      </c>
      <c r="K14" t="s">
        <v>273</v>
      </c>
      <c r="L14" t="s">
        <v>275</v>
      </c>
    </row>
    <row r="15" spans="1:13" x14ac:dyDescent="0.2">
      <c r="A15" s="156" t="s">
        <v>25</v>
      </c>
      <c r="B15" s="220">
        <v>0.97</v>
      </c>
      <c r="C15" s="220">
        <v>0.97</v>
      </c>
      <c r="D15" s="220">
        <v>0.97</v>
      </c>
      <c r="E15" s="220">
        <v>0.97</v>
      </c>
      <c r="F15" s="220">
        <v>0.97</v>
      </c>
      <c r="G15" s="220">
        <v>0.97</v>
      </c>
      <c r="H15" s="220">
        <v>0.97</v>
      </c>
      <c r="K15" t="s">
        <v>273</v>
      </c>
    </row>
    <row r="16" spans="1:13" x14ac:dyDescent="0.2">
      <c r="A16" s="156" t="s">
        <v>26</v>
      </c>
      <c r="B16" s="220">
        <v>0.88</v>
      </c>
      <c r="C16" s="220">
        <v>0.88</v>
      </c>
      <c r="D16" s="220">
        <v>0.88</v>
      </c>
      <c r="E16" s="220">
        <v>0.88</v>
      </c>
      <c r="F16" s="220">
        <v>0.88</v>
      </c>
      <c r="G16" s="220">
        <v>0.88</v>
      </c>
      <c r="H16" s="220">
        <v>0.88</v>
      </c>
      <c r="K16" t="s">
        <v>273</v>
      </c>
    </row>
    <row r="17" spans="1:12" x14ac:dyDescent="0.2">
      <c r="A17" s="156" t="s">
        <v>27</v>
      </c>
      <c r="B17" s="220">
        <v>0.95</v>
      </c>
      <c r="C17" s="220">
        <v>0.95</v>
      </c>
      <c r="D17" s="220">
        <v>0.95</v>
      </c>
      <c r="E17" s="220">
        <v>0.95</v>
      </c>
      <c r="F17" s="220">
        <v>0.95</v>
      </c>
      <c r="G17" s="220">
        <v>0.95</v>
      </c>
      <c r="H17" s="220">
        <v>0.95</v>
      </c>
      <c r="K17" t="s">
        <v>273</v>
      </c>
    </row>
    <row r="18" spans="1:12" x14ac:dyDescent="0.2">
      <c r="A18" s="156" t="s">
        <v>28</v>
      </c>
      <c r="B18" s="220">
        <v>0.99</v>
      </c>
      <c r="C18" s="220">
        <v>0.99</v>
      </c>
      <c r="D18" s="220">
        <v>0.99</v>
      </c>
      <c r="E18" s="220">
        <v>0.99</v>
      </c>
      <c r="F18" s="220">
        <v>0.99</v>
      </c>
      <c r="G18" s="220">
        <v>0.99</v>
      </c>
      <c r="H18" s="220">
        <v>0.99</v>
      </c>
      <c r="K18" t="s">
        <v>273</v>
      </c>
    </row>
    <row r="19" spans="1:12" x14ac:dyDescent="0.2">
      <c r="A19" s="156" t="s">
        <v>29</v>
      </c>
      <c r="B19" s="220">
        <v>0.4</v>
      </c>
      <c r="C19" s="220">
        <v>0.4</v>
      </c>
      <c r="D19" s="220">
        <v>0.22</v>
      </c>
      <c r="E19" s="220">
        <v>0.2</v>
      </c>
      <c r="F19" s="220">
        <v>0.2</v>
      </c>
      <c r="G19" s="220">
        <v>0.15</v>
      </c>
      <c r="H19" s="220">
        <v>0.15</v>
      </c>
      <c r="K19" t="s">
        <v>275</v>
      </c>
    </row>
    <row r="20" spans="1:12" x14ac:dyDescent="0.2">
      <c r="A20" s="156" t="s">
        <v>30</v>
      </c>
      <c r="B20" s="220">
        <v>0.95</v>
      </c>
      <c r="C20" s="220">
        <v>0.95</v>
      </c>
      <c r="D20" s="220">
        <v>0.95</v>
      </c>
      <c r="E20" s="220">
        <v>0.95</v>
      </c>
      <c r="F20" s="220">
        <v>0.95</v>
      </c>
      <c r="G20" s="220">
        <v>0.95</v>
      </c>
      <c r="H20" s="220">
        <v>0.95</v>
      </c>
      <c r="K20" t="s">
        <v>273</v>
      </c>
    </row>
    <row r="21" spans="1:12" x14ac:dyDescent="0.2">
      <c r="A21" s="156" t="s">
        <v>31</v>
      </c>
      <c r="B21" s="220">
        <v>0.95</v>
      </c>
      <c r="C21" s="220">
        <v>0.93</v>
      </c>
      <c r="D21" s="220">
        <v>0.9</v>
      </c>
      <c r="E21" s="220">
        <v>0.88</v>
      </c>
      <c r="F21" s="220">
        <v>0.87</v>
      </c>
      <c r="G21" s="220">
        <v>0.85</v>
      </c>
      <c r="H21" s="220">
        <v>0.85</v>
      </c>
      <c r="K21" t="s">
        <v>276</v>
      </c>
    </row>
    <row r="22" spans="1:12" x14ac:dyDescent="0.2">
      <c r="A22" s="156" t="s">
        <v>32</v>
      </c>
      <c r="B22" s="220">
        <v>0.85</v>
      </c>
      <c r="C22" s="220">
        <v>0.85</v>
      </c>
      <c r="D22" s="220">
        <v>0.8</v>
      </c>
      <c r="E22" s="220">
        <v>0.75</v>
      </c>
      <c r="F22" s="220">
        <v>0.75</v>
      </c>
      <c r="G22" s="220">
        <v>0.7</v>
      </c>
      <c r="H22" s="220">
        <v>0.7</v>
      </c>
      <c r="K22" t="s">
        <v>276</v>
      </c>
    </row>
    <row r="23" spans="1:12" x14ac:dyDescent="0.2">
      <c r="A23" s="156" t="s">
        <v>33</v>
      </c>
      <c r="B23" s="220">
        <v>0.84</v>
      </c>
      <c r="C23" s="220">
        <v>0.7</v>
      </c>
      <c r="D23" s="220">
        <v>0.59</v>
      </c>
      <c r="E23" s="220">
        <v>0.59</v>
      </c>
      <c r="F23" s="220">
        <v>0.59</v>
      </c>
      <c r="G23" s="220">
        <v>0.5</v>
      </c>
      <c r="H23" s="220">
        <v>0.5</v>
      </c>
      <c r="K23" t="s">
        <v>277</v>
      </c>
    </row>
    <row r="24" spans="1:12" x14ac:dyDescent="0.2">
      <c r="A24" s="156" t="s">
        <v>34</v>
      </c>
      <c r="B24" s="220">
        <v>0.9</v>
      </c>
      <c r="C24" s="220">
        <v>0.84</v>
      </c>
      <c r="D24" s="220">
        <v>0.7</v>
      </c>
      <c r="E24" s="220">
        <v>0.65</v>
      </c>
      <c r="F24" s="220">
        <v>0.62</v>
      </c>
      <c r="G24" s="220">
        <v>0.62</v>
      </c>
      <c r="H24" s="220">
        <v>0.62</v>
      </c>
      <c r="K24" t="s">
        <v>275</v>
      </c>
    </row>
    <row r="25" spans="1:12" x14ac:dyDescent="0.2">
      <c r="A25" s="156" t="s">
        <v>35</v>
      </c>
      <c r="B25" s="220">
        <v>0.9</v>
      </c>
      <c r="C25" s="220">
        <v>0.9</v>
      </c>
      <c r="D25" s="220">
        <v>0.9</v>
      </c>
      <c r="E25" s="220">
        <v>0.9</v>
      </c>
      <c r="F25" s="220">
        <v>0.9</v>
      </c>
      <c r="G25" s="220">
        <v>0.9</v>
      </c>
      <c r="H25" s="220">
        <v>0.9</v>
      </c>
      <c r="K25" t="s">
        <v>273</v>
      </c>
    </row>
    <row r="26" spans="1:12" x14ac:dyDescent="0.2">
      <c r="A26" s="156" t="s">
        <v>36</v>
      </c>
      <c r="B26" s="166">
        <v>0.25</v>
      </c>
      <c r="C26" s="183">
        <v>0.25</v>
      </c>
      <c r="D26" s="183">
        <v>0.3</v>
      </c>
      <c r="E26" s="183">
        <v>0.4</v>
      </c>
      <c r="F26" s="183">
        <v>0.5</v>
      </c>
      <c r="G26" s="183">
        <v>0.6</v>
      </c>
      <c r="H26" s="183">
        <v>0.65</v>
      </c>
      <c r="K26" t="s">
        <v>276</v>
      </c>
    </row>
    <row r="27" spans="1:12" x14ac:dyDescent="0.2">
      <c r="A27" s="156" t="s">
        <v>37</v>
      </c>
      <c r="B27" s="220"/>
      <c r="C27" s="220"/>
      <c r="D27" s="220"/>
      <c r="E27" s="220"/>
      <c r="F27" s="220"/>
      <c r="G27" s="220"/>
      <c r="H27" s="220"/>
    </row>
    <row r="28" spans="1:12" x14ac:dyDescent="0.2">
      <c r="A28" s="156" t="s">
        <v>38</v>
      </c>
      <c r="B28" s="220">
        <v>0.84</v>
      </c>
      <c r="C28" s="220">
        <v>0.7</v>
      </c>
      <c r="D28" s="220">
        <v>0.59</v>
      </c>
      <c r="E28" s="220">
        <v>0.59</v>
      </c>
      <c r="F28" s="220">
        <v>0.59</v>
      </c>
      <c r="G28" s="220">
        <v>0.5</v>
      </c>
      <c r="H28" s="220">
        <v>0.5</v>
      </c>
      <c r="K28" t="s">
        <v>278</v>
      </c>
    </row>
    <row r="29" spans="1:12" x14ac:dyDescent="0.2">
      <c r="A29" s="156" t="s">
        <v>39</v>
      </c>
      <c r="B29" s="220">
        <v>0.63</v>
      </c>
      <c r="C29" s="220">
        <v>0.63</v>
      </c>
      <c r="D29" s="220">
        <v>0.63</v>
      </c>
      <c r="E29" s="220">
        <v>0.63</v>
      </c>
      <c r="F29" s="220">
        <v>0.63</v>
      </c>
      <c r="G29" s="220">
        <v>0.63</v>
      </c>
      <c r="H29" s="220">
        <v>0.63</v>
      </c>
      <c r="K29" t="s">
        <v>276</v>
      </c>
    </row>
    <row r="30" spans="1:12" x14ac:dyDescent="0.2">
      <c r="A30" s="156" t="s">
        <v>40</v>
      </c>
      <c r="B30" s="220">
        <v>0.9</v>
      </c>
      <c r="C30" s="220">
        <v>0.9</v>
      </c>
      <c r="D30" s="220">
        <v>0.9</v>
      </c>
      <c r="E30" s="220">
        <v>0.9</v>
      </c>
      <c r="F30" s="220">
        <v>0.9</v>
      </c>
      <c r="G30" s="220">
        <v>0.9</v>
      </c>
      <c r="H30" s="220">
        <v>0.9</v>
      </c>
      <c r="K30" t="s">
        <v>276</v>
      </c>
      <c r="L30" t="s">
        <v>275</v>
      </c>
    </row>
    <row r="31" spans="1:12" x14ac:dyDescent="0.2">
      <c r="A31" s="156" t="s">
        <v>41</v>
      </c>
      <c r="B31" s="220">
        <v>0.8</v>
      </c>
      <c r="C31" s="220">
        <v>0.6</v>
      </c>
      <c r="D31" s="220">
        <v>0.55000000000000004</v>
      </c>
      <c r="E31" s="220">
        <v>0.55000000000000004</v>
      </c>
      <c r="F31" s="220">
        <v>0.55000000000000004</v>
      </c>
      <c r="G31" s="220">
        <v>0.55000000000000004</v>
      </c>
      <c r="H31" s="220">
        <v>0.55000000000000004</v>
      </c>
      <c r="K31" t="s">
        <v>276</v>
      </c>
      <c r="L31" t="s">
        <v>275</v>
      </c>
    </row>
    <row r="32" spans="1:12" x14ac:dyDescent="0.2">
      <c r="A32" s="156" t="s">
        <v>42</v>
      </c>
      <c r="B32" s="166">
        <v>0.9</v>
      </c>
      <c r="C32" s="183">
        <v>0.83</v>
      </c>
      <c r="D32" s="183">
        <v>0.82</v>
      </c>
      <c r="E32" s="183">
        <v>0.82</v>
      </c>
      <c r="F32" s="183">
        <v>0.82</v>
      </c>
      <c r="G32" s="183">
        <v>0.82</v>
      </c>
      <c r="H32" s="183">
        <v>0.82</v>
      </c>
      <c r="K32" s="222" t="s">
        <v>279</v>
      </c>
    </row>
    <row r="33" spans="1:11" x14ac:dyDescent="0.2">
      <c r="A33" s="156" t="s">
        <v>43</v>
      </c>
      <c r="B33" s="220">
        <v>0.99</v>
      </c>
      <c r="C33" s="220">
        <v>0.99</v>
      </c>
      <c r="D33" s="220">
        <v>0.99</v>
      </c>
      <c r="E33" s="220">
        <v>0.99</v>
      </c>
      <c r="F33" s="220">
        <v>0.99</v>
      </c>
      <c r="G33" s="220">
        <v>0.99</v>
      </c>
      <c r="H33" s="220">
        <v>0.99</v>
      </c>
      <c r="I33" s="165"/>
      <c r="K33" t="s">
        <v>276</v>
      </c>
    </row>
    <row r="34" spans="1:11" x14ac:dyDescent="0.2">
      <c r="A34" s="156" t="s">
        <v>44</v>
      </c>
      <c r="B34" s="223">
        <v>0.6</v>
      </c>
      <c r="C34" s="183">
        <v>0.5</v>
      </c>
      <c r="D34" s="183">
        <v>0.4</v>
      </c>
      <c r="E34" s="183">
        <v>0.4</v>
      </c>
      <c r="F34" s="183">
        <v>0.4</v>
      </c>
      <c r="G34" s="183">
        <v>0.4</v>
      </c>
      <c r="H34" s="183">
        <v>0.4</v>
      </c>
      <c r="I34" s="165"/>
      <c r="K34" t="s">
        <v>276</v>
      </c>
    </row>
    <row r="35" spans="1:11" x14ac:dyDescent="0.2">
      <c r="A35" s="156" t="s">
        <v>45</v>
      </c>
      <c r="B35" s="166">
        <v>0.7</v>
      </c>
      <c r="C35" s="183">
        <v>0.65</v>
      </c>
      <c r="D35" s="183">
        <v>0.6</v>
      </c>
      <c r="E35" s="183">
        <v>0.6</v>
      </c>
      <c r="F35" s="183">
        <v>0.6</v>
      </c>
      <c r="G35" s="183">
        <v>0.6</v>
      </c>
      <c r="H35" s="183">
        <v>0.6</v>
      </c>
      <c r="I35" s="165"/>
      <c r="K35" t="s">
        <v>276</v>
      </c>
    </row>
    <row r="36" spans="1:11" x14ac:dyDescent="0.2">
      <c r="A36" s="156" t="s">
        <v>46</v>
      </c>
      <c r="B36" s="220">
        <v>0.99</v>
      </c>
      <c r="C36" s="220">
        <v>0.99</v>
      </c>
      <c r="D36" s="220">
        <v>0.97</v>
      </c>
      <c r="E36" s="220">
        <v>0.95</v>
      </c>
      <c r="F36" s="220">
        <v>0.95</v>
      </c>
      <c r="G36" s="220">
        <v>0.95</v>
      </c>
      <c r="H36" s="220">
        <v>0.95</v>
      </c>
      <c r="I36" s="165"/>
      <c r="K36" t="s">
        <v>276</v>
      </c>
    </row>
    <row r="37" spans="1:11" x14ac:dyDescent="0.2">
      <c r="A37" s="156" t="s">
        <v>47</v>
      </c>
      <c r="B37" s="220"/>
      <c r="C37" s="220"/>
      <c r="D37" s="220"/>
      <c r="E37" s="220"/>
      <c r="F37" s="220"/>
      <c r="G37" s="220"/>
      <c r="H37" s="220"/>
    </row>
    <row r="38" spans="1:11" x14ac:dyDescent="0.2">
      <c r="A38" s="156" t="s">
        <v>48</v>
      </c>
      <c r="B38" s="220">
        <v>0.99</v>
      </c>
      <c r="C38" s="220">
        <v>0.99</v>
      </c>
      <c r="D38" s="220">
        <v>0.99</v>
      </c>
      <c r="E38" s="220">
        <v>0.99</v>
      </c>
      <c r="F38" s="220">
        <v>0.99</v>
      </c>
      <c r="G38" s="220">
        <v>0.99</v>
      </c>
      <c r="H38" s="220">
        <v>0.99</v>
      </c>
      <c r="K38" t="s">
        <v>276</v>
      </c>
    </row>
    <row r="39" spans="1:11" x14ac:dyDescent="0.2">
      <c r="A39" s="156" t="s">
        <v>49</v>
      </c>
      <c r="B39" s="220"/>
      <c r="C39" s="220"/>
      <c r="D39" s="220"/>
      <c r="E39" s="220"/>
      <c r="F39" s="220"/>
      <c r="G39" s="220"/>
      <c r="H39" s="220"/>
    </row>
    <row r="40" spans="1:11" x14ac:dyDescent="0.2">
      <c r="A40" s="156" t="s">
        <v>50</v>
      </c>
      <c r="B40" s="220"/>
      <c r="C40" s="220"/>
      <c r="D40" s="220"/>
      <c r="E40" s="220"/>
      <c r="F40" s="220"/>
      <c r="G40" s="220"/>
      <c r="H40" s="220"/>
    </row>
    <row r="41" spans="1:11" x14ac:dyDescent="0.2">
      <c r="A41" s="156" t="s">
        <v>51</v>
      </c>
      <c r="B41" s="220"/>
      <c r="C41" s="220"/>
      <c r="D41" s="220"/>
      <c r="E41" s="220"/>
      <c r="F41" s="220"/>
      <c r="G41" s="220"/>
      <c r="H41" s="220"/>
    </row>
    <row r="42" spans="1:11" x14ac:dyDescent="0.2">
      <c r="A42" s="157" t="s">
        <v>52</v>
      </c>
      <c r="B42" s="220">
        <v>0.99</v>
      </c>
      <c r="C42" s="220">
        <v>0.99</v>
      </c>
      <c r="D42" s="220">
        <v>0.99</v>
      </c>
      <c r="E42" s="220">
        <v>0.99</v>
      </c>
      <c r="F42" s="220">
        <v>0.99</v>
      </c>
      <c r="G42" s="220">
        <v>0.99</v>
      </c>
      <c r="H42" s="220">
        <v>0.99</v>
      </c>
      <c r="K42" t="s">
        <v>280</v>
      </c>
    </row>
  </sheetData>
  <hyperlinks>
    <hyperlink ref="K2" r:id="rId1" xr:uid="{65D74975-49E6-5244-9105-05CE933E5698}"/>
    <hyperlink ref="L9" r:id="rId2" xr:uid="{3654E389-D7E1-C44E-8707-412BDAE01970}"/>
    <hyperlink ref="L11" r:id="rId3" xr:uid="{94286478-0B97-C249-9837-9E0C1E5EB92D}"/>
    <hyperlink ref="K32" r:id="rId4" xr:uid="{647C2F64-9640-BE41-9743-31C934244A3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2CC"/>
  </sheetPr>
  <dimension ref="A1:S53"/>
  <sheetViews>
    <sheetView zoomScaleNormal="100" workbookViewId="0">
      <selection activeCell="G25" sqref="G25"/>
    </sheetView>
  </sheetViews>
  <sheetFormatPr baseColWidth="10" defaultColWidth="10.6640625" defaultRowHeight="15" x14ac:dyDescent="0.2"/>
  <cols>
    <col min="2" max="2" width="21.83203125" customWidth="1"/>
    <col min="3" max="3" width="11.33203125" customWidth="1"/>
    <col min="4" max="4" width="31" customWidth="1"/>
    <col min="5" max="5" width="55.33203125" style="6" customWidth="1"/>
    <col min="6" max="6" width="32.33203125" customWidth="1"/>
    <col min="7" max="7" width="17.1640625" customWidth="1"/>
    <col min="8" max="8" width="25.5" customWidth="1"/>
    <col min="9" max="9" width="34.1640625" style="7" customWidth="1"/>
    <col min="10" max="10" width="14.6640625" style="6" customWidth="1"/>
    <col min="11" max="11" width="17.1640625" customWidth="1"/>
    <col min="12" max="12" width="29.33203125" style="8" customWidth="1"/>
    <col min="13" max="13" width="34.83203125" customWidth="1"/>
    <col min="14" max="14" width="25.33203125" customWidth="1"/>
    <col min="15" max="15" width="14.6640625" customWidth="1"/>
    <col min="16" max="16" width="15.83203125" customWidth="1"/>
    <col min="22" max="22" width="31.6640625" customWidth="1"/>
  </cols>
  <sheetData>
    <row r="1" spans="1:19" ht="15" customHeight="1" x14ac:dyDescent="0.2">
      <c r="A1" s="1" t="s">
        <v>93</v>
      </c>
      <c r="B1" s="9" t="s">
        <v>94</v>
      </c>
      <c r="C1" s="9" t="s">
        <v>95</v>
      </c>
      <c r="D1" s="9" t="s">
        <v>96</v>
      </c>
      <c r="E1" s="9" t="s">
        <v>97</v>
      </c>
      <c r="F1" s="1" t="s">
        <v>98</v>
      </c>
      <c r="G1" s="10" t="s">
        <v>99</v>
      </c>
      <c r="H1" s="1" t="s">
        <v>100</v>
      </c>
      <c r="I1" s="11" t="s">
        <v>101</v>
      </c>
    </row>
    <row r="2" spans="1:19" ht="15" customHeight="1" x14ac:dyDescent="0.2">
      <c r="A2" s="12" t="s">
        <v>12</v>
      </c>
      <c r="B2" s="13">
        <v>65100000</v>
      </c>
      <c r="C2" s="14" t="s">
        <v>102</v>
      </c>
      <c r="D2" s="14" t="s">
        <v>103</v>
      </c>
      <c r="E2" s="14" t="s">
        <v>104</v>
      </c>
      <c r="F2" s="15" t="s">
        <v>99</v>
      </c>
      <c r="G2" s="16">
        <v>6.1199889791982397E-2</v>
      </c>
      <c r="H2" s="17" t="s">
        <v>105</v>
      </c>
      <c r="I2" s="15" t="s">
        <v>106</v>
      </c>
    </row>
    <row r="3" spans="1:19" ht="15" customHeight="1" x14ac:dyDescent="0.2">
      <c r="A3" s="18" t="s">
        <v>13</v>
      </c>
      <c r="B3" s="19">
        <v>3601490</v>
      </c>
      <c r="C3" s="14" t="s">
        <v>102</v>
      </c>
      <c r="D3" s="14" t="s">
        <v>103</v>
      </c>
      <c r="E3" s="14" t="s">
        <v>107</v>
      </c>
      <c r="F3" s="15" t="s">
        <v>99</v>
      </c>
      <c r="G3" s="16">
        <v>4.9716652336851401E-2</v>
      </c>
      <c r="H3" s="20" t="s">
        <v>108</v>
      </c>
      <c r="I3" s="15" t="s">
        <v>107</v>
      </c>
    </row>
    <row r="4" spans="1:19" ht="15.75" customHeight="1" x14ac:dyDescent="0.2">
      <c r="A4" s="12" t="s">
        <v>14</v>
      </c>
      <c r="B4" s="13">
        <v>24000</v>
      </c>
      <c r="C4" s="14" t="s">
        <v>102</v>
      </c>
      <c r="D4" s="21" t="s">
        <v>109</v>
      </c>
      <c r="E4" s="14" t="s">
        <v>104</v>
      </c>
      <c r="F4" s="22" t="s">
        <v>110</v>
      </c>
      <c r="G4" s="23" t="s">
        <v>111</v>
      </c>
      <c r="H4" s="24"/>
      <c r="I4" s="15" t="s">
        <v>112</v>
      </c>
    </row>
    <row r="5" spans="1:19" ht="15" customHeight="1" x14ac:dyDescent="0.2">
      <c r="A5" s="12" t="s">
        <v>15</v>
      </c>
      <c r="B5" s="13">
        <v>37000000</v>
      </c>
      <c r="C5" s="14" t="s">
        <v>102</v>
      </c>
      <c r="D5" s="14" t="s">
        <v>103</v>
      </c>
      <c r="E5" s="14" t="s">
        <v>104</v>
      </c>
      <c r="F5" s="15" t="s">
        <v>99</v>
      </c>
      <c r="G5" s="25">
        <v>6.8181818181818205E-2</v>
      </c>
      <c r="H5" s="20" t="s">
        <v>108</v>
      </c>
      <c r="I5" s="15" t="s">
        <v>106</v>
      </c>
    </row>
    <row r="6" spans="1:19" ht="15" customHeight="1" x14ac:dyDescent="0.2">
      <c r="A6" s="12" t="s">
        <v>16</v>
      </c>
      <c r="B6" s="13">
        <v>142000</v>
      </c>
      <c r="C6" s="14" t="s">
        <v>102</v>
      </c>
      <c r="D6" s="14" t="s">
        <v>109</v>
      </c>
      <c r="E6" s="14" t="s">
        <v>104</v>
      </c>
      <c r="F6" s="22" t="s">
        <v>113</v>
      </c>
      <c r="G6" s="25">
        <v>7.2442120985810293E-2</v>
      </c>
      <c r="H6" s="17" t="s">
        <v>105</v>
      </c>
      <c r="I6" s="15" t="s">
        <v>106</v>
      </c>
    </row>
    <row r="7" spans="1:19" ht="15" customHeight="1" x14ac:dyDescent="0.2">
      <c r="A7" s="12" t="s">
        <v>18</v>
      </c>
      <c r="B7" s="13">
        <v>20600000</v>
      </c>
      <c r="C7" s="14" t="s">
        <v>102</v>
      </c>
      <c r="D7" s="14" t="s">
        <v>109</v>
      </c>
      <c r="E7" s="14" t="s">
        <v>104</v>
      </c>
      <c r="F7" s="22" t="s">
        <v>113</v>
      </c>
      <c r="G7" s="25">
        <v>2.7417577115110101E-2</v>
      </c>
      <c r="H7" s="17" t="s">
        <v>105</v>
      </c>
      <c r="I7" s="15" t="s">
        <v>106</v>
      </c>
    </row>
    <row r="8" spans="1:19" ht="15" customHeight="1" x14ac:dyDescent="0.2">
      <c r="A8" s="12" t="s">
        <v>19</v>
      </c>
      <c r="B8" s="26">
        <v>1121.4732403534399</v>
      </c>
      <c r="C8" s="14" t="s">
        <v>102</v>
      </c>
      <c r="D8" s="14" t="s">
        <v>103</v>
      </c>
      <c r="E8" s="14" t="s">
        <v>106</v>
      </c>
      <c r="F8" s="15" t="s">
        <v>99</v>
      </c>
      <c r="G8" s="16">
        <v>5.22517578794073E-2</v>
      </c>
      <c r="H8" s="20" t="s">
        <v>108</v>
      </c>
      <c r="I8" s="15" t="s">
        <v>114</v>
      </c>
    </row>
    <row r="9" spans="1:19" ht="15" customHeight="1" x14ac:dyDescent="0.2">
      <c r="A9" s="12" t="s">
        <v>20</v>
      </c>
      <c r="B9" s="13">
        <v>327</v>
      </c>
      <c r="C9" s="14" t="s">
        <v>102</v>
      </c>
      <c r="D9" s="14" t="s">
        <v>103</v>
      </c>
      <c r="E9" s="14" t="s">
        <v>104</v>
      </c>
      <c r="F9" s="22" t="s">
        <v>110</v>
      </c>
      <c r="G9" s="169" t="s">
        <v>115</v>
      </c>
      <c r="H9" s="24"/>
      <c r="I9" s="15" t="s">
        <v>116</v>
      </c>
    </row>
    <row r="10" spans="1:19" ht="15" customHeight="1" x14ac:dyDescent="0.2">
      <c r="A10" s="12" t="s">
        <v>21</v>
      </c>
      <c r="B10" s="13">
        <v>140</v>
      </c>
      <c r="C10" s="14" t="s">
        <v>102</v>
      </c>
      <c r="D10" s="14" t="s">
        <v>109</v>
      </c>
      <c r="E10" s="168" t="s">
        <v>104</v>
      </c>
      <c r="F10" s="22" t="s">
        <v>110</v>
      </c>
      <c r="G10" s="170" t="s">
        <v>111</v>
      </c>
      <c r="H10" s="24"/>
      <c r="I10" s="15" t="s">
        <v>117</v>
      </c>
    </row>
    <row r="11" spans="1:19" ht="15" customHeight="1" x14ac:dyDescent="0.2">
      <c r="A11" s="12" t="s">
        <v>23</v>
      </c>
      <c r="B11" s="26">
        <v>75</v>
      </c>
      <c r="C11" s="14" t="s">
        <v>102</v>
      </c>
      <c r="D11" s="14" t="s">
        <v>103</v>
      </c>
      <c r="E11" s="168" t="s">
        <v>114</v>
      </c>
      <c r="F11" s="22" t="s">
        <v>99</v>
      </c>
      <c r="G11" s="171">
        <v>7.1975973487986802E-2</v>
      </c>
      <c r="H11" s="29" t="s">
        <v>118</v>
      </c>
      <c r="I11" s="15" t="s">
        <v>114</v>
      </c>
    </row>
    <row r="12" spans="1:19" ht="15" customHeight="1" x14ac:dyDescent="0.2">
      <c r="A12" s="12" t="s">
        <v>24</v>
      </c>
      <c r="B12" s="13">
        <v>960</v>
      </c>
      <c r="C12" s="168" t="s">
        <v>102</v>
      </c>
      <c r="D12" s="168" t="s">
        <v>109</v>
      </c>
      <c r="E12" s="168" t="s">
        <v>104</v>
      </c>
      <c r="F12" s="22" t="s">
        <v>110</v>
      </c>
      <c r="G12" s="171" t="s">
        <v>119</v>
      </c>
      <c r="H12" s="20" t="s">
        <v>108</v>
      </c>
      <c r="I12" s="15" t="s">
        <v>106</v>
      </c>
    </row>
    <row r="13" spans="1:19" ht="15" customHeight="1" x14ac:dyDescent="0.2">
      <c r="A13" s="12" t="s">
        <v>25</v>
      </c>
      <c r="B13" s="174">
        <v>6</v>
      </c>
      <c r="C13" s="175" t="s">
        <v>102</v>
      </c>
      <c r="D13" s="175" t="s">
        <v>103</v>
      </c>
      <c r="E13" s="175" t="s">
        <v>106</v>
      </c>
      <c r="F13" s="176" t="s">
        <v>99</v>
      </c>
      <c r="G13" s="177">
        <v>3.1E-2</v>
      </c>
      <c r="H13" s="178" t="s">
        <v>108</v>
      </c>
      <c r="I13" s="174" t="s">
        <v>106</v>
      </c>
    </row>
    <row r="14" spans="1:19" ht="15" customHeight="1" x14ac:dyDescent="0.2">
      <c r="A14" s="30" t="s">
        <v>26</v>
      </c>
      <c r="B14" s="26">
        <v>2470000000</v>
      </c>
      <c r="C14" s="168" t="s">
        <v>102</v>
      </c>
      <c r="D14" s="168" t="s">
        <v>103</v>
      </c>
      <c r="E14" s="168" t="s">
        <v>104</v>
      </c>
      <c r="F14" s="15" t="s">
        <v>99</v>
      </c>
      <c r="G14" s="25">
        <v>3.8306451612903199E-2</v>
      </c>
      <c r="H14" s="17" t="s">
        <v>105</v>
      </c>
      <c r="I14" s="15" t="s">
        <v>120</v>
      </c>
    </row>
    <row r="15" spans="1:19" ht="15" customHeight="1" x14ac:dyDescent="0.2">
      <c r="A15" s="31" t="s">
        <v>27</v>
      </c>
      <c r="B15" s="32">
        <v>3120000</v>
      </c>
      <c r="C15" s="168" t="s">
        <v>102</v>
      </c>
      <c r="D15" s="168" t="s">
        <v>103</v>
      </c>
      <c r="E15" s="168" t="s">
        <v>104</v>
      </c>
      <c r="F15" s="15" t="s">
        <v>99</v>
      </c>
      <c r="G15" s="25">
        <v>1.68396386653079E-2</v>
      </c>
      <c r="H15" s="17" t="s">
        <v>105</v>
      </c>
      <c r="I15" s="15" t="s">
        <v>120</v>
      </c>
    </row>
    <row r="16" spans="1:19" ht="15" customHeight="1" x14ac:dyDescent="0.2">
      <c r="A16" s="163" t="s">
        <v>28</v>
      </c>
      <c r="B16" s="179">
        <v>53682</v>
      </c>
      <c r="C16" s="175" t="s">
        <v>102</v>
      </c>
      <c r="D16" s="175" t="s">
        <v>103</v>
      </c>
      <c r="E16" s="175" t="s">
        <v>106</v>
      </c>
      <c r="F16" s="174" t="s">
        <v>99</v>
      </c>
      <c r="G16" s="177">
        <v>3.5000000000000003E-2</v>
      </c>
      <c r="H16" s="178" t="s">
        <v>108</v>
      </c>
      <c r="I16" s="174" t="s">
        <v>106</v>
      </c>
      <c r="K16" s="164"/>
      <c r="L16" s="164"/>
      <c r="M16" s="164"/>
      <c r="N16" s="164"/>
      <c r="O16" s="164"/>
      <c r="P16" s="164"/>
      <c r="Q16" s="166"/>
      <c r="R16" s="164"/>
      <c r="S16" s="164"/>
    </row>
    <row r="17" spans="1:19" ht="15" customHeight="1" x14ac:dyDescent="0.2">
      <c r="A17" s="31" t="s">
        <v>29</v>
      </c>
      <c r="B17" s="13">
        <v>82500</v>
      </c>
      <c r="C17" s="168" t="s">
        <v>102</v>
      </c>
      <c r="D17" s="168" t="s">
        <v>103</v>
      </c>
      <c r="E17" s="168" t="s">
        <v>104</v>
      </c>
      <c r="F17" s="22" t="s">
        <v>113</v>
      </c>
      <c r="G17" s="172">
        <v>4.92340004941932E-2</v>
      </c>
      <c r="H17" s="20" t="s">
        <v>108</v>
      </c>
      <c r="I17" s="15" t="s">
        <v>114</v>
      </c>
      <c r="K17" s="164"/>
      <c r="L17" s="167"/>
      <c r="M17" s="164"/>
      <c r="N17" s="164"/>
      <c r="O17" s="164"/>
      <c r="P17" s="164"/>
      <c r="Q17" s="166"/>
      <c r="R17" s="164"/>
      <c r="S17" s="164"/>
    </row>
    <row r="18" spans="1:19" ht="15" customHeight="1" x14ac:dyDescent="0.2">
      <c r="A18" s="163" t="s">
        <v>30</v>
      </c>
      <c r="B18" s="179">
        <v>1000000</v>
      </c>
      <c r="C18" s="175" t="s">
        <v>102</v>
      </c>
      <c r="D18" s="175" t="s">
        <v>241</v>
      </c>
      <c r="E18" s="175" t="s">
        <v>104</v>
      </c>
      <c r="F18" s="174" t="s">
        <v>99</v>
      </c>
      <c r="G18" s="177">
        <v>5.6000000000000001E-2</v>
      </c>
      <c r="H18" s="178" t="s">
        <v>108</v>
      </c>
      <c r="I18" s="174" t="s">
        <v>120</v>
      </c>
      <c r="K18" s="164"/>
      <c r="L18" s="167"/>
      <c r="M18" s="164"/>
      <c r="N18" s="164"/>
      <c r="O18" s="164"/>
      <c r="P18" s="164"/>
      <c r="Q18" s="166"/>
      <c r="R18" s="164"/>
      <c r="S18" s="164"/>
    </row>
    <row r="19" spans="1:19" ht="15" customHeight="1" x14ac:dyDescent="0.2">
      <c r="A19" s="12" t="s">
        <v>31</v>
      </c>
      <c r="B19" s="13">
        <v>18900000</v>
      </c>
      <c r="C19" s="168" t="s">
        <v>102</v>
      </c>
      <c r="D19" s="168" t="s">
        <v>103</v>
      </c>
      <c r="E19" s="168" t="s">
        <v>104</v>
      </c>
      <c r="F19" s="15" t="s">
        <v>99</v>
      </c>
      <c r="G19" s="25">
        <v>4.8605240912933202E-2</v>
      </c>
      <c r="H19" s="20" t="s">
        <v>108</v>
      </c>
      <c r="I19" s="15" t="s">
        <v>106</v>
      </c>
      <c r="K19" s="164"/>
      <c r="L19" s="164"/>
      <c r="M19" s="164"/>
      <c r="N19" s="164"/>
      <c r="O19" s="164"/>
      <c r="P19" s="164"/>
      <c r="Q19" s="166"/>
      <c r="R19" s="164"/>
      <c r="S19" s="164"/>
    </row>
    <row r="20" spans="1:19" ht="15" customHeight="1" x14ac:dyDescent="0.2">
      <c r="A20" s="12" t="s">
        <v>32</v>
      </c>
      <c r="B20" s="34">
        <v>280597</v>
      </c>
      <c r="C20" s="168" t="s">
        <v>102</v>
      </c>
      <c r="D20" s="168" t="s">
        <v>103</v>
      </c>
      <c r="E20" s="168" t="s">
        <v>104</v>
      </c>
      <c r="F20" s="15" t="s">
        <v>99</v>
      </c>
      <c r="G20" s="25">
        <v>2.3971422004290501E-2</v>
      </c>
      <c r="H20" s="20" t="s">
        <v>121</v>
      </c>
      <c r="I20" s="15" t="s">
        <v>122</v>
      </c>
      <c r="K20" s="164"/>
      <c r="L20" s="164"/>
      <c r="M20" s="164"/>
      <c r="N20" s="164"/>
      <c r="O20" s="164"/>
      <c r="P20" s="164"/>
      <c r="Q20" s="166"/>
      <c r="R20" s="164"/>
      <c r="S20" s="164"/>
    </row>
    <row r="21" spans="1:19" ht="15" customHeight="1" x14ac:dyDescent="0.2">
      <c r="A21" s="12" t="s">
        <v>33</v>
      </c>
      <c r="B21" s="26">
        <v>34074.892048375797</v>
      </c>
      <c r="C21" s="168" t="s">
        <v>102</v>
      </c>
      <c r="D21" s="168" t="s">
        <v>103</v>
      </c>
      <c r="E21" s="168" t="s">
        <v>106</v>
      </c>
      <c r="F21" s="15" t="s">
        <v>99</v>
      </c>
      <c r="G21" s="25">
        <v>5.63770579279044E-2</v>
      </c>
      <c r="H21" s="20" t="s">
        <v>108</v>
      </c>
      <c r="I21" s="15" t="s">
        <v>106</v>
      </c>
      <c r="K21" s="164"/>
      <c r="L21" s="167"/>
      <c r="M21" s="164"/>
      <c r="N21" s="164"/>
      <c r="O21" s="164"/>
      <c r="P21" s="164"/>
      <c r="Q21" s="166"/>
      <c r="R21" s="164"/>
      <c r="S21" s="164"/>
    </row>
    <row r="22" spans="1:19" ht="15" customHeight="1" x14ac:dyDescent="0.2">
      <c r="A22" s="12" t="s">
        <v>34</v>
      </c>
      <c r="B22" s="13">
        <v>2510000</v>
      </c>
      <c r="C22" s="168" t="s">
        <v>102</v>
      </c>
      <c r="D22" s="168" t="s">
        <v>103</v>
      </c>
      <c r="E22" s="168" t="s">
        <v>104</v>
      </c>
      <c r="F22" s="22" t="s">
        <v>113</v>
      </c>
      <c r="G22" s="25">
        <v>5.0632911392405097E-2</v>
      </c>
      <c r="H22" s="17" t="s">
        <v>105</v>
      </c>
      <c r="I22" s="15" t="s">
        <v>106</v>
      </c>
    </row>
    <row r="23" spans="1:19" ht="15" customHeight="1" x14ac:dyDescent="0.2">
      <c r="A23" s="12" t="s">
        <v>35</v>
      </c>
      <c r="B23" s="35">
        <v>66232</v>
      </c>
      <c r="C23" s="168" t="s">
        <v>102</v>
      </c>
      <c r="D23" s="168" t="s">
        <v>103</v>
      </c>
      <c r="E23" s="168" t="s">
        <v>104</v>
      </c>
      <c r="F23" s="15" t="s">
        <v>99</v>
      </c>
      <c r="G23" s="25">
        <v>8.7401207059882701E-3</v>
      </c>
      <c r="H23" s="20" t="s">
        <v>108</v>
      </c>
      <c r="I23" s="15" t="s">
        <v>120</v>
      </c>
    </row>
    <row r="24" spans="1:19" ht="15" customHeight="1" x14ac:dyDescent="0.2">
      <c r="A24" s="163" t="s">
        <v>36</v>
      </c>
      <c r="B24" s="174">
        <v>207</v>
      </c>
      <c r="C24" s="175" t="s">
        <v>102</v>
      </c>
      <c r="D24" s="175" t="s">
        <v>103</v>
      </c>
      <c r="E24" s="175" t="s">
        <v>106</v>
      </c>
      <c r="F24" s="174" t="s">
        <v>99</v>
      </c>
      <c r="G24" s="177">
        <v>0</v>
      </c>
      <c r="H24" s="178" t="s">
        <v>108</v>
      </c>
      <c r="I24" s="174" t="s">
        <v>106</v>
      </c>
    </row>
    <row r="25" spans="1:19" ht="15" customHeight="1" x14ac:dyDescent="0.2">
      <c r="A25" s="12" t="s">
        <v>38</v>
      </c>
      <c r="B25" s="26">
        <v>10438.959702059599</v>
      </c>
      <c r="C25" s="168" t="s">
        <v>102</v>
      </c>
      <c r="D25" s="168" t="s">
        <v>103</v>
      </c>
      <c r="E25" s="168" t="s">
        <v>106</v>
      </c>
      <c r="F25" s="15" t="s">
        <v>99</v>
      </c>
      <c r="G25" s="25">
        <v>5.5284839274235199E-2</v>
      </c>
      <c r="H25" s="20" t="s">
        <v>108</v>
      </c>
      <c r="I25" s="15" t="s">
        <v>106</v>
      </c>
    </row>
    <row r="26" spans="1:19" ht="15" customHeight="1" x14ac:dyDescent="0.2">
      <c r="A26" s="163" t="s">
        <v>39</v>
      </c>
      <c r="B26" s="174">
        <v>170</v>
      </c>
      <c r="C26" s="175" t="s">
        <v>102</v>
      </c>
      <c r="D26" s="175" t="s">
        <v>103</v>
      </c>
      <c r="E26" s="175" t="s">
        <v>106</v>
      </c>
      <c r="F26" s="174" t="s">
        <v>99</v>
      </c>
      <c r="G26" s="177">
        <v>1.2E-2</v>
      </c>
      <c r="H26" s="178" t="s">
        <v>108</v>
      </c>
      <c r="I26" s="174" t="s">
        <v>106</v>
      </c>
    </row>
    <row r="27" spans="1:19" ht="15" customHeight="1" x14ac:dyDescent="0.2">
      <c r="A27" s="12" t="s">
        <v>40</v>
      </c>
      <c r="B27" s="35">
        <v>3120</v>
      </c>
      <c r="C27" s="168" t="s">
        <v>102</v>
      </c>
      <c r="D27" s="168" t="s">
        <v>109</v>
      </c>
      <c r="E27" s="168" t="s">
        <v>104</v>
      </c>
      <c r="F27" s="22" t="s">
        <v>123</v>
      </c>
      <c r="G27" s="169" t="s">
        <v>124</v>
      </c>
      <c r="H27" s="24"/>
      <c r="I27" s="15" t="s">
        <v>125</v>
      </c>
    </row>
    <row r="28" spans="1:19" ht="15" customHeight="1" x14ac:dyDescent="0.2">
      <c r="A28" s="12" t="s">
        <v>41</v>
      </c>
      <c r="B28" s="26">
        <v>3000000</v>
      </c>
      <c r="C28" s="168" t="s">
        <v>102</v>
      </c>
      <c r="D28" s="168" t="s">
        <v>103</v>
      </c>
      <c r="E28" s="168" t="s">
        <v>104</v>
      </c>
      <c r="F28" s="15" t="s">
        <v>99</v>
      </c>
      <c r="G28" s="25">
        <v>0.08</v>
      </c>
      <c r="H28" s="29" t="s">
        <v>126</v>
      </c>
      <c r="I28" s="15" t="s">
        <v>114</v>
      </c>
    </row>
    <row r="29" spans="1:19" ht="15" customHeight="1" x14ac:dyDescent="0.2">
      <c r="A29" s="12" t="s">
        <v>42</v>
      </c>
      <c r="B29" s="13">
        <v>23500</v>
      </c>
      <c r="C29" s="168" t="s">
        <v>102</v>
      </c>
      <c r="D29" s="168" t="s">
        <v>103</v>
      </c>
      <c r="E29" s="168" t="s">
        <v>104</v>
      </c>
      <c r="F29" s="15" t="s">
        <v>99</v>
      </c>
      <c r="G29" s="25">
        <v>2.3971422004290501E-2</v>
      </c>
      <c r="H29" s="20" t="s">
        <v>108</v>
      </c>
      <c r="I29" s="15" t="s">
        <v>106</v>
      </c>
    </row>
    <row r="30" spans="1:19" ht="15" customHeight="1" x14ac:dyDescent="0.2">
      <c r="A30" s="12" t="s">
        <v>43</v>
      </c>
      <c r="B30" s="26">
        <v>1406</v>
      </c>
      <c r="C30" s="168" t="s">
        <v>102</v>
      </c>
      <c r="D30" s="168" t="s">
        <v>103</v>
      </c>
      <c r="E30" s="168" t="s">
        <v>104</v>
      </c>
      <c r="F30" s="15" t="s">
        <v>99</v>
      </c>
      <c r="G30" s="25">
        <v>7.7284427284427304E-2</v>
      </c>
      <c r="H30" s="20" t="s">
        <v>108</v>
      </c>
      <c r="I30" s="15" t="s">
        <v>120</v>
      </c>
    </row>
    <row r="31" spans="1:19" ht="15" customHeight="1" x14ac:dyDescent="0.2">
      <c r="A31" s="12" t="s">
        <v>44</v>
      </c>
      <c r="B31" s="13">
        <v>562</v>
      </c>
      <c r="C31" s="168" t="s">
        <v>102</v>
      </c>
      <c r="D31" s="168" t="s">
        <v>109</v>
      </c>
      <c r="E31" s="168" t="s">
        <v>104</v>
      </c>
      <c r="F31" s="22" t="s">
        <v>123</v>
      </c>
      <c r="G31" s="169" t="s">
        <v>124</v>
      </c>
      <c r="H31" s="24"/>
      <c r="I31" s="15" t="s">
        <v>127</v>
      </c>
    </row>
    <row r="32" spans="1:19" ht="15" customHeight="1" x14ac:dyDescent="0.2">
      <c r="A32" s="12" t="s">
        <v>45</v>
      </c>
      <c r="B32" s="26">
        <v>313.813381593511</v>
      </c>
      <c r="C32" s="168" t="s">
        <v>102</v>
      </c>
      <c r="D32" s="168" t="s">
        <v>103</v>
      </c>
      <c r="E32" s="168" t="s">
        <v>106</v>
      </c>
      <c r="F32" s="15" t="s">
        <v>99</v>
      </c>
      <c r="G32" s="25">
        <v>4.5879838250305997E-2</v>
      </c>
      <c r="H32" s="20" t="s">
        <v>108</v>
      </c>
      <c r="I32" s="15" t="s">
        <v>106</v>
      </c>
    </row>
    <row r="33" spans="1:9" ht="15" customHeight="1" x14ac:dyDescent="0.2">
      <c r="A33" s="163" t="s">
        <v>46</v>
      </c>
      <c r="B33" s="179">
        <v>5154336</v>
      </c>
      <c r="C33" s="175" t="s">
        <v>102</v>
      </c>
      <c r="D33" s="175" t="s">
        <v>103</v>
      </c>
      <c r="E33" s="175" t="s">
        <v>106</v>
      </c>
      <c r="F33" s="174" t="s">
        <v>99</v>
      </c>
      <c r="G33" s="177">
        <v>4.2000000000000003E-2</v>
      </c>
      <c r="H33" s="178" t="s">
        <v>121</v>
      </c>
      <c r="I33" s="174" t="s">
        <v>106</v>
      </c>
    </row>
    <row r="34" spans="1:9" ht="15" customHeight="1" x14ac:dyDescent="0.2">
      <c r="A34" s="12" t="s">
        <v>47</v>
      </c>
      <c r="B34" s="5">
        <v>92572</v>
      </c>
      <c r="C34" s="168" t="s">
        <v>102</v>
      </c>
      <c r="D34" s="168" t="s">
        <v>103</v>
      </c>
      <c r="E34" s="168" t="s">
        <v>104</v>
      </c>
      <c r="F34" s="15" t="s">
        <v>99</v>
      </c>
      <c r="G34" s="173">
        <v>2.0930232558139701E-2</v>
      </c>
      <c r="H34" s="20" t="s">
        <v>108</v>
      </c>
      <c r="I34" s="15" t="s">
        <v>128</v>
      </c>
    </row>
    <row r="35" spans="1:9" ht="15" customHeight="1" x14ac:dyDescent="0.2">
      <c r="A35" s="12" t="s">
        <v>48</v>
      </c>
      <c r="B35" s="26">
        <v>341528.23920265702</v>
      </c>
      <c r="C35" s="168" t="s">
        <v>102</v>
      </c>
      <c r="D35" s="168" t="s">
        <v>103</v>
      </c>
      <c r="E35" s="14" t="s">
        <v>104</v>
      </c>
      <c r="F35" s="15" t="s">
        <v>99</v>
      </c>
      <c r="G35" s="25">
        <v>9.5350722526861796E-3</v>
      </c>
      <c r="H35" s="20" t="s">
        <v>121</v>
      </c>
      <c r="I35" s="15" t="s">
        <v>122</v>
      </c>
    </row>
    <row r="36" spans="1:9" ht="15" customHeight="1" x14ac:dyDescent="0.2">
      <c r="A36" s="12" t="s">
        <v>49</v>
      </c>
      <c r="B36" s="13">
        <v>105000</v>
      </c>
      <c r="C36" s="168" t="s">
        <v>102</v>
      </c>
      <c r="D36" s="168" t="s">
        <v>103</v>
      </c>
      <c r="E36" s="14" t="s">
        <v>104</v>
      </c>
      <c r="F36" s="15" t="s">
        <v>99</v>
      </c>
      <c r="G36" s="16">
        <v>4.1543026706231501E-2</v>
      </c>
      <c r="H36" s="17" t="s">
        <v>105</v>
      </c>
      <c r="I36" s="15" t="s">
        <v>106</v>
      </c>
    </row>
    <row r="37" spans="1:9" ht="15" customHeight="1" x14ac:dyDescent="0.2">
      <c r="A37" s="12" t="s">
        <v>50</v>
      </c>
      <c r="B37" s="26">
        <v>6423.4613344233403</v>
      </c>
      <c r="C37" s="168" t="s">
        <v>102</v>
      </c>
      <c r="D37" s="168" t="s">
        <v>103</v>
      </c>
      <c r="E37" s="14" t="s">
        <v>106</v>
      </c>
      <c r="F37" s="15" t="s">
        <v>99</v>
      </c>
      <c r="G37" s="16">
        <v>4.5578176437603098E-2</v>
      </c>
      <c r="H37" s="20" t="s">
        <v>108</v>
      </c>
      <c r="I37" s="15" t="s">
        <v>106</v>
      </c>
    </row>
    <row r="38" spans="1:9" ht="15" customHeight="1" x14ac:dyDescent="0.2">
      <c r="A38" s="12" t="s">
        <v>51</v>
      </c>
      <c r="B38" s="13">
        <v>12000000</v>
      </c>
      <c r="C38" s="168" t="s">
        <v>102</v>
      </c>
      <c r="D38" s="168" t="s">
        <v>103</v>
      </c>
      <c r="E38" s="14" t="s">
        <v>104</v>
      </c>
      <c r="F38" s="15" t="s">
        <v>99</v>
      </c>
      <c r="G38" s="16">
        <v>3.7037037037037E-2</v>
      </c>
      <c r="H38" s="17" t="s">
        <v>105</v>
      </c>
      <c r="I38" s="15" t="s">
        <v>106</v>
      </c>
    </row>
    <row r="39" spans="1:9" ht="15" customHeight="1" x14ac:dyDescent="0.2">
      <c r="A39" s="12" t="s">
        <v>52</v>
      </c>
      <c r="B39" s="35">
        <v>595238.48788326397</v>
      </c>
      <c r="C39" s="14" t="s">
        <v>102</v>
      </c>
      <c r="D39" s="14" t="s">
        <v>103</v>
      </c>
      <c r="E39" s="14" t="s">
        <v>106</v>
      </c>
      <c r="F39" s="15" t="s">
        <v>99</v>
      </c>
      <c r="G39" s="28">
        <v>7.1975973487986802E-2</v>
      </c>
      <c r="H39" s="17" t="s">
        <v>105</v>
      </c>
      <c r="I39" s="15" t="s">
        <v>106</v>
      </c>
    </row>
    <row r="40" spans="1:9" x14ac:dyDescent="0.2">
      <c r="A40" s="5"/>
      <c r="B40" s="37"/>
    </row>
    <row r="41" spans="1:9" ht="15" customHeight="1" x14ac:dyDescent="0.2">
      <c r="A41" s="38" t="s">
        <v>129</v>
      </c>
      <c r="B41" s="161">
        <v>2020</v>
      </c>
      <c r="C41" s="39">
        <v>2030</v>
      </c>
      <c r="D41" s="39">
        <v>2040</v>
      </c>
      <c r="E41" s="39">
        <v>2050</v>
      </c>
      <c r="F41" s="39" t="s">
        <v>95</v>
      </c>
      <c r="G41" s="39" t="s">
        <v>97</v>
      </c>
      <c r="H41" s="39" t="s">
        <v>130</v>
      </c>
      <c r="I41" s="40" t="s">
        <v>131</v>
      </c>
    </row>
    <row r="42" spans="1:9" ht="15" customHeight="1" x14ac:dyDescent="0.2">
      <c r="A42" s="41" t="s">
        <v>16</v>
      </c>
      <c r="B42" s="162">
        <v>140000</v>
      </c>
      <c r="C42" s="26">
        <v>360000</v>
      </c>
      <c r="D42" s="26">
        <v>259000</v>
      </c>
      <c r="E42" s="43">
        <v>554016.34631780698</v>
      </c>
      <c r="F42" s="44" t="s">
        <v>102</v>
      </c>
      <c r="G42" s="15" t="s">
        <v>132</v>
      </c>
      <c r="H42" s="45" t="s">
        <v>133</v>
      </c>
      <c r="I42" s="15" t="s">
        <v>134</v>
      </c>
    </row>
    <row r="43" spans="1:9" ht="15" customHeight="1" x14ac:dyDescent="0.2">
      <c r="A43" s="41" t="s">
        <v>18</v>
      </c>
      <c r="B43" s="162">
        <v>25000000</v>
      </c>
      <c r="C43" s="26">
        <v>24300000</v>
      </c>
      <c r="D43" s="26">
        <v>16600000</v>
      </c>
      <c r="E43" s="43">
        <v>21529487.561476499</v>
      </c>
      <c r="F43" s="44" t="s">
        <v>102</v>
      </c>
      <c r="G43" s="15" t="s">
        <v>132</v>
      </c>
      <c r="H43" s="45" t="s">
        <v>133</v>
      </c>
      <c r="I43" s="15" t="s">
        <v>134</v>
      </c>
    </row>
    <row r="44" spans="1:9" ht="15" customHeight="1" x14ac:dyDescent="0.2">
      <c r="A44" s="41" t="s">
        <v>34</v>
      </c>
      <c r="B44" s="42">
        <v>2510000</v>
      </c>
      <c r="C44" s="26">
        <v>5320000</v>
      </c>
      <c r="D44" s="26">
        <v>5790000</v>
      </c>
      <c r="E44" s="43">
        <v>9488303.6457675397</v>
      </c>
      <c r="F44" s="44" t="s">
        <v>102</v>
      </c>
      <c r="G44" s="15" t="s">
        <v>132</v>
      </c>
      <c r="H44" s="45" t="s">
        <v>133</v>
      </c>
      <c r="I44" s="15" t="s">
        <v>134</v>
      </c>
    </row>
    <row r="45" spans="1:9" ht="15" customHeight="1" x14ac:dyDescent="0.2">
      <c r="A45" s="41" t="s">
        <v>29</v>
      </c>
      <c r="B45" s="42">
        <v>82500</v>
      </c>
      <c r="C45" s="43">
        <v>513289</v>
      </c>
      <c r="D45" s="43">
        <v>470930</v>
      </c>
      <c r="E45" s="43">
        <v>761517.54262467101</v>
      </c>
      <c r="F45" s="44" t="s">
        <v>102</v>
      </c>
      <c r="G45" s="15" t="s">
        <v>132</v>
      </c>
      <c r="H45" s="45" t="s">
        <v>133</v>
      </c>
      <c r="I45" s="15" t="s">
        <v>134</v>
      </c>
    </row>
    <row r="46" spans="1:9" ht="15" customHeight="1" x14ac:dyDescent="0.2"/>
    <row r="47" spans="1:9" ht="15" customHeight="1" x14ac:dyDescent="0.2">
      <c r="A47" s="46" t="s">
        <v>135</v>
      </c>
      <c r="B47" s="47" t="s">
        <v>136</v>
      </c>
      <c r="C47" s="46" t="s">
        <v>137</v>
      </c>
      <c r="D47" s="47" t="s">
        <v>138</v>
      </c>
      <c r="E47" s="47" t="s">
        <v>126</v>
      </c>
      <c r="F47" s="47" t="s">
        <v>97</v>
      </c>
    </row>
    <row r="48" spans="1:9" x14ac:dyDescent="0.2">
      <c r="A48" s="3" t="s">
        <v>14</v>
      </c>
      <c r="B48" s="48" t="s">
        <v>139</v>
      </c>
      <c r="C48" s="3" t="s">
        <v>51</v>
      </c>
      <c r="D48" s="48" t="s">
        <v>140</v>
      </c>
      <c r="E48" s="14" t="s">
        <v>141</v>
      </c>
      <c r="F48" s="14" t="s">
        <v>112</v>
      </c>
    </row>
    <row r="49" spans="1:6" x14ac:dyDescent="0.2">
      <c r="A49" s="3" t="s">
        <v>20</v>
      </c>
      <c r="B49" s="48" t="s">
        <v>139</v>
      </c>
      <c r="C49" s="3" t="s">
        <v>12</v>
      </c>
      <c r="D49" s="48" t="s">
        <v>139</v>
      </c>
      <c r="E49" s="49" t="s">
        <v>142</v>
      </c>
      <c r="F49" s="14" t="s">
        <v>143</v>
      </c>
    </row>
    <row r="50" spans="1:6" x14ac:dyDescent="0.2">
      <c r="A50" s="3" t="s">
        <v>21</v>
      </c>
      <c r="B50" s="48" t="s">
        <v>140</v>
      </c>
      <c r="C50" s="3" t="s">
        <v>51</v>
      </c>
      <c r="D50" s="48" t="s">
        <v>139</v>
      </c>
      <c r="E50" s="49" t="s">
        <v>144</v>
      </c>
      <c r="F50" s="14" t="s">
        <v>117</v>
      </c>
    </row>
    <row r="51" spans="1:6" x14ac:dyDescent="0.2">
      <c r="A51" s="3" t="s">
        <v>24</v>
      </c>
      <c r="B51" s="48" t="s">
        <v>140</v>
      </c>
      <c r="C51" s="3" t="s">
        <v>145</v>
      </c>
      <c r="D51" s="48" t="s">
        <v>139</v>
      </c>
      <c r="E51" s="16" t="s">
        <v>146</v>
      </c>
      <c r="F51" s="14" t="s">
        <v>106</v>
      </c>
    </row>
    <row r="52" spans="1:6" x14ac:dyDescent="0.2">
      <c r="A52" s="3" t="s">
        <v>40</v>
      </c>
      <c r="B52" s="48" t="s">
        <v>140</v>
      </c>
      <c r="C52" s="3" t="s">
        <v>18</v>
      </c>
      <c r="D52" s="48" t="s">
        <v>140</v>
      </c>
      <c r="E52" s="49" t="s">
        <v>147</v>
      </c>
      <c r="F52" s="14" t="s">
        <v>125</v>
      </c>
    </row>
    <row r="53" spans="1:6" x14ac:dyDescent="0.2">
      <c r="A53" s="3" t="s">
        <v>44</v>
      </c>
      <c r="B53" s="48" t="s">
        <v>139</v>
      </c>
      <c r="C53" s="3" t="s">
        <v>18</v>
      </c>
      <c r="D53" s="48" t="s">
        <v>139</v>
      </c>
      <c r="E53" s="49" t="s">
        <v>148</v>
      </c>
      <c r="F53" s="14" t="s">
        <v>127</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2CC"/>
  </sheetPr>
  <dimension ref="A1:L40"/>
  <sheetViews>
    <sheetView zoomScale="120" zoomScaleNormal="120" workbookViewId="0">
      <pane xSplit="1" ySplit="1" topLeftCell="D2" activePane="bottomRight" state="frozen"/>
      <selection pane="topRight" activeCell="B1" sqref="B1"/>
      <selection pane="bottomLeft" activeCell="A2" sqref="A2"/>
      <selection pane="bottomRight" activeCell="M19" sqref="M19"/>
    </sheetView>
  </sheetViews>
  <sheetFormatPr baseColWidth="10" defaultColWidth="10.6640625" defaultRowHeight="15" x14ac:dyDescent="0.2"/>
  <cols>
    <col min="1" max="1" width="28.33203125" customWidth="1"/>
    <col min="2" max="2" width="27" style="8" customWidth="1"/>
    <col min="3" max="3" width="21" style="54" customWidth="1"/>
    <col min="4" max="4" width="31.6640625" style="7" customWidth="1"/>
    <col min="5" max="5" width="23.33203125" bestFit="1" customWidth="1"/>
    <col min="6" max="6" width="19.83203125" style="6" customWidth="1"/>
    <col min="7" max="7" width="30.33203125" customWidth="1"/>
    <col min="8" max="8" width="10.83203125" style="6" customWidth="1"/>
    <col min="9" max="9" width="13" customWidth="1"/>
    <col min="10" max="10" width="21.83203125" customWidth="1"/>
    <col min="11" max="11" width="4.5" style="6" customWidth="1"/>
    <col min="12" max="12" width="27" customWidth="1"/>
  </cols>
  <sheetData>
    <row r="1" spans="1:12" s="50" customFormat="1" ht="15" customHeight="1" x14ac:dyDescent="0.2">
      <c r="A1" s="55" t="s">
        <v>149</v>
      </c>
      <c r="B1" s="56" t="s">
        <v>151</v>
      </c>
      <c r="C1" s="57" t="s">
        <v>152</v>
      </c>
      <c r="D1" s="58" t="s">
        <v>97</v>
      </c>
      <c r="E1" s="56" t="s">
        <v>153</v>
      </c>
      <c r="F1" s="56" t="s">
        <v>154</v>
      </c>
      <c r="G1" s="58" t="s">
        <v>97</v>
      </c>
      <c r="H1" s="56" t="s">
        <v>95</v>
      </c>
      <c r="I1" s="59" t="s">
        <v>155</v>
      </c>
      <c r="J1" s="59" t="s">
        <v>156</v>
      </c>
      <c r="K1" s="59" t="s">
        <v>95</v>
      </c>
      <c r="L1" s="1" t="s">
        <v>97</v>
      </c>
    </row>
    <row r="2" spans="1:12" ht="15" customHeight="1" x14ac:dyDescent="0.2">
      <c r="A2" s="26" t="s">
        <v>12</v>
      </c>
      <c r="B2" s="45">
        <v>26000000000</v>
      </c>
      <c r="C2" s="60" t="s">
        <v>157</v>
      </c>
      <c r="D2" s="22" t="s">
        <v>158</v>
      </c>
      <c r="E2" s="26" t="s">
        <v>159</v>
      </c>
      <c r="F2" s="60" t="s">
        <v>157</v>
      </c>
      <c r="G2" s="26" t="s">
        <v>160</v>
      </c>
      <c r="H2" s="61" t="s">
        <v>161</v>
      </c>
      <c r="I2" s="62">
        <v>0.908138742809525</v>
      </c>
      <c r="J2" s="62">
        <v>0.79852327505234</v>
      </c>
      <c r="K2" s="63" t="s">
        <v>162</v>
      </c>
      <c r="L2" s="64" t="s">
        <v>163</v>
      </c>
    </row>
    <row r="3" spans="1:12" ht="15" customHeight="1" x14ac:dyDescent="0.2">
      <c r="A3" s="26" t="s">
        <v>164</v>
      </c>
      <c r="B3" s="45">
        <v>65000000000</v>
      </c>
      <c r="C3" s="60" t="s">
        <v>157</v>
      </c>
      <c r="D3" s="22" t="s">
        <v>160</v>
      </c>
      <c r="E3" s="26">
        <v>29000000000</v>
      </c>
      <c r="F3" s="60" t="s">
        <v>157</v>
      </c>
      <c r="G3" s="26" t="s">
        <v>160</v>
      </c>
      <c r="H3" s="61" t="s">
        <v>161</v>
      </c>
      <c r="I3" s="65"/>
      <c r="J3" s="66"/>
      <c r="K3" s="67"/>
      <c r="L3" s="68"/>
    </row>
    <row r="4" spans="1:12" ht="15" customHeight="1" x14ac:dyDescent="0.2">
      <c r="A4" s="26" t="s">
        <v>13</v>
      </c>
      <c r="B4" s="69" t="s">
        <v>165</v>
      </c>
      <c r="C4" s="60" t="s">
        <v>157</v>
      </c>
      <c r="D4" s="22" t="s">
        <v>160</v>
      </c>
      <c r="E4" s="70" t="e">
        <f>#N/A</f>
        <v>#N/A</v>
      </c>
      <c r="F4" s="71"/>
      <c r="G4" s="71"/>
      <c r="H4" s="61" t="s">
        <v>161</v>
      </c>
      <c r="I4" s="62">
        <v>0.96120000000000005</v>
      </c>
      <c r="J4" s="62">
        <v>0.74589119999999998</v>
      </c>
      <c r="K4" s="63" t="s">
        <v>162</v>
      </c>
      <c r="L4" s="64" t="s">
        <v>163</v>
      </c>
    </row>
    <row r="5" spans="1:12" ht="15" customHeight="1" x14ac:dyDescent="0.2">
      <c r="A5" s="26" t="s">
        <v>14</v>
      </c>
      <c r="B5" s="72">
        <v>5700000</v>
      </c>
      <c r="C5" s="73" t="s">
        <v>166</v>
      </c>
      <c r="D5" s="74" t="s">
        <v>167</v>
      </c>
      <c r="E5" s="43">
        <v>690000</v>
      </c>
      <c r="F5" s="73" t="s">
        <v>166</v>
      </c>
      <c r="G5" s="43" t="s">
        <v>167</v>
      </c>
      <c r="H5" s="61" t="s">
        <v>161</v>
      </c>
      <c r="I5" s="62">
        <v>0.997906070866454</v>
      </c>
      <c r="J5" s="62">
        <v>0.76116258846560703</v>
      </c>
      <c r="K5" s="63" t="s">
        <v>162</v>
      </c>
      <c r="L5" s="64" t="s">
        <v>163</v>
      </c>
    </row>
    <row r="6" spans="1:12" ht="15" customHeight="1" x14ac:dyDescent="0.2">
      <c r="A6" s="26" t="s">
        <v>15</v>
      </c>
      <c r="B6" s="45">
        <v>12000000000</v>
      </c>
      <c r="C6" s="60" t="s">
        <v>157</v>
      </c>
      <c r="D6" s="22" t="s">
        <v>160</v>
      </c>
      <c r="E6" s="26">
        <v>1200000000</v>
      </c>
      <c r="F6" s="60" t="s">
        <v>157</v>
      </c>
      <c r="G6" s="26" t="s">
        <v>160</v>
      </c>
      <c r="H6" s="61" t="s">
        <v>161</v>
      </c>
      <c r="I6" s="62">
        <v>0.89217919846074001</v>
      </c>
      <c r="J6" s="62">
        <v>0.67042367514390899</v>
      </c>
      <c r="K6" s="63" t="s">
        <v>162</v>
      </c>
      <c r="L6" s="64" t="s">
        <v>163</v>
      </c>
    </row>
    <row r="7" spans="1:12" ht="15" customHeight="1" x14ac:dyDescent="0.2">
      <c r="A7" s="26" t="s">
        <v>16</v>
      </c>
      <c r="B7" s="45">
        <v>25000000</v>
      </c>
      <c r="C7" s="60" t="s">
        <v>157</v>
      </c>
      <c r="D7" s="22" t="s">
        <v>160</v>
      </c>
      <c r="E7" s="26">
        <v>11000000</v>
      </c>
      <c r="F7" s="60" t="s">
        <v>157</v>
      </c>
      <c r="G7" s="26" t="s">
        <v>160</v>
      </c>
      <c r="H7" s="61" t="s">
        <v>161</v>
      </c>
      <c r="I7" s="62">
        <v>0.97064955919698204</v>
      </c>
      <c r="J7" s="62">
        <v>0.42645155031877402</v>
      </c>
      <c r="K7" s="63" t="s">
        <v>162</v>
      </c>
      <c r="L7" s="64" t="s">
        <v>163</v>
      </c>
    </row>
    <row r="8" spans="1:12" ht="15" customHeight="1" x14ac:dyDescent="0.2">
      <c r="A8" s="180" t="s">
        <v>18</v>
      </c>
      <c r="B8" s="45">
        <v>1500000000</v>
      </c>
      <c r="C8" s="60" t="s">
        <v>157</v>
      </c>
      <c r="D8" s="22" t="s">
        <v>160</v>
      </c>
      <c r="E8" s="26">
        <v>980000000</v>
      </c>
      <c r="F8" s="60" t="s">
        <v>157</v>
      </c>
      <c r="G8" s="26" t="s">
        <v>160</v>
      </c>
      <c r="H8" s="61" t="s">
        <v>161</v>
      </c>
      <c r="I8" s="62">
        <v>0.97751655521087399</v>
      </c>
      <c r="J8" s="62">
        <v>0.81597780244297602</v>
      </c>
      <c r="K8" s="63" t="s">
        <v>162</v>
      </c>
      <c r="L8" s="64" t="s">
        <v>163</v>
      </c>
    </row>
    <row r="9" spans="1:12" ht="15" customHeight="1" x14ac:dyDescent="0.2">
      <c r="A9" s="180" t="s">
        <v>19</v>
      </c>
      <c r="B9" s="72">
        <v>4009000</v>
      </c>
      <c r="C9" s="73" t="s">
        <v>166</v>
      </c>
      <c r="D9" s="22" t="s">
        <v>167</v>
      </c>
      <c r="E9" s="43">
        <v>544000</v>
      </c>
      <c r="F9" s="73" t="s">
        <v>166</v>
      </c>
      <c r="G9" s="26" t="s">
        <v>167</v>
      </c>
      <c r="H9" s="61" t="s">
        <v>161</v>
      </c>
      <c r="I9" s="62">
        <v>0.83445470245105502</v>
      </c>
      <c r="J9" s="62">
        <v>0.55256020803350503</v>
      </c>
      <c r="K9" s="63" t="s">
        <v>162</v>
      </c>
      <c r="L9" s="64" t="s">
        <v>163</v>
      </c>
    </row>
    <row r="10" spans="1:12" ht="15" customHeight="1" x14ac:dyDescent="0.2">
      <c r="A10" s="180" t="s">
        <v>20</v>
      </c>
      <c r="B10" s="72">
        <v>13845000</v>
      </c>
      <c r="C10" s="73" t="s">
        <v>166</v>
      </c>
      <c r="D10" s="74" t="s">
        <v>167</v>
      </c>
      <c r="E10" s="19">
        <v>1300000</v>
      </c>
      <c r="F10" s="73" t="s">
        <v>166</v>
      </c>
      <c r="G10" s="43" t="s">
        <v>158</v>
      </c>
      <c r="H10" s="61" t="s">
        <v>161</v>
      </c>
      <c r="I10" s="75">
        <v>0.95</v>
      </c>
      <c r="J10" s="76">
        <v>0.59850000000000003</v>
      </c>
      <c r="K10" s="63" t="s">
        <v>162</v>
      </c>
      <c r="L10" s="64" t="s">
        <v>168</v>
      </c>
    </row>
    <row r="11" spans="1:12" ht="15" customHeight="1" x14ac:dyDescent="0.2">
      <c r="A11" s="180" t="s">
        <v>21</v>
      </c>
      <c r="B11" s="69" t="e">
        <f>#N/A</f>
        <v>#N/A</v>
      </c>
      <c r="C11" s="71"/>
      <c r="D11" s="77"/>
      <c r="E11" s="43">
        <v>36000</v>
      </c>
      <c r="F11" s="73" t="s">
        <v>166</v>
      </c>
      <c r="G11" s="26" t="s">
        <v>167</v>
      </c>
      <c r="H11" s="61" t="s">
        <v>161</v>
      </c>
      <c r="I11" s="62">
        <v>1</v>
      </c>
      <c r="J11" s="62">
        <v>6.5774804905239801E-3</v>
      </c>
      <c r="K11" s="63" t="s">
        <v>162</v>
      </c>
      <c r="L11" s="64" t="s">
        <v>163</v>
      </c>
    </row>
    <row r="12" spans="1:12" ht="15" customHeight="1" x14ac:dyDescent="0.2">
      <c r="A12" s="180" t="s">
        <v>23</v>
      </c>
      <c r="B12" s="69" t="e">
        <f>#N/A</f>
        <v>#N/A</v>
      </c>
      <c r="C12" s="71"/>
      <c r="D12" s="77"/>
      <c r="E12" s="70" t="e">
        <f>#N/A</f>
        <v>#N/A</v>
      </c>
      <c r="F12" s="78"/>
      <c r="G12" s="71"/>
      <c r="H12" s="61" t="s">
        <v>161</v>
      </c>
      <c r="I12" s="62">
        <v>0.99986413043478295</v>
      </c>
      <c r="J12" s="62">
        <v>2.7170220935728499E-3</v>
      </c>
      <c r="K12" s="63" t="s">
        <v>162</v>
      </c>
      <c r="L12" s="64" t="s">
        <v>163</v>
      </c>
    </row>
    <row r="13" spans="1:12" ht="15" customHeight="1" x14ac:dyDescent="0.2">
      <c r="A13" s="180" t="s">
        <v>24</v>
      </c>
      <c r="B13" s="72">
        <v>356000</v>
      </c>
      <c r="C13" s="73" t="s">
        <v>166</v>
      </c>
      <c r="D13" s="74" t="s">
        <v>167</v>
      </c>
      <c r="E13" s="26">
        <v>21000</v>
      </c>
      <c r="F13" s="73" t="s">
        <v>166</v>
      </c>
      <c r="G13" s="43" t="s">
        <v>167</v>
      </c>
      <c r="H13" s="61" t="s">
        <v>161</v>
      </c>
      <c r="I13" s="62">
        <v>0.83275227004971597</v>
      </c>
      <c r="J13" s="76">
        <v>0.24982568101491501</v>
      </c>
      <c r="K13" s="63" t="s">
        <v>162</v>
      </c>
      <c r="L13" s="64" t="s">
        <v>163</v>
      </c>
    </row>
    <row r="14" spans="1:12" ht="15" customHeight="1" x14ac:dyDescent="0.2">
      <c r="A14" s="164" t="s">
        <v>240</v>
      </c>
      <c r="B14" s="181">
        <v>2024</v>
      </c>
      <c r="C14" s="73" t="s">
        <v>166</v>
      </c>
      <c r="D14" s="174" t="s">
        <v>167</v>
      </c>
      <c r="E14" s="179">
        <v>1651</v>
      </c>
      <c r="F14" s="73" t="s">
        <v>166</v>
      </c>
      <c r="G14" s="174" t="s">
        <v>167</v>
      </c>
      <c r="H14" s="182" t="s">
        <v>161</v>
      </c>
      <c r="I14" s="183">
        <v>1</v>
      </c>
      <c r="J14" s="183">
        <v>0.57579999999999998</v>
      </c>
      <c r="K14" s="182" t="s">
        <v>162</v>
      </c>
      <c r="L14" s="174" t="s">
        <v>163</v>
      </c>
    </row>
    <row r="15" spans="1:12" ht="15" customHeight="1" x14ac:dyDescent="0.2">
      <c r="A15" s="180" t="s">
        <v>26</v>
      </c>
      <c r="B15" s="45">
        <v>230000000000</v>
      </c>
      <c r="C15" s="60" t="s">
        <v>157</v>
      </c>
      <c r="D15" s="22" t="s">
        <v>160</v>
      </c>
      <c r="E15" s="26">
        <v>88000000000</v>
      </c>
      <c r="F15" s="60" t="s">
        <v>157</v>
      </c>
      <c r="G15" s="26" t="s">
        <v>160</v>
      </c>
      <c r="H15" s="61" t="s">
        <v>161</v>
      </c>
      <c r="I15" s="62">
        <v>1</v>
      </c>
      <c r="J15" s="62">
        <v>0.87408949011446402</v>
      </c>
      <c r="K15" s="63" t="s">
        <v>162</v>
      </c>
      <c r="L15" s="64" t="s">
        <v>163</v>
      </c>
    </row>
    <row r="16" spans="1:12" ht="15" customHeight="1" x14ac:dyDescent="0.2">
      <c r="A16" s="180" t="s">
        <v>27</v>
      </c>
      <c r="B16" s="72">
        <v>2000000000</v>
      </c>
      <c r="C16" s="60" t="s">
        <v>157</v>
      </c>
      <c r="D16" s="22" t="s">
        <v>160</v>
      </c>
      <c r="E16" s="26">
        <v>96000000</v>
      </c>
      <c r="F16" s="60" t="s">
        <v>157</v>
      </c>
      <c r="G16" s="26" t="s">
        <v>160</v>
      </c>
      <c r="H16" s="61" t="s">
        <v>161</v>
      </c>
      <c r="I16" s="62">
        <v>0.95739698194604195</v>
      </c>
      <c r="J16" s="62">
        <v>0.85404162594050304</v>
      </c>
      <c r="K16" s="63" t="s">
        <v>162</v>
      </c>
      <c r="L16" s="64" t="s">
        <v>163</v>
      </c>
    </row>
    <row r="17" spans="1:12" ht="15" customHeight="1" x14ac:dyDescent="0.2">
      <c r="A17" s="164" t="s">
        <v>28</v>
      </c>
      <c r="B17" s="181">
        <v>139804561</v>
      </c>
      <c r="C17" s="73" t="s">
        <v>166</v>
      </c>
      <c r="D17" s="174" t="s">
        <v>167</v>
      </c>
      <c r="E17" s="179">
        <v>25324596</v>
      </c>
      <c r="F17" s="73" t="s">
        <v>166</v>
      </c>
      <c r="G17" s="174" t="s">
        <v>167</v>
      </c>
      <c r="H17" s="182" t="s">
        <v>161</v>
      </c>
      <c r="I17" s="183">
        <v>0.91400000000000003</v>
      </c>
      <c r="J17" s="183">
        <v>0.54849999999999999</v>
      </c>
      <c r="K17" s="182" t="s">
        <v>162</v>
      </c>
      <c r="L17" s="174" t="s">
        <v>163</v>
      </c>
    </row>
    <row r="18" spans="1:12" ht="15" customHeight="1" x14ac:dyDescent="0.2">
      <c r="A18" s="180" t="s">
        <v>29</v>
      </c>
      <c r="B18" s="45">
        <v>115000000</v>
      </c>
      <c r="C18" s="60" t="s">
        <v>157</v>
      </c>
      <c r="D18" s="22" t="s">
        <v>160</v>
      </c>
      <c r="E18" s="26">
        <v>30000000</v>
      </c>
      <c r="F18" s="60" t="s">
        <v>157</v>
      </c>
      <c r="G18" s="26" t="s">
        <v>160</v>
      </c>
      <c r="H18" s="61" t="s">
        <v>161</v>
      </c>
      <c r="I18" s="79">
        <v>0.59</v>
      </c>
      <c r="J18" s="79">
        <v>0.59</v>
      </c>
      <c r="K18" s="63" t="s">
        <v>162</v>
      </c>
      <c r="L18" s="64" t="s">
        <v>168</v>
      </c>
    </row>
    <row r="19" spans="1:12" ht="15" customHeight="1" x14ac:dyDescent="0.2">
      <c r="A19" s="164" t="s">
        <v>30</v>
      </c>
      <c r="B19" s="178" t="s">
        <v>165</v>
      </c>
      <c r="C19" s="60" t="s">
        <v>157</v>
      </c>
      <c r="D19" s="174" t="s">
        <v>160</v>
      </c>
      <c r="E19" s="174" t="e">
        <v>#N/A</v>
      </c>
      <c r="F19" s="174"/>
      <c r="G19" s="174"/>
      <c r="H19" s="182" t="s">
        <v>161</v>
      </c>
      <c r="I19" s="183">
        <v>0.94079999999999997</v>
      </c>
      <c r="J19" s="183">
        <v>0.63900000000000001</v>
      </c>
      <c r="K19" s="182" t="s">
        <v>162</v>
      </c>
      <c r="L19" s="174" t="s">
        <v>163</v>
      </c>
    </row>
    <row r="20" spans="1:12" ht="15" customHeight="1" x14ac:dyDescent="0.2">
      <c r="A20" s="180" t="s">
        <v>31</v>
      </c>
      <c r="B20" s="72">
        <v>17273000000</v>
      </c>
      <c r="C20" s="73" t="s">
        <v>166</v>
      </c>
      <c r="D20" s="22" t="s">
        <v>167</v>
      </c>
      <c r="E20" s="26">
        <v>1700000000</v>
      </c>
      <c r="F20" s="60" t="s">
        <v>157</v>
      </c>
      <c r="G20" s="26" t="s">
        <v>160</v>
      </c>
      <c r="H20" s="61" t="s">
        <v>161</v>
      </c>
      <c r="I20" s="62">
        <v>0.96428114845397295</v>
      </c>
      <c r="J20" s="62">
        <v>0.67499680391778105</v>
      </c>
      <c r="K20" s="63" t="s">
        <v>162</v>
      </c>
      <c r="L20" s="64" t="s">
        <v>163</v>
      </c>
    </row>
    <row r="21" spans="1:12" ht="15" customHeight="1" x14ac:dyDescent="0.2">
      <c r="A21" s="180" t="s">
        <v>32</v>
      </c>
      <c r="B21" s="45">
        <v>25400000</v>
      </c>
      <c r="C21" s="60" t="s">
        <v>157</v>
      </c>
      <c r="D21" s="22" t="s">
        <v>160</v>
      </c>
      <c r="E21" s="26">
        <v>15000000</v>
      </c>
      <c r="F21" s="60" t="s">
        <v>157</v>
      </c>
      <c r="G21" s="26" t="s">
        <v>160</v>
      </c>
      <c r="H21" s="61" t="s">
        <v>161</v>
      </c>
      <c r="I21" s="62">
        <v>1</v>
      </c>
      <c r="J21" s="62">
        <v>0.6</v>
      </c>
      <c r="K21" s="63" t="s">
        <v>162</v>
      </c>
      <c r="L21" s="64" t="s">
        <v>163</v>
      </c>
    </row>
    <row r="22" spans="1:12" ht="14.25" customHeight="1" x14ac:dyDescent="0.2">
      <c r="A22" s="180" t="s">
        <v>33</v>
      </c>
      <c r="B22" s="72">
        <v>62433000</v>
      </c>
      <c r="C22" s="73" t="s">
        <v>166</v>
      </c>
      <c r="D22" s="22" t="s">
        <v>167</v>
      </c>
      <c r="E22" s="43">
        <v>16070000</v>
      </c>
      <c r="F22" s="73" t="s">
        <v>166</v>
      </c>
      <c r="G22" s="26" t="s">
        <v>167</v>
      </c>
      <c r="H22" s="61" t="s">
        <v>161</v>
      </c>
      <c r="I22" s="62">
        <v>0.96546212667585396</v>
      </c>
      <c r="J22" s="62">
        <v>0.57787148010964395</v>
      </c>
      <c r="K22" s="63" t="s">
        <v>162</v>
      </c>
      <c r="L22" s="64" t="s">
        <v>163</v>
      </c>
    </row>
    <row r="23" spans="1:12" ht="17.25" customHeight="1" x14ac:dyDescent="0.2">
      <c r="A23" s="180" t="s">
        <v>34</v>
      </c>
      <c r="B23" s="45">
        <v>350000000</v>
      </c>
      <c r="C23" s="60" t="s">
        <v>157</v>
      </c>
      <c r="D23" s="22" t="s">
        <v>160</v>
      </c>
      <c r="E23" s="26" t="s">
        <v>169</v>
      </c>
      <c r="F23" s="60" t="s">
        <v>157</v>
      </c>
      <c r="G23" s="26" t="s">
        <v>160</v>
      </c>
      <c r="H23" s="61" t="s">
        <v>161</v>
      </c>
      <c r="I23" s="62">
        <v>0.94463836406500901</v>
      </c>
      <c r="J23" s="62">
        <v>0.74395466384252495</v>
      </c>
      <c r="K23" s="63" t="s">
        <v>162</v>
      </c>
      <c r="L23" s="64" t="s">
        <v>163</v>
      </c>
    </row>
    <row r="24" spans="1:12" ht="15" customHeight="1" x14ac:dyDescent="0.2">
      <c r="A24" s="180" t="s">
        <v>35</v>
      </c>
      <c r="B24" s="69" t="s">
        <v>165</v>
      </c>
      <c r="C24" s="60" t="s">
        <v>157</v>
      </c>
      <c r="D24" s="22" t="s">
        <v>160</v>
      </c>
      <c r="E24" s="26" t="s">
        <v>170</v>
      </c>
      <c r="F24" s="60" t="s">
        <v>157</v>
      </c>
      <c r="G24" s="26" t="s">
        <v>160</v>
      </c>
      <c r="H24" s="61" t="s">
        <v>161</v>
      </c>
      <c r="I24" s="62">
        <v>0.92237313987491998</v>
      </c>
      <c r="J24" s="62">
        <v>0.65488492931119302</v>
      </c>
      <c r="K24" s="63" t="s">
        <v>162</v>
      </c>
      <c r="L24" s="64" t="s">
        <v>163</v>
      </c>
    </row>
    <row r="25" spans="1:12" ht="15" customHeight="1" x14ac:dyDescent="0.2">
      <c r="A25" s="164" t="s">
        <v>36</v>
      </c>
      <c r="B25" s="181">
        <v>40823</v>
      </c>
      <c r="C25" s="73" t="s">
        <v>166</v>
      </c>
      <c r="D25" s="174" t="s">
        <v>167</v>
      </c>
      <c r="E25" s="179">
        <v>24104</v>
      </c>
      <c r="F25" s="73" t="s">
        <v>166</v>
      </c>
      <c r="G25" s="174" t="s">
        <v>167</v>
      </c>
      <c r="H25" s="182" t="s">
        <v>161</v>
      </c>
      <c r="I25" s="183">
        <v>0.99809999999999999</v>
      </c>
      <c r="J25" s="183">
        <v>0.67789999999999995</v>
      </c>
      <c r="K25" s="182" t="s">
        <v>162</v>
      </c>
      <c r="L25" s="174" t="s">
        <v>163</v>
      </c>
    </row>
    <row r="26" spans="1:12" ht="15" customHeight="1" x14ac:dyDescent="0.2">
      <c r="A26" s="180" t="s">
        <v>38</v>
      </c>
      <c r="B26" s="72">
        <v>19847000</v>
      </c>
      <c r="C26" s="73" t="s">
        <v>166</v>
      </c>
      <c r="D26" s="22" t="s">
        <v>167</v>
      </c>
      <c r="E26" s="43">
        <v>4718000</v>
      </c>
      <c r="F26" s="73" t="s">
        <v>166</v>
      </c>
      <c r="G26" s="26" t="s">
        <v>167</v>
      </c>
      <c r="H26" s="61" t="s">
        <v>161</v>
      </c>
      <c r="I26" s="62">
        <v>0.90291119774981499</v>
      </c>
      <c r="J26" s="62">
        <v>0.53761582481911097</v>
      </c>
      <c r="K26" s="63" t="s">
        <v>162</v>
      </c>
      <c r="L26" s="64" t="s">
        <v>163</v>
      </c>
    </row>
    <row r="27" spans="1:12" ht="18" customHeight="1" x14ac:dyDescent="0.2">
      <c r="A27" s="164" t="s">
        <v>39</v>
      </c>
      <c r="B27" s="181">
        <v>42102</v>
      </c>
      <c r="C27" s="73" t="s">
        <v>166</v>
      </c>
      <c r="D27" s="174" t="s">
        <v>167</v>
      </c>
      <c r="E27" s="179">
        <v>31071</v>
      </c>
      <c r="F27" s="73" t="s">
        <v>166</v>
      </c>
      <c r="G27" s="174" t="s">
        <v>167</v>
      </c>
      <c r="H27" s="182" t="s">
        <v>161</v>
      </c>
      <c r="I27" s="183">
        <v>1</v>
      </c>
      <c r="J27" s="183">
        <v>0.68189999999999995</v>
      </c>
      <c r="K27" s="182" t="s">
        <v>162</v>
      </c>
      <c r="L27" s="174" t="s">
        <v>163</v>
      </c>
    </row>
    <row r="28" spans="1:12" ht="15" customHeight="1" x14ac:dyDescent="0.2">
      <c r="A28" s="180" t="s">
        <v>40</v>
      </c>
      <c r="B28" s="72">
        <v>171000</v>
      </c>
      <c r="C28" s="73" t="s">
        <v>166</v>
      </c>
      <c r="D28" s="74" t="s">
        <v>171</v>
      </c>
      <c r="E28" s="26">
        <v>92000</v>
      </c>
      <c r="F28" s="60" t="s">
        <v>157</v>
      </c>
      <c r="G28" s="26" t="s">
        <v>160</v>
      </c>
      <c r="H28" s="61" t="s">
        <v>161</v>
      </c>
      <c r="I28" s="62">
        <v>0.994531782211863</v>
      </c>
      <c r="J28" s="76">
        <v>4.47520809399908E-2</v>
      </c>
      <c r="K28" s="63" t="s">
        <v>162</v>
      </c>
      <c r="L28" s="64" t="s">
        <v>163</v>
      </c>
    </row>
    <row r="29" spans="1:12" ht="15" customHeight="1" x14ac:dyDescent="0.2">
      <c r="A29" s="180" t="s">
        <v>41</v>
      </c>
      <c r="B29" s="69" t="s">
        <v>165</v>
      </c>
      <c r="C29" s="60" t="s">
        <v>157</v>
      </c>
      <c r="D29" s="22" t="s">
        <v>160</v>
      </c>
      <c r="E29" s="70" t="e">
        <f>#N/A</f>
        <v>#N/A</v>
      </c>
      <c r="F29" s="78"/>
      <c r="G29" s="26"/>
      <c r="H29" s="61" t="s">
        <v>161</v>
      </c>
      <c r="I29" s="62">
        <v>0.92</v>
      </c>
      <c r="J29" s="76">
        <v>0.73599999999999999</v>
      </c>
      <c r="K29" s="63" t="s">
        <v>162</v>
      </c>
      <c r="L29" s="64" t="s">
        <v>163</v>
      </c>
    </row>
    <row r="30" spans="1:12" ht="15" customHeight="1" x14ac:dyDescent="0.2">
      <c r="A30" s="180" t="s">
        <v>42</v>
      </c>
      <c r="B30" s="72">
        <v>1200000</v>
      </c>
      <c r="C30" s="73" t="s">
        <v>166</v>
      </c>
      <c r="D30" s="22" t="s">
        <v>167</v>
      </c>
      <c r="E30" s="26">
        <v>640000</v>
      </c>
      <c r="F30" s="60" t="s">
        <v>157</v>
      </c>
      <c r="G30" s="26" t="s">
        <v>160</v>
      </c>
      <c r="H30" s="61" t="s">
        <v>161</v>
      </c>
      <c r="I30" s="62">
        <v>1</v>
      </c>
      <c r="J30" s="76">
        <v>0.84256559766763905</v>
      </c>
      <c r="K30" s="63" t="s">
        <v>162</v>
      </c>
      <c r="L30" s="64" t="s">
        <v>163</v>
      </c>
    </row>
    <row r="31" spans="1:12" ht="15" customHeight="1" x14ac:dyDescent="0.2">
      <c r="A31" s="180" t="s">
        <v>43</v>
      </c>
      <c r="B31" s="69" t="s">
        <v>165</v>
      </c>
      <c r="C31" s="60" t="s">
        <v>157</v>
      </c>
      <c r="D31" s="22" t="s">
        <v>160</v>
      </c>
      <c r="E31" s="70" t="e">
        <f>#N/A</f>
        <v>#N/A</v>
      </c>
      <c r="F31" s="78"/>
      <c r="G31" s="26"/>
      <c r="H31" s="61" t="s">
        <v>161</v>
      </c>
      <c r="I31" s="62">
        <v>0.99805572742851201</v>
      </c>
      <c r="J31" s="76">
        <v>0.67785017909107104</v>
      </c>
      <c r="K31" s="63" t="s">
        <v>162</v>
      </c>
      <c r="L31" s="64" t="s">
        <v>163</v>
      </c>
    </row>
    <row r="32" spans="1:12" ht="15" customHeight="1" x14ac:dyDescent="0.2">
      <c r="A32" s="180" t="s">
        <v>44</v>
      </c>
      <c r="B32" s="72">
        <v>48000</v>
      </c>
      <c r="C32" s="73" t="s">
        <v>166</v>
      </c>
      <c r="D32" s="74" t="s">
        <v>171</v>
      </c>
      <c r="E32" s="26">
        <v>35000</v>
      </c>
      <c r="F32" s="60" t="s">
        <v>157</v>
      </c>
      <c r="G32" s="26" t="s">
        <v>160</v>
      </c>
      <c r="H32" s="61" t="s">
        <v>161</v>
      </c>
      <c r="I32" s="62">
        <v>0.98995006993746304</v>
      </c>
      <c r="J32" s="76">
        <v>4.4552208368022497E-2</v>
      </c>
      <c r="K32" s="63" t="s">
        <v>162</v>
      </c>
      <c r="L32" s="64" t="s">
        <v>163</v>
      </c>
    </row>
    <row r="33" spans="1:12" ht="15" customHeight="1" x14ac:dyDescent="0.2">
      <c r="A33" s="180" t="s">
        <v>45</v>
      </c>
      <c r="B33" s="72">
        <v>827000</v>
      </c>
      <c r="C33" s="73" t="s">
        <v>166</v>
      </c>
      <c r="D33" s="22" t="s">
        <v>167</v>
      </c>
      <c r="E33" s="26">
        <v>102000</v>
      </c>
      <c r="F33" s="60" t="s">
        <v>157</v>
      </c>
      <c r="G33" s="26" t="s">
        <v>160</v>
      </c>
      <c r="H33" s="61" t="s">
        <v>161</v>
      </c>
      <c r="I33" s="62">
        <v>0.86502679244765801</v>
      </c>
      <c r="J33" s="62">
        <v>0.558892736429214</v>
      </c>
      <c r="K33" s="63" t="s">
        <v>162</v>
      </c>
      <c r="L33" s="64" t="s">
        <v>163</v>
      </c>
    </row>
    <row r="34" spans="1:12" ht="15" customHeight="1" x14ac:dyDescent="0.2">
      <c r="A34" s="164" t="s">
        <v>46</v>
      </c>
      <c r="B34" s="181">
        <v>599341397</v>
      </c>
      <c r="C34" s="73" t="s">
        <v>166</v>
      </c>
      <c r="D34" s="174" t="s">
        <v>167</v>
      </c>
      <c r="E34" s="179">
        <v>449506048</v>
      </c>
      <c r="F34" s="73" t="s">
        <v>166</v>
      </c>
      <c r="G34" s="174" t="s">
        <v>167</v>
      </c>
      <c r="H34" s="182" t="s">
        <v>161</v>
      </c>
      <c r="I34" s="183">
        <v>0.95569999999999999</v>
      </c>
      <c r="J34" s="183">
        <v>0.81710000000000005</v>
      </c>
      <c r="K34" s="182" t="s">
        <v>162</v>
      </c>
      <c r="L34" s="174" t="s">
        <v>163</v>
      </c>
    </row>
    <row r="35" spans="1:12" x14ac:dyDescent="0.2">
      <c r="A35" s="180" t="s">
        <v>47</v>
      </c>
      <c r="B35" s="69" t="e">
        <f>#N/A</f>
        <v>#N/A</v>
      </c>
      <c r="C35" s="71"/>
      <c r="D35" s="77"/>
      <c r="E35" s="26" t="s">
        <v>172</v>
      </c>
      <c r="F35" s="60" t="s">
        <v>157</v>
      </c>
      <c r="G35" s="26" t="s">
        <v>160</v>
      </c>
      <c r="H35" s="61" t="s">
        <v>161</v>
      </c>
      <c r="I35" s="62">
        <v>0.99243161901028498</v>
      </c>
      <c r="J35" s="62">
        <v>0.87567495795025196</v>
      </c>
      <c r="K35" s="63" t="s">
        <v>162</v>
      </c>
      <c r="L35" s="64" t="s">
        <v>163</v>
      </c>
    </row>
    <row r="36" spans="1:12" x14ac:dyDescent="0.2">
      <c r="A36" s="180" t="s">
        <v>48</v>
      </c>
      <c r="B36" s="69" t="e">
        <f>#N/A</f>
        <v>#N/A</v>
      </c>
      <c r="C36" s="71"/>
      <c r="D36" s="77"/>
      <c r="E36" s="26">
        <v>4600000</v>
      </c>
      <c r="F36" s="60" t="s">
        <v>157</v>
      </c>
      <c r="G36" s="26" t="s">
        <v>160</v>
      </c>
      <c r="H36" s="61" t="s">
        <v>161</v>
      </c>
      <c r="I36" s="62">
        <v>0.89027747461422302</v>
      </c>
      <c r="J36" s="62">
        <v>0.29264544711620999</v>
      </c>
      <c r="K36" s="63" t="s">
        <v>162</v>
      </c>
      <c r="L36" s="64" t="s">
        <v>163</v>
      </c>
    </row>
    <row r="37" spans="1:12" x14ac:dyDescent="0.2">
      <c r="A37" s="180" t="s">
        <v>49</v>
      </c>
      <c r="B37" s="45" t="s">
        <v>173</v>
      </c>
      <c r="C37" s="60" t="s">
        <v>157</v>
      </c>
      <c r="D37" s="22" t="s">
        <v>160</v>
      </c>
      <c r="E37" s="26">
        <v>18000000</v>
      </c>
      <c r="F37" s="60" t="s">
        <v>157</v>
      </c>
      <c r="G37" s="26" t="s">
        <v>160</v>
      </c>
      <c r="H37" s="61" t="s">
        <v>161</v>
      </c>
      <c r="I37" s="62">
        <v>1</v>
      </c>
      <c r="J37" s="62">
        <v>0.88571428571428601</v>
      </c>
      <c r="K37" s="63" t="s">
        <v>162</v>
      </c>
      <c r="L37" s="64" t="s">
        <v>163</v>
      </c>
    </row>
    <row r="38" spans="1:12" x14ac:dyDescent="0.2">
      <c r="A38" s="180" t="s">
        <v>50</v>
      </c>
      <c r="B38" s="72">
        <v>32329000</v>
      </c>
      <c r="C38" s="73" t="s">
        <v>166</v>
      </c>
      <c r="D38" s="22" t="s">
        <v>167</v>
      </c>
      <c r="E38" s="43">
        <v>3120000</v>
      </c>
      <c r="F38" s="73" t="s">
        <v>166</v>
      </c>
      <c r="G38" s="26" t="s">
        <v>167</v>
      </c>
      <c r="H38" s="61" t="s">
        <v>161</v>
      </c>
      <c r="I38" s="62">
        <v>0.89282970271070705</v>
      </c>
      <c r="J38" s="62">
        <v>0.59290685898236795</v>
      </c>
      <c r="K38" s="63" t="s">
        <v>162</v>
      </c>
      <c r="L38" s="64" t="s">
        <v>163</v>
      </c>
    </row>
    <row r="39" spans="1:12" x14ac:dyDescent="0.2">
      <c r="A39" s="26" t="s">
        <v>51</v>
      </c>
      <c r="B39" s="45">
        <v>1900000000</v>
      </c>
      <c r="C39" s="60" t="s">
        <v>157</v>
      </c>
      <c r="D39" s="22" t="s">
        <v>160</v>
      </c>
      <c r="E39" s="26">
        <v>230000000</v>
      </c>
      <c r="F39" s="60" t="s">
        <v>157</v>
      </c>
      <c r="G39" s="26" t="s">
        <v>160</v>
      </c>
      <c r="H39" s="61" t="s">
        <v>161</v>
      </c>
      <c r="I39" s="62">
        <v>0.97568273374067804</v>
      </c>
      <c r="J39" s="62">
        <v>0.81742856379078299</v>
      </c>
      <c r="K39" s="63" t="s">
        <v>162</v>
      </c>
      <c r="L39" s="64" t="s">
        <v>163</v>
      </c>
    </row>
    <row r="40" spans="1:12" x14ac:dyDescent="0.2">
      <c r="A40" s="26" t="s">
        <v>52</v>
      </c>
      <c r="B40" s="69" t="e">
        <f>#N/A</f>
        <v>#N/A</v>
      </c>
      <c r="C40" s="71"/>
      <c r="D40" s="77"/>
      <c r="E40" s="26" t="s">
        <v>174</v>
      </c>
      <c r="F40" s="60" t="s">
        <v>157</v>
      </c>
      <c r="G40" s="26" t="s">
        <v>160</v>
      </c>
      <c r="H40" s="61" t="s">
        <v>161</v>
      </c>
      <c r="I40" s="62">
        <v>0.95603887089310502</v>
      </c>
      <c r="J40" s="62">
        <v>0.81741323461360504</v>
      </c>
      <c r="K40" s="63" t="s">
        <v>162</v>
      </c>
      <c r="L40" s="64" t="s">
        <v>163</v>
      </c>
    </row>
  </sheetData>
  <autoFilter ref="A1:L34" xr:uid="{00000000-0009-0000-0000-000005000000}"/>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79998168889431442"/>
  </sheetPr>
  <dimension ref="A1:J39"/>
  <sheetViews>
    <sheetView zoomScaleNormal="100" workbookViewId="0">
      <selection activeCell="C34" sqref="C34"/>
    </sheetView>
  </sheetViews>
  <sheetFormatPr baseColWidth="10" defaultColWidth="10.6640625" defaultRowHeight="15" x14ac:dyDescent="0.2"/>
  <cols>
    <col min="1" max="1" width="12.6640625" bestFit="1" customWidth="1"/>
    <col min="2" max="2" width="18.6640625" customWidth="1"/>
    <col min="3" max="7" width="10.83203125" customWidth="1"/>
    <col min="8" max="8" width="12.83203125" customWidth="1"/>
    <col min="9" max="9" width="12.33203125" customWidth="1"/>
  </cols>
  <sheetData>
    <row r="1" spans="1:10" ht="15" customHeight="1" thickBot="1" x14ac:dyDescent="0.25">
      <c r="A1" s="194" t="s">
        <v>93</v>
      </c>
      <c r="B1" s="194" t="s">
        <v>178</v>
      </c>
      <c r="C1" s="194" t="s">
        <v>175</v>
      </c>
      <c r="D1" s="194" t="s">
        <v>265</v>
      </c>
      <c r="E1" s="194" t="s">
        <v>176</v>
      </c>
      <c r="F1" s="194" t="s">
        <v>266</v>
      </c>
      <c r="G1" s="194" t="s">
        <v>177</v>
      </c>
      <c r="H1" s="194" t="s">
        <v>267</v>
      </c>
      <c r="I1" s="194" t="s">
        <v>150</v>
      </c>
      <c r="J1" s="194" t="s">
        <v>95</v>
      </c>
    </row>
    <row r="2" spans="1:10" ht="15" customHeight="1" thickTop="1" x14ac:dyDescent="0.2">
      <c r="A2" s="155" t="s">
        <v>12</v>
      </c>
      <c r="B2" s="5" t="s">
        <v>179</v>
      </c>
      <c r="C2" s="5">
        <v>59119832.1569001</v>
      </c>
      <c r="D2" s="5">
        <v>79564469.867782757</v>
      </c>
      <c r="E2" s="5">
        <v>107079209.0299</v>
      </c>
      <c r="F2" s="5">
        <v>144109010.28464994</v>
      </c>
      <c r="G2" s="5">
        <v>193944343.008944</v>
      </c>
      <c r="H2" s="5">
        <v>261013576.53399569</v>
      </c>
      <c r="I2" s="5">
        <v>351276485.19207501</v>
      </c>
      <c r="J2" s="5" t="s">
        <v>102</v>
      </c>
    </row>
    <row r="3" spans="1:10" ht="15" customHeight="1" x14ac:dyDescent="0.2">
      <c r="A3" s="156" t="s">
        <v>13</v>
      </c>
      <c r="B3" s="5" t="s">
        <v>179</v>
      </c>
      <c r="C3" s="5">
        <v>3461752.1880000001</v>
      </c>
      <c r="D3" s="5">
        <v>4412212.3828434935</v>
      </c>
      <c r="E3" s="5">
        <v>5623631.3444968797</v>
      </c>
      <c r="F3" s="5">
        <v>7167658.0261140149</v>
      </c>
      <c r="G3" s="5">
        <v>9135613.3487645909</v>
      </c>
      <c r="H3" s="5">
        <v>11643891.345549256</v>
      </c>
      <c r="I3" s="5">
        <v>14840843.246205401</v>
      </c>
      <c r="J3" s="5" t="s">
        <v>102</v>
      </c>
    </row>
    <row r="4" spans="1:10" ht="15" customHeight="1" x14ac:dyDescent="0.2">
      <c r="A4" s="156" t="s">
        <v>14</v>
      </c>
      <c r="B4" s="5" t="s">
        <v>179</v>
      </c>
      <c r="C4" s="5">
        <v>2673.5515024869201</v>
      </c>
      <c r="D4" s="5">
        <v>3206.7115094378109</v>
      </c>
      <c r="E4" s="5">
        <v>3846.1943580274201</v>
      </c>
      <c r="F4" s="5">
        <v>4613.2029639034954</v>
      </c>
      <c r="G4" s="5">
        <v>5533.1685310574403</v>
      </c>
      <c r="H4" s="5">
        <v>6636.593757665164</v>
      </c>
      <c r="I4" s="5">
        <v>7960.0641941522299</v>
      </c>
      <c r="J4" s="5" t="s">
        <v>102</v>
      </c>
    </row>
    <row r="5" spans="1:10" ht="15" customHeight="1" x14ac:dyDescent="0.2">
      <c r="A5" s="156" t="s">
        <v>15</v>
      </c>
      <c r="B5" s="5" t="s">
        <v>179</v>
      </c>
      <c r="C5" s="5">
        <v>33010630.343047399</v>
      </c>
      <c r="D5" s="5">
        <v>45907085.812858619</v>
      </c>
      <c r="E5" s="5">
        <v>63841874.751508102</v>
      </c>
      <c r="F5" s="5">
        <v>88783352.278171033</v>
      </c>
      <c r="G5" s="5">
        <v>123468862.285621</v>
      </c>
      <c r="H5" s="5">
        <v>171705162.76905397</v>
      </c>
      <c r="I5" s="5">
        <v>238786220.07016599</v>
      </c>
      <c r="J5" s="5" t="s">
        <v>102</v>
      </c>
    </row>
    <row r="6" spans="1:10" ht="15" customHeight="1" x14ac:dyDescent="0.2">
      <c r="A6" s="156" t="s">
        <v>16</v>
      </c>
      <c r="B6" s="5" t="s">
        <v>179</v>
      </c>
      <c r="C6" s="5">
        <v>142000</v>
      </c>
      <c r="D6" s="5">
        <v>251000</v>
      </c>
      <c r="E6" s="5">
        <v>360000</v>
      </c>
      <c r="F6" s="5">
        <v>309500</v>
      </c>
      <c r="G6" s="5">
        <v>259000</v>
      </c>
      <c r="H6" s="5">
        <v>378801.04764415848</v>
      </c>
      <c r="I6" s="5">
        <v>554016.34631780698</v>
      </c>
      <c r="J6" s="5" t="s">
        <v>102</v>
      </c>
    </row>
    <row r="7" spans="1:10" ht="15" customHeight="1" x14ac:dyDescent="0.2">
      <c r="A7" s="156" t="s">
        <v>18</v>
      </c>
      <c r="B7" s="5" t="s">
        <v>179</v>
      </c>
      <c r="C7" s="5">
        <v>20600000</v>
      </c>
      <c r="D7" s="5">
        <v>22450000</v>
      </c>
      <c r="E7" s="5">
        <v>24300000</v>
      </c>
      <c r="F7" s="5">
        <v>20450000</v>
      </c>
      <c r="G7" s="5">
        <v>16600000</v>
      </c>
      <c r="H7" s="5">
        <v>18904747.909467343</v>
      </c>
      <c r="I7" s="5">
        <v>21529487.561476499</v>
      </c>
      <c r="J7" s="5" t="s">
        <v>102</v>
      </c>
    </row>
    <row r="8" spans="1:10" ht="15" customHeight="1" x14ac:dyDescent="0.2">
      <c r="A8" s="156" t="s">
        <v>19</v>
      </c>
      <c r="B8" s="5" t="s">
        <v>179</v>
      </c>
      <c r="C8" s="5">
        <v>1128.6423414027699</v>
      </c>
      <c r="D8" s="5">
        <v>1455.9774163257275</v>
      </c>
      <c r="E8" s="5">
        <v>1878.24801452672</v>
      </c>
      <c r="F8" s="5">
        <v>2422.9878599190561</v>
      </c>
      <c r="G8" s="5">
        <v>3125.7161588398999</v>
      </c>
      <c r="H8" s="5">
        <v>4032.2535936928934</v>
      </c>
      <c r="I8" s="5">
        <v>5201.7100138368796</v>
      </c>
      <c r="J8" s="5" t="s">
        <v>102</v>
      </c>
    </row>
    <row r="9" spans="1:10" ht="15" customHeight="1" x14ac:dyDescent="0.2">
      <c r="A9" s="156" t="s">
        <v>20</v>
      </c>
      <c r="B9" s="5" t="s">
        <v>179</v>
      </c>
      <c r="C9" s="5">
        <v>779.24699999999996</v>
      </c>
      <c r="D9" s="5">
        <v>1048.7237901236811</v>
      </c>
      <c r="E9" s="5">
        <v>1411.3902112826599</v>
      </c>
      <c r="F9" s="5">
        <v>1899.4728137802413</v>
      </c>
      <c r="G9" s="5">
        <v>2556.34263398448</v>
      </c>
      <c r="H9" s="5">
        <v>3440.3691460691607</v>
      </c>
      <c r="I9" s="5">
        <v>4630.1069754393902</v>
      </c>
      <c r="J9" s="5" t="s">
        <v>102</v>
      </c>
    </row>
    <row r="10" spans="1:10" ht="15" customHeight="1" x14ac:dyDescent="0.2">
      <c r="A10" s="156" t="s">
        <v>21</v>
      </c>
      <c r="B10" s="5" t="s">
        <v>179</v>
      </c>
      <c r="C10" s="5">
        <v>296.39999999999998</v>
      </c>
      <c r="D10" s="5">
        <v>355.50812861216525</v>
      </c>
      <c r="E10" s="5">
        <v>426.403608331052</v>
      </c>
      <c r="F10" s="5">
        <v>511.43707432944336</v>
      </c>
      <c r="G10" s="5">
        <v>613.42792576835802</v>
      </c>
      <c r="H10" s="5">
        <v>735.75780677581361</v>
      </c>
      <c r="I10" s="5">
        <v>882.48272941518405</v>
      </c>
      <c r="J10" s="5" t="s">
        <v>102</v>
      </c>
    </row>
    <row r="11" spans="1:10" ht="15" customHeight="1" x14ac:dyDescent="0.2">
      <c r="A11" s="156" t="s">
        <v>23</v>
      </c>
      <c r="B11" s="5" t="s">
        <v>179</v>
      </c>
      <c r="C11" s="5">
        <v>74.989809782608702</v>
      </c>
      <c r="D11" s="5">
        <v>106.15183584006792</v>
      </c>
      <c r="E11" s="5">
        <v>150.26324623149</v>
      </c>
      <c r="F11" s="5">
        <v>212.70515944767806</v>
      </c>
      <c r="G11" s="5">
        <v>301.094818529088</v>
      </c>
      <c r="H11" s="5">
        <v>426.21481293858653</v>
      </c>
      <c r="I11" s="5">
        <v>603.32843871481202</v>
      </c>
      <c r="J11" s="5" t="s">
        <v>102</v>
      </c>
    </row>
    <row r="12" spans="1:10" ht="15" customHeight="1" x14ac:dyDescent="0.2">
      <c r="A12" s="156" t="s">
        <v>24</v>
      </c>
      <c r="B12" s="5" t="s">
        <v>179</v>
      </c>
      <c r="C12" s="5">
        <v>806</v>
      </c>
      <c r="D12" s="5">
        <v>944.2293950279626</v>
      </c>
      <c r="E12" s="5">
        <v>1106.16519905071</v>
      </c>
      <c r="F12" s="5">
        <v>1247.8828991323305</v>
      </c>
      <c r="G12" s="5">
        <v>1407.7569347537601</v>
      </c>
      <c r="H12" s="5">
        <v>1678.6610917376802</v>
      </c>
      <c r="I12" s="5">
        <v>2001.69716188032</v>
      </c>
      <c r="J12" s="5" t="s">
        <v>102</v>
      </c>
    </row>
    <row r="13" spans="1:10" ht="15" customHeight="1" x14ac:dyDescent="0.2">
      <c r="A13" s="156" t="s">
        <v>25</v>
      </c>
      <c r="B13" s="5" t="s">
        <v>179</v>
      </c>
      <c r="C13" s="5">
        <v>6</v>
      </c>
      <c r="D13" s="5">
        <v>6.9894753374049046</v>
      </c>
      <c r="E13" s="5">
        <v>8.1421275820318986</v>
      </c>
      <c r="F13" s="5">
        <v>9.4848666547693643</v>
      </c>
      <c r="G13" s="5">
        <v>11.049040260347438</v>
      </c>
      <c r="H13" s="5">
        <v>12.87116573361538</v>
      </c>
      <c r="I13" s="5">
        <v>14.993782576459299</v>
      </c>
      <c r="J13" s="5" t="s">
        <v>102</v>
      </c>
    </row>
    <row r="14" spans="1:10" ht="15" customHeight="1" x14ac:dyDescent="0.2">
      <c r="A14" s="156" t="s">
        <v>26</v>
      </c>
      <c r="B14" s="5" t="s">
        <v>179</v>
      </c>
      <c r="C14" s="5">
        <v>2470000000</v>
      </c>
      <c r="D14" s="5">
        <v>2980744257.9776301</v>
      </c>
      <c r="E14" s="5">
        <v>3597099729.3387098</v>
      </c>
      <c r="F14" s="5">
        <v>4340904600.6474733</v>
      </c>
      <c r="G14" s="5">
        <v>5238512737.9792099</v>
      </c>
      <c r="H14" s="5">
        <v>6321727434.8478575</v>
      </c>
      <c r="I14" s="5">
        <v>7628928239.6447001</v>
      </c>
      <c r="J14" s="5" t="s">
        <v>102</v>
      </c>
    </row>
    <row r="15" spans="1:10" ht="15" customHeight="1" x14ac:dyDescent="0.2">
      <c r="A15" s="156" t="s">
        <v>27</v>
      </c>
      <c r="B15" s="5" t="s">
        <v>179</v>
      </c>
      <c r="C15" s="5">
        <v>2987078.5836716499</v>
      </c>
      <c r="D15" s="5">
        <v>3247199.6111970153</v>
      </c>
      <c r="E15" s="5">
        <v>3529972.5198381701</v>
      </c>
      <c r="F15" s="5">
        <v>3837369.882604552</v>
      </c>
      <c r="G15" s="5">
        <v>4171536.0482736998</v>
      </c>
      <c r="H15" s="5">
        <v>4534802.0999830831</v>
      </c>
      <c r="I15" s="5">
        <v>4929702.1164472802</v>
      </c>
      <c r="J15" s="5" t="s">
        <v>102</v>
      </c>
    </row>
    <row r="16" spans="1:10" ht="15" customHeight="1" x14ac:dyDescent="0.2">
      <c r="A16" s="156" t="s">
        <v>28</v>
      </c>
      <c r="B16" s="5" t="s">
        <v>179</v>
      </c>
      <c r="C16" s="5">
        <v>49065.348000000005</v>
      </c>
      <c r="D16" s="5">
        <v>58274.241901398265</v>
      </c>
      <c r="E16" s="5">
        <v>69211.519078244004</v>
      </c>
      <c r="F16" s="5">
        <v>82201.573402247814</v>
      </c>
      <c r="G16" s="5">
        <v>97629.683032476067</v>
      </c>
      <c r="H16" s="5">
        <v>115953.43756231685</v>
      </c>
      <c r="I16" s="5">
        <v>137716.30988544365</v>
      </c>
      <c r="J16" s="5" t="s">
        <v>102</v>
      </c>
    </row>
    <row r="17" spans="1:10" ht="15" customHeight="1" x14ac:dyDescent="0.2">
      <c r="A17" s="156" t="s">
        <v>29</v>
      </c>
      <c r="B17" s="5" t="s">
        <v>179</v>
      </c>
      <c r="C17" s="5">
        <v>48675</v>
      </c>
      <c r="D17" s="5">
        <v>175757.755</v>
      </c>
      <c r="E17" s="5">
        <v>302840.51</v>
      </c>
      <c r="F17" s="5">
        <v>290344.60499999998</v>
      </c>
      <c r="G17" s="5">
        <v>277848.7</v>
      </c>
      <c r="H17" s="5">
        <v>353321.56593508564</v>
      </c>
      <c r="I17" s="5">
        <v>449295.350148556</v>
      </c>
      <c r="J17" s="5" t="s">
        <v>102</v>
      </c>
    </row>
    <row r="18" spans="1:10" ht="15" customHeight="1" x14ac:dyDescent="0.2">
      <c r="A18" s="156" t="s">
        <v>30</v>
      </c>
      <c r="B18" s="5" t="s">
        <v>179</v>
      </c>
      <c r="C18" s="5">
        <v>940800</v>
      </c>
      <c r="D18" s="5">
        <v>1235426.4629256395</v>
      </c>
      <c r="E18" s="5">
        <v>1622319.882330948</v>
      </c>
      <c r="F18" s="5">
        <v>2130375.1211331445</v>
      </c>
      <c r="G18" s="5">
        <v>2797535.9275152008</v>
      </c>
      <c r="H18" s="5">
        <v>3673628.7370721744</v>
      </c>
      <c r="I18" s="5">
        <v>4824083.9251095457</v>
      </c>
      <c r="J18" s="5" t="s">
        <v>102</v>
      </c>
    </row>
    <row r="19" spans="1:10" ht="15" customHeight="1" x14ac:dyDescent="0.2">
      <c r="A19" s="156" t="s">
        <v>31</v>
      </c>
      <c r="B19" s="5" t="s">
        <v>179</v>
      </c>
      <c r="C19" s="5">
        <v>18224913.7057801</v>
      </c>
      <c r="D19" s="5">
        <v>23106044.240024012</v>
      </c>
      <c r="E19" s="5">
        <v>29294475.0818009</v>
      </c>
      <c r="F19" s="5">
        <v>37140337.021936037</v>
      </c>
      <c r="G19" s="5">
        <v>47087535.456811897</v>
      </c>
      <c r="H19" s="5">
        <v>59698865.79346215</v>
      </c>
      <c r="I19" s="5">
        <v>75687855.447321504</v>
      </c>
      <c r="J19" s="5" t="s">
        <v>102</v>
      </c>
    </row>
    <row r="20" spans="1:10" ht="15" customHeight="1" x14ac:dyDescent="0.2">
      <c r="A20" s="156" t="s">
        <v>32</v>
      </c>
      <c r="B20" s="5" t="s">
        <v>179</v>
      </c>
      <c r="C20" s="5">
        <v>280597</v>
      </c>
      <c r="D20" s="5">
        <v>315880.0542526801</v>
      </c>
      <c r="E20" s="5">
        <v>355599.69876611698</v>
      </c>
      <c r="F20" s="5">
        <v>400313.80285062839</v>
      </c>
      <c r="G20" s="5">
        <v>450650.38386922597</v>
      </c>
      <c r="H20" s="5">
        <v>507316.42785062635</v>
      </c>
      <c r="I20" s="5">
        <v>571107.81923089596</v>
      </c>
      <c r="J20" s="5" t="s">
        <v>102</v>
      </c>
    </row>
    <row r="21" spans="1:10" ht="15" customHeight="1" x14ac:dyDescent="0.2">
      <c r="A21" s="156" t="s">
        <v>33</v>
      </c>
      <c r="B21" s="5" t="s">
        <v>179</v>
      </c>
      <c r="C21" s="5">
        <v>32898.017743275101</v>
      </c>
      <c r="D21" s="5">
        <v>43277.736098622634</v>
      </c>
      <c r="E21" s="5">
        <v>56932.379830237303</v>
      </c>
      <c r="F21" s="5">
        <v>74895.227092009853</v>
      </c>
      <c r="G21" s="5">
        <v>98525.567662720103</v>
      </c>
      <c r="H21" s="5">
        <v>129611.56351573243</v>
      </c>
      <c r="I21" s="5">
        <v>170505.563129571</v>
      </c>
      <c r="J21" s="5" t="s">
        <v>102</v>
      </c>
    </row>
    <row r="22" spans="1:10" ht="15" customHeight="1" x14ac:dyDescent="0.2">
      <c r="A22" s="156" t="s">
        <v>34</v>
      </c>
      <c r="B22" s="5" t="s">
        <v>179</v>
      </c>
      <c r="C22" s="5">
        <v>2371042.2938031699</v>
      </c>
      <c r="D22" s="5">
        <v>3698259.1953145098</v>
      </c>
      <c r="E22" s="5">
        <v>5025476.0968258502</v>
      </c>
      <c r="F22" s="5">
        <v>5247466.1123811249</v>
      </c>
      <c r="G22" s="5">
        <v>5469456.1279363995</v>
      </c>
      <c r="H22" s="5">
        <v>7001629.8661436699</v>
      </c>
      <c r="I22" s="5">
        <v>8963015.6336899102</v>
      </c>
      <c r="J22" s="5" t="s">
        <v>102</v>
      </c>
    </row>
    <row r="23" spans="1:10" ht="15" customHeight="1" x14ac:dyDescent="0.2">
      <c r="A23" s="156" t="s">
        <v>35</v>
      </c>
      <c r="B23" s="5" t="s">
        <v>179</v>
      </c>
      <c r="C23" s="5">
        <v>61090.617800195701</v>
      </c>
      <c r="D23" s="5">
        <v>63807.39127412044</v>
      </c>
      <c r="E23" s="5">
        <v>66644.9829419741</v>
      </c>
      <c r="F23" s="5">
        <v>69608.765734597051</v>
      </c>
      <c r="G23" s="5">
        <v>72704.351523546007</v>
      </c>
      <c r="H23" s="5">
        <v>75937.601747076042</v>
      </c>
      <c r="I23" s="5">
        <v>79314.638508672797</v>
      </c>
      <c r="J23" s="5" t="s">
        <v>102</v>
      </c>
    </row>
    <row r="24" spans="1:10" ht="15" customHeight="1" x14ac:dyDescent="0.2">
      <c r="A24" s="156" t="s">
        <v>36</v>
      </c>
      <c r="B24" s="5" t="s">
        <v>179</v>
      </c>
      <c r="C24" s="5">
        <v>206.60669999999999</v>
      </c>
      <c r="D24" s="5">
        <v>206.60669999999999</v>
      </c>
      <c r="E24" s="5">
        <v>206.60669999999999</v>
      </c>
      <c r="F24" s="5">
        <v>206.60669999999999</v>
      </c>
      <c r="G24" s="5">
        <v>206.60669999999999</v>
      </c>
      <c r="H24" s="5">
        <v>206.60669999999999</v>
      </c>
      <c r="I24" s="5">
        <v>206.60669999999999</v>
      </c>
      <c r="J24" s="5" t="s">
        <v>102</v>
      </c>
    </row>
    <row r="25" spans="1:10" ht="15" customHeight="1" x14ac:dyDescent="0.2">
      <c r="A25" s="156" t="s">
        <v>38</v>
      </c>
      <c r="B25" s="5" t="s">
        <v>179</v>
      </c>
      <c r="C25" s="5">
        <v>9425.4536078487108</v>
      </c>
      <c r="D25" s="5">
        <v>12335.329496328673</v>
      </c>
      <c r="E25" s="5">
        <v>16143.5576592611</v>
      </c>
      <c r="F25" s="5">
        <v>21127.482162146778</v>
      </c>
      <c r="G25" s="5">
        <v>27650.070197244298</v>
      </c>
      <c r="H25" s="5">
        <v>36186.346108118247</v>
      </c>
      <c r="I25" s="5">
        <v>47357.986266054002</v>
      </c>
      <c r="J25" s="5" t="s">
        <v>102</v>
      </c>
    </row>
    <row r="26" spans="1:10" ht="15" customHeight="1" x14ac:dyDescent="0.2">
      <c r="A26" s="156" t="s">
        <v>39</v>
      </c>
      <c r="B26" s="5" t="s">
        <v>179</v>
      </c>
      <c r="C26" s="5">
        <v>170</v>
      </c>
      <c r="D26" s="5">
        <v>180.44775526790144</v>
      </c>
      <c r="E26" s="5">
        <v>191.53760224249677</v>
      </c>
      <c r="F26" s="5">
        <v>203.30900220032183</v>
      </c>
      <c r="G26" s="5">
        <v>215.80384160473471</v>
      </c>
      <c r="H26" s="5">
        <v>229.06658115155375</v>
      </c>
      <c r="I26" s="5">
        <v>243.14441397464972</v>
      </c>
      <c r="J26" s="5" t="s">
        <v>102</v>
      </c>
    </row>
    <row r="27" spans="1:10" ht="15" customHeight="1" x14ac:dyDescent="0.2">
      <c r="A27" s="156" t="s">
        <v>40</v>
      </c>
      <c r="B27" s="5" t="s">
        <v>179</v>
      </c>
      <c r="C27" s="5">
        <v>5974</v>
      </c>
      <c r="D27" s="5">
        <v>6510.5</v>
      </c>
      <c r="E27" s="5">
        <v>7047</v>
      </c>
      <c r="F27" s="5">
        <v>5930.5</v>
      </c>
      <c r="G27" s="5">
        <v>4814</v>
      </c>
      <c r="H27" s="5">
        <v>5482.3768937455316</v>
      </c>
      <c r="I27" s="5">
        <v>6243.5513928281898</v>
      </c>
      <c r="J27" s="5" t="s">
        <v>102</v>
      </c>
    </row>
    <row r="28" spans="1:10" ht="15" customHeight="1" x14ac:dyDescent="0.2">
      <c r="A28" s="156" t="s">
        <v>41</v>
      </c>
      <c r="B28" s="5" t="s">
        <v>179</v>
      </c>
      <c r="C28" s="5">
        <v>3000000</v>
      </c>
      <c r="D28" s="5">
        <v>4407984.2304000035</v>
      </c>
      <c r="E28" s="5">
        <v>6476774.9918183703</v>
      </c>
      <c r="F28" s="5">
        <v>9516507.3425948136</v>
      </c>
      <c r="G28" s="5">
        <v>13982871.431547901</v>
      </c>
      <c r="H28" s="5">
        <v>20545425.588657945</v>
      </c>
      <c r="I28" s="5">
        <v>30187970.667220298</v>
      </c>
      <c r="J28" s="5" t="s">
        <v>102</v>
      </c>
    </row>
    <row r="29" spans="1:10" ht="15" customHeight="1" x14ac:dyDescent="0.2">
      <c r="A29" s="156" t="s">
        <v>42</v>
      </c>
      <c r="B29" s="5" t="s">
        <v>179</v>
      </c>
      <c r="C29" s="5">
        <v>23500</v>
      </c>
      <c r="D29" s="5">
        <v>26454.955950840478</v>
      </c>
      <c r="E29" s="5">
        <v>29781.476355783401</v>
      </c>
      <c r="F29" s="5">
        <v>33526.282772053069</v>
      </c>
      <c r="G29" s="5">
        <v>37741.971656599402</v>
      </c>
      <c r="H29" s="5">
        <v>42487.753092476851</v>
      </c>
      <c r="I29" s="5">
        <v>47830.282404751502</v>
      </c>
      <c r="J29" s="5" t="s">
        <v>102</v>
      </c>
    </row>
    <row r="30" spans="1:10" ht="15" customHeight="1" x14ac:dyDescent="0.2">
      <c r="A30" s="156" t="s">
        <v>43</v>
      </c>
      <c r="B30" s="5" t="s">
        <v>179</v>
      </c>
      <c r="C30" s="5">
        <v>1403.26635276449</v>
      </c>
      <c r="D30" s="5">
        <v>2036.0667962454911</v>
      </c>
      <c r="E30" s="5">
        <v>2954.2274640922201</v>
      </c>
      <c r="F30" s="5">
        <v>4286.431037375688</v>
      </c>
      <c r="G30" s="5">
        <v>6219.3894212622699</v>
      </c>
      <c r="H30" s="5">
        <v>9024.0119194804174</v>
      </c>
      <c r="I30" s="5">
        <v>13093.3739001018</v>
      </c>
      <c r="J30" s="5" t="s">
        <v>102</v>
      </c>
    </row>
    <row r="31" spans="1:10" ht="15" customHeight="1" x14ac:dyDescent="0.2">
      <c r="A31" s="156" t="s">
        <v>44</v>
      </c>
      <c r="B31" s="5" t="s">
        <v>179</v>
      </c>
      <c r="C31" s="5">
        <v>458.88774619063201</v>
      </c>
      <c r="D31" s="5">
        <v>500.09853893105299</v>
      </c>
      <c r="E31" s="5">
        <v>541.30933167147396</v>
      </c>
      <c r="F31" s="5">
        <v>455.54633056303044</v>
      </c>
      <c r="G31" s="5">
        <v>369.78332945458698</v>
      </c>
      <c r="H31" s="5">
        <v>421.12413400376408</v>
      </c>
      <c r="I31" s="5">
        <v>479.59310794782601</v>
      </c>
      <c r="J31" s="5" t="s">
        <v>102</v>
      </c>
    </row>
    <row r="32" spans="1:10" ht="15" customHeight="1" x14ac:dyDescent="0.2">
      <c r="A32" s="156" t="s">
        <v>45</v>
      </c>
      <c r="B32" s="5" t="s">
        <v>179</v>
      </c>
      <c r="C32" s="5">
        <v>313.813381593511</v>
      </c>
      <c r="D32" s="5">
        <v>392.71764431998218</v>
      </c>
      <c r="E32" s="5">
        <v>491.46134998159403</v>
      </c>
      <c r="F32" s="5">
        <v>615.03286653688383</v>
      </c>
      <c r="G32" s="5">
        <v>769.67482170213998</v>
      </c>
      <c r="H32" s="5">
        <v>963.19947013221088</v>
      </c>
      <c r="I32" s="5">
        <v>1205.3833555464901</v>
      </c>
      <c r="J32" s="5" t="s">
        <v>102</v>
      </c>
    </row>
    <row r="33" spans="1:10" ht="15" customHeight="1" x14ac:dyDescent="0.2">
      <c r="A33" s="156" t="s">
        <v>46</v>
      </c>
      <c r="B33" s="5" t="s">
        <v>179</v>
      </c>
      <c r="C33" s="5">
        <v>4925998.9151999997</v>
      </c>
      <c r="D33" s="5">
        <v>6051080.167172893</v>
      </c>
      <c r="E33" s="5">
        <v>7433126.1171352696</v>
      </c>
      <c r="F33" s="5">
        <v>9130826.6205060482</v>
      </c>
      <c r="G33" s="5">
        <v>11216276.094327001</v>
      </c>
      <c r="H33" s="5">
        <v>13778035.073148584</v>
      </c>
      <c r="I33" s="5">
        <v>16924891.0137766</v>
      </c>
      <c r="J33" s="5" t="s">
        <v>102</v>
      </c>
    </row>
    <row r="34" spans="1:10" x14ac:dyDescent="0.2">
      <c r="A34" s="156" t="s">
        <v>47</v>
      </c>
      <c r="B34" s="5" t="s">
        <v>179</v>
      </c>
      <c r="C34" s="5">
        <v>91871.379835020096</v>
      </c>
      <c r="D34" s="5">
        <v>101896.8039881665</v>
      </c>
      <c r="E34" s="5">
        <v>113016.248168344</v>
      </c>
      <c r="F34" s="5">
        <v>125349.09683263475</v>
      </c>
      <c r="G34" s="5">
        <v>139027.762214799</v>
      </c>
      <c r="H34" s="5">
        <v>154199.10597570811</v>
      </c>
      <c r="I34" s="5">
        <v>171026.01599075901</v>
      </c>
      <c r="J34" s="5" t="s">
        <v>102</v>
      </c>
    </row>
    <row r="35" spans="1:10" x14ac:dyDescent="0.2">
      <c r="A35" s="156" t="s">
        <v>48</v>
      </c>
      <c r="B35" s="5" t="s">
        <v>179</v>
      </c>
      <c r="C35" s="5">
        <v>304054.89830678399</v>
      </c>
      <c r="D35" s="5">
        <v>352564.23380211211</v>
      </c>
      <c r="E35" s="5">
        <v>408812.81521422201</v>
      </c>
      <c r="F35" s="5">
        <v>474035.37245126092</v>
      </c>
      <c r="G35" s="5">
        <v>549663.62592438702</v>
      </c>
      <c r="H35" s="5">
        <v>637357.71468279744</v>
      </c>
      <c r="I35" s="5">
        <v>739042.63863652397</v>
      </c>
      <c r="J35" s="5" t="s">
        <v>102</v>
      </c>
    </row>
    <row r="36" spans="1:10" x14ac:dyDescent="0.2">
      <c r="A36" s="156" t="s">
        <v>49</v>
      </c>
      <c r="B36" s="5" t="s">
        <v>179</v>
      </c>
      <c r="C36" s="5">
        <v>105000</v>
      </c>
      <c r="D36" s="5">
        <v>128699.06063795363</v>
      </c>
      <c r="E36" s="5">
        <v>157747.12580087301</v>
      </c>
      <c r="F36" s="5">
        <v>193351.49437056578</v>
      </c>
      <c r="G36" s="5">
        <v>236991.959032727</v>
      </c>
      <c r="H36" s="5">
        <v>290482.3095834321</v>
      </c>
      <c r="I36" s="5">
        <v>356045.71786029497</v>
      </c>
      <c r="J36" s="5" t="s">
        <v>102</v>
      </c>
    </row>
    <row r="37" spans="1:10" x14ac:dyDescent="0.2">
      <c r="A37" s="156" t="s">
        <v>50</v>
      </c>
      <c r="B37" s="5" t="s">
        <v>179</v>
      </c>
      <c r="C37" s="5">
        <v>5735.0570735869096</v>
      </c>
      <c r="D37" s="5">
        <v>7166.7176388991629</v>
      </c>
      <c r="E37" s="5">
        <v>8955.7681914375207</v>
      </c>
      <c r="F37" s="5">
        <v>11191.425132117243</v>
      </c>
      <c r="G37" s="5">
        <v>13985.1762361975</v>
      </c>
      <c r="H37" s="5">
        <v>17476.340327400449</v>
      </c>
      <c r="I37" s="5">
        <v>21839.014831190001</v>
      </c>
      <c r="J37" s="5" t="s">
        <v>102</v>
      </c>
    </row>
    <row r="38" spans="1:10" x14ac:dyDescent="0.2">
      <c r="A38" s="156" t="s">
        <v>51</v>
      </c>
      <c r="B38" s="5" t="s">
        <v>179</v>
      </c>
      <c r="C38" s="5">
        <v>11708192.804888099</v>
      </c>
      <c r="D38" s="5">
        <v>14043042.218273247</v>
      </c>
      <c r="E38" s="5">
        <v>16843507.621592298</v>
      </c>
      <c r="F38" s="5">
        <v>20202442.219355687</v>
      </c>
      <c r="G38" s="5">
        <v>24231216.014839899</v>
      </c>
      <c r="H38" s="5">
        <v>29063408.432634484</v>
      </c>
      <c r="I38" s="5">
        <v>34859237.324483499</v>
      </c>
      <c r="J38" s="5" t="s">
        <v>102</v>
      </c>
    </row>
    <row r="39" spans="1:10" x14ac:dyDescent="0.2">
      <c r="A39" s="157" t="s">
        <v>52</v>
      </c>
      <c r="B39" s="5" t="s">
        <v>179</v>
      </c>
      <c r="C39" s="5">
        <v>569071.13186803495</v>
      </c>
      <c r="D39" s="5">
        <v>805548.72117287084</v>
      </c>
      <c r="E39" s="5">
        <v>1140294.60614728</v>
      </c>
      <c r="F39" s="5">
        <v>1614144.1909502354</v>
      </c>
      <c r="G39" s="5">
        <v>2284902.0377124101</v>
      </c>
      <c r="H39" s="5">
        <v>3234393.4025304653</v>
      </c>
      <c r="I39" s="5">
        <v>4578446.0382407503</v>
      </c>
      <c r="J39" s="5" t="s">
        <v>102</v>
      </c>
    </row>
  </sheetData>
  <autoFilter ref="A1:G33" xr:uid="{00000000-0009-0000-0000-000008000000}"/>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D9D9D9"/>
  </sheetPr>
  <dimension ref="A1:E29"/>
  <sheetViews>
    <sheetView zoomScale="85" zoomScaleNormal="85" workbookViewId="0">
      <selection activeCell="B30" sqref="B30"/>
    </sheetView>
  </sheetViews>
  <sheetFormatPr baseColWidth="10" defaultColWidth="10.6640625" defaultRowHeight="15" x14ac:dyDescent="0.2"/>
  <cols>
    <col min="1" max="1" width="21.5" customWidth="1"/>
    <col min="2" max="2" width="30.5" customWidth="1"/>
    <col min="3" max="3" width="51.1640625" customWidth="1"/>
    <col min="4" max="4" width="82.83203125" customWidth="1"/>
    <col min="5" max="5" width="18" customWidth="1"/>
    <col min="7" max="7" width="28.5" customWidth="1"/>
    <col min="8" max="10" width="15" customWidth="1"/>
  </cols>
  <sheetData>
    <row r="1" spans="1:5" ht="15.75" customHeight="1" thickBot="1" x14ac:dyDescent="0.25">
      <c r="A1" s="89" t="s">
        <v>180</v>
      </c>
      <c r="B1" s="90" t="s">
        <v>181</v>
      </c>
      <c r="C1" s="210" t="s">
        <v>97</v>
      </c>
      <c r="D1" s="210"/>
      <c r="E1" s="91" t="s">
        <v>126</v>
      </c>
    </row>
    <row r="2" spans="1:5" ht="15.75" customHeight="1" thickBot="1" x14ac:dyDescent="0.25">
      <c r="A2" s="209" t="s">
        <v>2</v>
      </c>
      <c r="B2" s="211" t="s">
        <v>182</v>
      </c>
      <c r="C2" s="92" t="s">
        <v>106</v>
      </c>
      <c r="D2" s="187" t="s">
        <v>183</v>
      </c>
      <c r="E2" s="188" t="s">
        <v>249</v>
      </c>
    </row>
    <row r="3" spans="1:5" ht="15" customHeight="1" thickBot="1" x14ac:dyDescent="0.25">
      <c r="A3" s="209"/>
      <c r="B3" s="211"/>
      <c r="C3" s="92" t="s">
        <v>104</v>
      </c>
      <c r="D3" s="187" t="s">
        <v>184</v>
      </c>
      <c r="E3" s="93"/>
    </row>
    <row r="4" spans="1:5" ht="15.75" customHeight="1" thickBot="1" x14ac:dyDescent="0.25">
      <c r="A4" s="209"/>
      <c r="B4" s="211"/>
      <c r="C4" s="92" t="s">
        <v>120</v>
      </c>
      <c r="D4" s="187" t="s">
        <v>185</v>
      </c>
      <c r="E4" s="93"/>
    </row>
    <row r="5" spans="1:5" ht="15.75" customHeight="1" thickBot="1" x14ac:dyDescent="0.25">
      <c r="A5" s="209"/>
      <c r="B5" s="211"/>
      <c r="C5" s="92" t="s">
        <v>122</v>
      </c>
      <c r="D5" s="187" t="s">
        <v>186</v>
      </c>
      <c r="E5" s="93"/>
    </row>
    <row r="6" spans="1:5" ht="15.75" customHeight="1" thickBot="1" x14ac:dyDescent="0.25">
      <c r="A6" s="209"/>
      <c r="B6" s="211"/>
      <c r="C6" s="92" t="s">
        <v>107</v>
      </c>
      <c r="D6" s="187" t="s">
        <v>187</v>
      </c>
      <c r="E6" s="93"/>
    </row>
    <row r="7" spans="1:5" ht="15.75" customHeight="1" thickBot="1" x14ac:dyDescent="0.25">
      <c r="A7" s="209"/>
      <c r="B7" s="211"/>
      <c r="C7" s="92" t="s">
        <v>188</v>
      </c>
      <c r="D7" s="187" t="s">
        <v>189</v>
      </c>
      <c r="E7" s="93"/>
    </row>
    <row r="8" spans="1:5" ht="15.75" customHeight="1" thickBot="1" x14ac:dyDescent="0.25">
      <c r="A8" s="209"/>
      <c r="B8" s="211"/>
      <c r="C8" s="92" t="s">
        <v>250</v>
      </c>
      <c r="D8" s="187" t="s">
        <v>251</v>
      </c>
      <c r="E8" s="188" t="s">
        <v>252</v>
      </c>
    </row>
    <row r="9" spans="1:5" s="14" customFormat="1" ht="15" customHeight="1" thickBot="1" x14ac:dyDescent="0.25">
      <c r="A9" s="209"/>
      <c r="B9" s="159" t="s">
        <v>190</v>
      </c>
      <c r="C9" s="92" t="s">
        <v>132</v>
      </c>
      <c r="D9" s="187" t="s">
        <v>191</v>
      </c>
      <c r="E9" s="188" t="s">
        <v>253</v>
      </c>
    </row>
    <row r="10" spans="1:5" s="14" customFormat="1" ht="15" customHeight="1" thickBot="1" x14ac:dyDescent="0.25">
      <c r="A10" s="209"/>
      <c r="B10" s="211" t="s">
        <v>192</v>
      </c>
      <c r="C10" s="92" t="s">
        <v>112</v>
      </c>
      <c r="D10" s="187" t="s">
        <v>193</v>
      </c>
      <c r="E10" s="93"/>
    </row>
    <row r="11" spans="1:5" s="14" customFormat="1" ht="15" customHeight="1" thickBot="1" x14ac:dyDescent="0.25">
      <c r="A11" s="209"/>
      <c r="B11" s="211"/>
      <c r="C11" s="92" t="s">
        <v>194</v>
      </c>
      <c r="D11" s="187" t="s">
        <v>195</v>
      </c>
      <c r="E11" s="93"/>
    </row>
    <row r="12" spans="1:5" s="14" customFormat="1" ht="15" customHeight="1" thickBot="1" x14ac:dyDescent="0.25">
      <c r="A12" s="209"/>
      <c r="B12" s="211"/>
      <c r="C12" s="92" t="s">
        <v>196</v>
      </c>
      <c r="D12" s="187" t="s">
        <v>197</v>
      </c>
      <c r="E12" s="93"/>
    </row>
    <row r="13" spans="1:5" s="14" customFormat="1" ht="15" customHeight="1" thickBot="1" x14ac:dyDescent="0.25">
      <c r="A13" s="209"/>
      <c r="B13" s="211"/>
      <c r="C13" s="92" t="s">
        <v>198</v>
      </c>
      <c r="D13" s="187" t="s">
        <v>199</v>
      </c>
      <c r="E13" s="93"/>
    </row>
    <row r="14" spans="1:5" s="14" customFormat="1" ht="15" customHeight="1" thickBot="1" x14ac:dyDescent="0.25">
      <c r="A14" s="209"/>
      <c r="B14" s="211"/>
      <c r="C14" s="92" t="s">
        <v>200</v>
      </c>
      <c r="D14" s="187" t="s">
        <v>183</v>
      </c>
      <c r="E14" s="93"/>
    </row>
    <row r="15" spans="1:5" s="14" customFormat="1" ht="15.75" customHeight="1" thickBot="1" x14ac:dyDescent="0.25">
      <c r="A15" s="209"/>
      <c r="B15" s="211"/>
      <c r="C15" s="92" t="s">
        <v>201</v>
      </c>
      <c r="D15" s="187" t="s">
        <v>202</v>
      </c>
      <c r="E15" s="93"/>
    </row>
    <row r="16" spans="1:5" ht="15" customHeight="1" thickBot="1" x14ac:dyDescent="0.25">
      <c r="A16" s="209"/>
      <c r="B16" s="211"/>
      <c r="C16" s="92" t="s">
        <v>203</v>
      </c>
      <c r="D16" s="187" t="s">
        <v>204</v>
      </c>
      <c r="E16" s="93"/>
    </row>
    <row r="17" spans="1:5" ht="15.75" customHeight="1" thickBot="1" x14ac:dyDescent="0.25">
      <c r="A17" s="209" t="s">
        <v>6</v>
      </c>
      <c r="B17" s="211" t="s">
        <v>206</v>
      </c>
      <c r="C17" s="92" t="s">
        <v>160</v>
      </c>
      <c r="D17" s="187" t="s">
        <v>207</v>
      </c>
      <c r="E17" s="188" t="s">
        <v>254</v>
      </c>
    </row>
    <row r="18" spans="1:5" ht="15" customHeight="1" thickBot="1" x14ac:dyDescent="0.25">
      <c r="A18" s="209"/>
      <c r="B18" s="211"/>
      <c r="C18" s="92" t="s">
        <v>167</v>
      </c>
      <c r="D18" s="187" t="s">
        <v>183</v>
      </c>
      <c r="E18" s="93"/>
    </row>
    <row r="19" spans="1:5" ht="15.75" customHeight="1" thickBot="1" x14ac:dyDescent="0.25">
      <c r="A19" s="209"/>
      <c r="B19" s="211"/>
      <c r="C19" s="92" t="s">
        <v>208</v>
      </c>
      <c r="D19" s="187" t="s">
        <v>209</v>
      </c>
      <c r="E19" s="93"/>
    </row>
    <row r="20" spans="1:5" ht="15" customHeight="1" thickBot="1" x14ac:dyDescent="0.25">
      <c r="A20" s="209"/>
      <c r="B20" s="211"/>
      <c r="C20" s="92" t="s">
        <v>210</v>
      </c>
      <c r="D20" s="187" t="s">
        <v>210</v>
      </c>
      <c r="E20" s="93"/>
    </row>
    <row r="21" spans="1:5" ht="15" customHeight="1" thickBot="1" x14ac:dyDescent="0.25">
      <c r="A21" s="209"/>
      <c r="B21" s="211"/>
      <c r="C21" s="92" t="s">
        <v>211</v>
      </c>
      <c r="D21" s="187" t="s">
        <v>212</v>
      </c>
      <c r="E21" s="93"/>
    </row>
    <row r="22" spans="1:5" ht="15" customHeight="1" thickBot="1" x14ac:dyDescent="0.25">
      <c r="A22" s="209"/>
      <c r="B22" s="211" t="s">
        <v>213</v>
      </c>
      <c r="C22" s="92" t="s">
        <v>163</v>
      </c>
      <c r="D22" s="187" t="s">
        <v>214</v>
      </c>
      <c r="E22" s="188" t="s">
        <v>255</v>
      </c>
    </row>
    <row r="23" spans="1:5" ht="15" customHeight="1" thickBot="1" x14ac:dyDescent="0.25">
      <c r="A23" s="209"/>
      <c r="B23" s="211"/>
      <c r="C23" s="92" t="s">
        <v>168</v>
      </c>
      <c r="D23" s="187" t="s">
        <v>215</v>
      </c>
      <c r="E23" s="93"/>
    </row>
    <row r="24" spans="1:5" ht="15.75" customHeight="1" x14ac:dyDescent="0.2">
      <c r="A24" s="160" t="s">
        <v>256</v>
      </c>
      <c r="B24" s="159" t="s">
        <v>179</v>
      </c>
      <c r="C24" s="92" t="s">
        <v>205</v>
      </c>
      <c r="D24" s="187" t="s">
        <v>205</v>
      </c>
      <c r="E24" s="188" t="s">
        <v>257</v>
      </c>
    </row>
    <row r="25" spans="1:5" ht="15" customHeight="1" x14ac:dyDescent="0.2">
      <c r="D25" s="189"/>
    </row>
    <row r="26" spans="1:5" ht="15.75" customHeight="1" x14ac:dyDescent="0.2">
      <c r="D26" s="189"/>
    </row>
    <row r="27" spans="1:5" ht="15" customHeight="1" x14ac:dyDescent="0.2">
      <c r="D27" s="189"/>
    </row>
    <row r="28" spans="1:5" ht="15" customHeight="1" x14ac:dyDescent="0.2">
      <c r="D28" s="189"/>
    </row>
    <row r="29" spans="1:5" ht="15" customHeight="1" x14ac:dyDescent="0.2">
      <c r="D29" s="94"/>
    </row>
  </sheetData>
  <mergeCells count="7">
    <mergeCell ref="A2:A16"/>
    <mergeCell ref="A17:A23"/>
    <mergeCell ref="C1:D1"/>
    <mergeCell ref="B2:B8"/>
    <mergeCell ref="B10:B16"/>
    <mergeCell ref="B17:B21"/>
    <mergeCell ref="B22:B23"/>
  </mergeCells>
  <hyperlinks>
    <hyperlink ref="D2" r:id="rId1" display="Lundaev, V., Solomon, A. A., Le, T., Lohrmann, A., &amp; Breyer, C. (2023). Review of critical materials for the energy transition, an analysis of global resources and production databases and the state of material circularity. Minerals Engineering, 203, 108282. https://doi.org/10.1016/j.mineng.2023.108282" xr:uid="{81B350A7-70FD-CA42-8453-3D8CA7B935AD}"/>
    <hyperlink ref="D4" r:id="rId2" display="Historical Statistics for Mineral and Material Commodities in the United States | U.S. Geological Survey. (s. d.). Consulté 30 mai 2024, à l’adresse https://www.usgs.gov/centers/national-minerals-information-center/historical-statistics-mineral-and-material-commodities" xr:uid="{E5389408-FC04-B442-9175-0183D7331435}"/>
    <hyperlink ref="D5" r:id="rId3" xr:uid="{F9B3729C-ECF3-CD43-A1C5-6C0B91F2E0E6}"/>
    <hyperlink ref="D7" r:id="rId4" xr:uid="{3BDEB4E8-04EC-B647-B052-1048885DF178}"/>
    <hyperlink ref="D9" r:id="rId5" xr:uid="{48265056-E8D8-ED4F-8AEC-9E0A3072F8A6}"/>
    <hyperlink ref="D11" r:id="rId6" xr:uid="{A42D64DE-D909-584E-9996-ECE5FADA8215}"/>
    <hyperlink ref="D12" r:id="rId7" xr:uid="{2F9407D6-1D2C-9149-9A05-AAAC0D644681}"/>
    <hyperlink ref="D13" r:id="rId8" xr:uid="{82D735FA-240A-3B47-82C9-9B24AADFB54A}"/>
    <hyperlink ref="D14" r:id="rId9" display="Lundaev, V., Solomon, A. A., Le, T., Lohrmann, A., &amp; Breyer, C. (2023). Review of critical materials for the energy transition, an analysis of global resources and production databases and the state of material circularity. Minerals Engineering, 203, 108282. https://doi.org/10.1016/j.mineng.2023.108282" xr:uid="{C6F8B810-FB9B-4642-B5F7-2BD9E1E48104}"/>
    <hyperlink ref="D15" r:id="rId10" display="Stiftner, R., Weber, L., &amp; Rechberger, H. (2024). Methodology for a better estimation of the reserves and resources of minor metals exemplified by selenium in different copper deposit types. Mineral Economics, 37(3), 413‑432. https://doi.org/10.1007/s13563-023-00384-0" xr:uid="{19254990-1F75-C04D-A8F4-EA179D776A16}"/>
    <hyperlink ref="D16" r:id="rId11" xr:uid="{E3E46B19-AE59-B146-84BF-0B1BB9BB8D82}"/>
    <hyperlink ref="D17" r:id="rId12" xr:uid="{480F154E-DFA1-BC48-B6C8-4ABC0F80ED59}"/>
    <hyperlink ref="D18" r:id="rId13" display="Lundaev, V., Solomon, A. A., Le, T., Lohrmann, A., &amp; Breyer, C. (2023). Review of critical materials for the energy transition, an analysis of global resources and production databases and the state of material circularity. Minerals Engineering, 203, 108282. https://doi.org/10.1016/j.mineng.2023.108282" xr:uid="{FFDA8A7A-CA73-4A45-97AF-98DB10C40407}"/>
    <hyperlink ref="D19" r:id="rId14" xr:uid="{BCCF5838-D521-374F-9232-3295B7B5FC1A}"/>
  </hyperlink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D9D9D9"/>
  </sheetPr>
  <dimension ref="A1:HZ75"/>
  <sheetViews>
    <sheetView zoomScale="88" zoomScaleNormal="88" workbookViewId="0">
      <pane xSplit="2" ySplit="2" topLeftCell="DB3" activePane="bottomRight" state="frozen"/>
      <selection pane="topRight" activeCell="FL1" sqref="FL1"/>
      <selection pane="bottomLeft" activeCell="A3" sqref="A3"/>
      <selection pane="bottomRight" activeCell="R53" sqref="R53"/>
    </sheetView>
  </sheetViews>
  <sheetFormatPr baseColWidth="10" defaultColWidth="10.6640625" defaultRowHeight="15" x14ac:dyDescent="0.2"/>
  <cols>
    <col min="1" max="1" width="31" customWidth="1"/>
    <col min="2" max="2" width="13.6640625" customWidth="1"/>
    <col min="8" max="8" width="23.33203125" customWidth="1"/>
    <col min="9" max="9" width="19.1640625" customWidth="1"/>
    <col min="10" max="11" width="20.6640625" customWidth="1"/>
    <col min="12" max="12" width="22" customWidth="1"/>
    <col min="13" max="13" width="18.33203125" customWidth="1"/>
    <col min="14" max="14" width="16.1640625" customWidth="1"/>
    <col min="16" max="16" width="14.1640625" customWidth="1"/>
    <col min="95" max="95" width="14.33203125" customWidth="1"/>
    <col min="97" max="97" width="13.33203125" customWidth="1"/>
    <col min="108" max="110" width="15" customWidth="1"/>
    <col min="111" max="111" width="12.83203125" customWidth="1"/>
    <col min="112" max="112" width="13.5" customWidth="1"/>
    <col min="228" max="228" width="10.83203125" style="52" customWidth="1"/>
    <col min="229" max="229" width="15.5" customWidth="1"/>
    <col min="231" max="231" width="13.83203125" customWidth="1"/>
    <col min="232" max="232" width="18.33203125" style="6" customWidth="1"/>
    <col min="233" max="233" width="17.1640625" customWidth="1"/>
  </cols>
  <sheetData>
    <row r="1" spans="1:233" ht="15" customHeight="1" x14ac:dyDescent="0.2">
      <c r="C1" s="216" t="s">
        <v>216</v>
      </c>
      <c r="D1" s="216"/>
      <c r="E1" s="216"/>
      <c r="F1" s="216"/>
      <c r="G1" s="216"/>
      <c r="H1" s="216"/>
      <c r="I1" s="216"/>
      <c r="J1" s="216"/>
      <c r="K1" s="216"/>
      <c r="L1" s="216"/>
      <c r="M1" s="216"/>
      <c r="N1" s="216"/>
      <c r="O1" s="216"/>
      <c r="P1" s="216"/>
      <c r="Q1" s="216"/>
      <c r="R1" s="216"/>
      <c r="S1" s="216"/>
      <c r="T1" s="216"/>
      <c r="U1" s="216"/>
      <c r="V1" s="216"/>
      <c r="W1" s="216"/>
      <c r="X1" s="216"/>
      <c r="Y1" s="216"/>
      <c r="Z1" s="216"/>
      <c r="AA1" s="216"/>
      <c r="AB1" s="216"/>
      <c r="AC1" s="216"/>
      <c r="AD1" s="216"/>
      <c r="AE1" s="216"/>
      <c r="AF1" s="216"/>
      <c r="AG1" s="216"/>
      <c r="AH1" s="216"/>
      <c r="AI1" s="216"/>
      <c r="AJ1" s="216"/>
      <c r="AK1" s="216"/>
      <c r="AL1" s="216"/>
      <c r="AM1" s="216"/>
      <c r="AN1" s="216"/>
      <c r="AO1" s="216"/>
      <c r="AP1" s="216"/>
      <c r="AQ1" s="216"/>
      <c r="AR1" s="216"/>
      <c r="AS1" s="216"/>
      <c r="AT1" s="216"/>
      <c r="AU1" s="216"/>
      <c r="AV1" s="216"/>
      <c r="AW1" s="216"/>
      <c r="AX1" s="216"/>
      <c r="AY1" s="216"/>
      <c r="AZ1" s="216"/>
      <c r="BA1" s="216"/>
      <c r="BB1" s="216"/>
      <c r="BC1" s="216"/>
      <c r="BD1" s="216"/>
      <c r="BE1" s="216"/>
      <c r="BF1" s="216"/>
      <c r="BG1" s="216"/>
      <c r="BH1" s="216"/>
      <c r="BI1" s="216"/>
      <c r="BJ1" s="216"/>
      <c r="BK1" s="216"/>
      <c r="BL1" s="216"/>
      <c r="BM1" s="216"/>
      <c r="BN1" s="216"/>
      <c r="BO1" s="216"/>
      <c r="BP1" s="216"/>
      <c r="BQ1" s="216"/>
      <c r="BR1" s="216"/>
      <c r="BS1" s="216"/>
      <c r="BT1" s="216"/>
      <c r="BU1" s="216"/>
      <c r="BV1" s="216"/>
      <c r="BW1" s="216"/>
      <c r="BX1" s="216"/>
      <c r="BY1" s="216"/>
      <c r="BZ1" s="216"/>
      <c r="CA1" s="216"/>
      <c r="CB1" s="216"/>
      <c r="CC1" s="216"/>
      <c r="CD1" s="216"/>
      <c r="CE1" s="216"/>
      <c r="CF1" s="216"/>
      <c r="CG1" s="216"/>
      <c r="CH1" s="216"/>
      <c r="CI1" s="216"/>
      <c r="CJ1" s="216"/>
      <c r="CK1" s="216"/>
      <c r="CL1" s="216"/>
      <c r="CM1" s="216"/>
      <c r="CN1" s="216"/>
      <c r="CO1" s="216"/>
      <c r="CP1" s="216"/>
      <c r="CQ1" s="216"/>
      <c r="CR1" s="216"/>
      <c r="CS1" s="216"/>
      <c r="CT1" s="216"/>
      <c r="CU1" s="216"/>
      <c r="CV1" s="216"/>
      <c r="CW1" s="216"/>
      <c r="CX1" s="216"/>
      <c r="CY1" s="216"/>
      <c r="CZ1" s="216"/>
      <c r="DA1" s="216"/>
      <c r="DB1" s="216"/>
      <c r="DC1" s="216"/>
      <c r="DD1" s="216"/>
      <c r="DE1" s="216"/>
      <c r="DF1" s="216"/>
      <c r="DG1" s="216"/>
      <c r="DJ1" s="215" t="s">
        <v>217</v>
      </c>
      <c r="DK1" s="215"/>
      <c r="DL1" s="215"/>
      <c r="DM1" s="215"/>
      <c r="DN1" s="215"/>
      <c r="DO1" s="215"/>
      <c r="DP1" s="215"/>
      <c r="DQ1" s="215"/>
      <c r="DR1" s="215"/>
      <c r="DS1" s="215"/>
      <c r="DT1" s="215"/>
      <c r="DU1" s="215"/>
      <c r="DV1" s="215"/>
      <c r="DW1" s="215"/>
      <c r="DX1" s="215"/>
      <c r="DY1" s="215"/>
      <c r="DZ1" s="215"/>
      <c r="EA1" s="215"/>
      <c r="EB1" s="215"/>
      <c r="EC1" s="215"/>
      <c r="ED1" s="215"/>
      <c r="EE1" s="215"/>
      <c r="EF1" s="215"/>
      <c r="EG1" s="215"/>
      <c r="EH1" s="215"/>
      <c r="EI1" s="215"/>
      <c r="EJ1" s="215"/>
      <c r="EK1" s="215"/>
      <c r="EL1" s="215"/>
      <c r="EM1" s="215"/>
      <c r="EN1" s="215"/>
      <c r="EO1" s="215"/>
      <c r="EP1" s="215"/>
      <c r="EQ1" s="215"/>
      <c r="ER1" s="215"/>
      <c r="ES1" s="215"/>
      <c r="ET1" s="215"/>
      <c r="EU1" s="215"/>
      <c r="EV1" s="215"/>
      <c r="EW1" s="215"/>
      <c r="EX1" s="215"/>
      <c r="EY1" s="215"/>
      <c r="EZ1" s="215"/>
      <c r="FA1" s="215"/>
      <c r="FB1" s="215"/>
      <c r="FC1" s="215"/>
      <c r="FD1" s="215"/>
      <c r="FE1" s="215"/>
      <c r="FF1" s="215"/>
      <c r="FG1" s="215"/>
      <c r="FH1" s="215"/>
      <c r="FI1" s="215"/>
      <c r="FJ1" s="215"/>
      <c r="FK1" s="215"/>
      <c r="FL1" s="215"/>
      <c r="FM1" s="215"/>
      <c r="FN1" s="215"/>
      <c r="FO1" s="215"/>
      <c r="FP1" s="215"/>
      <c r="FQ1" s="215"/>
      <c r="FR1" s="215"/>
      <c r="FS1" s="215"/>
      <c r="FT1" s="215"/>
      <c r="FU1" s="215"/>
      <c r="FV1" s="215"/>
      <c r="FW1" s="215"/>
      <c r="FX1" s="215"/>
      <c r="FY1" s="215"/>
      <c r="FZ1" s="215"/>
      <c r="GA1" s="215"/>
      <c r="GB1" s="215"/>
      <c r="GC1" s="215"/>
      <c r="GD1" s="215"/>
      <c r="GE1" s="215"/>
      <c r="GF1" s="215"/>
      <c r="GG1" s="215"/>
      <c r="GH1" s="215"/>
      <c r="GI1" s="215"/>
      <c r="GJ1" s="215"/>
      <c r="GK1" s="215"/>
      <c r="GL1" s="215"/>
      <c r="GM1" s="215"/>
      <c r="GN1" s="215"/>
      <c r="GO1" s="215"/>
      <c r="GP1" s="215"/>
      <c r="GQ1" s="215"/>
      <c r="GR1" s="215"/>
      <c r="GS1" s="215"/>
      <c r="GT1" s="215"/>
      <c r="GU1" s="215"/>
      <c r="GV1" s="215"/>
      <c r="GW1" s="215"/>
      <c r="GX1" s="215"/>
      <c r="GY1" s="215"/>
      <c r="GZ1" s="215"/>
      <c r="HA1" s="215"/>
      <c r="HB1" s="215"/>
      <c r="HC1" s="215"/>
      <c r="HD1" s="215"/>
      <c r="HE1" s="215"/>
      <c r="HF1" s="215"/>
      <c r="HG1" s="215"/>
      <c r="HH1" s="215"/>
      <c r="HI1" s="215"/>
      <c r="HJ1" s="215"/>
      <c r="HK1" s="215"/>
      <c r="HL1" s="215"/>
      <c r="HM1" s="215"/>
      <c r="HN1" s="215"/>
      <c r="HP1" s="218" t="s">
        <v>218</v>
      </c>
      <c r="HQ1" s="218"/>
      <c r="HR1" s="218"/>
      <c r="HS1" s="217" t="s">
        <v>219</v>
      </c>
      <c r="HT1" s="217"/>
      <c r="HU1" s="217"/>
      <c r="HW1" s="214" t="s">
        <v>93</v>
      </c>
      <c r="HX1" s="213" t="s">
        <v>99</v>
      </c>
      <c r="HY1" s="214" t="s">
        <v>100</v>
      </c>
    </row>
    <row r="2" spans="1:233" ht="15" customHeight="1" x14ac:dyDescent="0.2">
      <c r="A2" s="95" t="s">
        <v>97</v>
      </c>
      <c r="B2" s="96" t="s">
        <v>93</v>
      </c>
      <c r="C2" s="97">
        <v>1913</v>
      </c>
      <c r="D2" s="97">
        <v>1914</v>
      </c>
      <c r="E2" s="97">
        <v>1915</v>
      </c>
      <c r="F2" s="97">
        <v>1916</v>
      </c>
      <c r="G2" s="97">
        <v>1917</v>
      </c>
      <c r="H2" s="97">
        <v>1918</v>
      </c>
      <c r="I2" s="97">
        <v>1919</v>
      </c>
      <c r="J2" s="97">
        <v>1920</v>
      </c>
      <c r="K2" s="97">
        <v>1921</v>
      </c>
      <c r="L2" s="97">
        <v>1922</v>
      </c>
      <c r="M2" s="97">
        <v>1923</v>
      </c>
      <c r="N2" s="97">
        <v>1924</v>
      </c>
      <c r="O2" s="97">
        <v>1925</v>
      </c>
      <c r="P2" s="97">
        <v>1926</v>
      </c>
      <c r="Q2" s="97">
        <v>1927</v>
      </c>
      <c r="R2" s="97">
        <v>1928</v>
      </c>
      <c r="S2" s="97">
        <v>1929</v>
      </c>
      <c r="T2" s="97">
        <v>1930</v>
      </c>
      <c r="U2" s="97">
        <v>1931</v>
      </c>
      <c r="V2" s="97">
        <v>1932</v>
      </c>
      <c r="W2" s="97">
        <v>1933</v>
      </c>
      <c r="X2" s="97">
        <v>1934</v>
      </c>
      <c r="Y2" s="97">
        <v>1935</v>
      </c>
      <c r="Z2" s="97">
        <v>1936</v>
      </c>
      <c r="AA2" s="97">
        <v>1937</v>
      </c>
      <c r="AB2" s="97">
        <v>1938</v>
      </c>
      <c r="AC2" s="97">
        <v>1939</v>
      </c>
      <c r="AD2" s="97">
        <v>1940</v>
      </c>
      <c r="AE2" s="97">
        <v>1941</v>
      </c>
      <c r="AF2" s="97">
        <v>1942</v>
      </c>
      <c r="AG2" s="97">
        <v>1943</v>
      </c>
      <c r="AH2" s="97">
        <v>1944</v>
      </c>
      <c r="AI2" s="97">
        <v>1945</v>
      </c>
      <c r="AJ2" s="97">
        <v>1946</v>
      </c>
      <c r="AK2" s="97">
        <v>1947</v>
      </c>
      <c r="AL2" s="97">
        <v>1948</v>
      </c>
      <c r="AM2" s="97">
        <v>1949</v>
      </c>
      <c r="AN2" s="97">
        <v>1950</v>
      </c>
      <c r="AO2" s="97">
        <v>1951</v>
      </c>
      <c r="AP2" s="97">
        <v>1952</v>
      </c>
      <c r="AQ2" s="97">
        <v>1953</v>
      </c>
      <c r="AR2" s="97">
        <v>1954</v>
      </c>
      <c r="AS2" s="97">
        <v>1955</v>
      </c>
      <c r="AT2" s="97">
        <v>1956</v>
      </c>
      <c r="AU2" s="97">
        <v>1957</v>
      </c>
      <c r="AV2" s="97">
        <v>1958</v>
      </c>
      <c r="AW2" s="97">
        <v>1959</v>
      </c>
      <c r="AX2" s="97">
        <v>1960</v>
      </c>
      <c r="AY2" s="97">
        <v>1961</v>
      </c>
      <c r="AZ2" s="97">
        <v>1962</v>
      </c>
      <c r="BA2" s="97">
        <v>1963</v>
      </c>
      <c r="BB2" s="97">
        <v>1964</v>
      </c>
      <c r="BC2" s="97">
        <v>1965</v>
      </c>
      <c r="BD2" s="97">
        <v>1966</v>
      </c>
      <c r="BE2" s="97">
        <v>1967</v>
      </c>
      <c r="BF2" s="97">
        <v>1968</v>
      </c>
      <c r="BG2" s="97">
        <v>1969</v>
      </c>
      <c r="BH2" s="97">
        <v>1970</v>
      </c>
      <c r="BI2" s="97">
        <v>1971</v>
      </c>
      <c r="BJ2" s="97">
        <v>1972</v>
      </c>
      <c r="BK2" s="97">
        <v>1973</v>
      </c>
      <c r="BL2" s="97">
        <v>1974</v>
      </c>
      <c r="BM2" s="97">
        <v>1975</v>
      </c>
      <c r="BN2" s="97">
        <v>1976</v>
      </c>
      <c r="BO2" s="97">
        <v>1977</v>
      </c>
      <c r="BP2" s="97">
        <v>1978</v>
      </c>
      <c r="BQ2" s="97">
        <v>1979</v>
      </c>
      <c r="BR2" s="97">
        <v>1980</v>
      </c>
      <c r="BS2" s="97">
        <v>1981</v>
      </c>
      <c r="BT2" s="97">
        <v>1982</v>
      </c>
      <c r="BU2" s="97">
        <v>1983</v>
      </c>
      <c r="BV2" s="97">
        <v>1984</v>
      </c>
      <c r="BW2" s="97">
        <v>1985</v>
      </c>
      <c r="BX2" s="97">
        <v>1986</v>
      </c>
      <c r="BY2" s="97">
        <v>1987</v>
      </c>
      <c r="BZ2" s="97">
        <v>1988</v>
      </c>
      <c r="CA2" s="97">
        <v>1989</v>
      </c>
      <c r="CB2" s="97">
        <v>1990</v>
      </c>
      <c r="CC2" s="97">
        <v>1991</v>
      </c>
      <c r="CD2" s="97">
        <v>1992</v>
      </c>
      <c r="CE2" s="97">
        <v>1993</v>
      </c>
      <c r="CF2" s="97">
        <v>1994</v>
      </c>
      <c r="CG2" s="97">
        <v>1995</v>
      </c>
      <c r="CH2" s="97">
        <v>1996</v>
      </c>
      <c r="CI2" s="97">
        <v>1997</v>
      </c>
      <c r="CJ2" s="97">
        <v>1998</v>
      </c>
      <c r="CK2" s="97">
        <v>1999</v>
      </c>
      <c r="CL2" s="97">
        <v>2000</v>
      </c>
      <c r="CM2" s="97">
        <v>2001</v>
      </c>
      <c r="CN2" s="97">
        <v>2002</v>
      </c>
      <c r="CO2" s="97">
        <v>2003</v>
      </c>
      <c r="CP2" s="97">
        <v>2004</v>
      </c>
      <c r="CQ2" s="97">
        <v>2005</v>
      </c>
      <c r="CR2" s="97">
        <v>2006</v>
      </c>
      <c r="CS2" s="97">
        <v>2007</v>
      </c>
      <c r="CT2" s="97">
        <v>2008</v>
      </c>
      <c r="CU2" s="97">
        <v>2009</v>
      </c>
      <c r="CV2" s="97">
        <v>2010</v>
      </c>
      <c r="CW2" s="97">
        <v>2011</v>
      </c>
      <c r="CX2" s="97">
        <v>2012</v>
      </c>
      <c r="CY2" s="97">
        <v>2013</v>
      </c>
      <c r="CZ2" s="97">
        <v>2014</v>
      </c>
      <c r="DA2" s="97">
        <v>2015</v>
      </c>
      <c r="DB2" s="97">
        <v>2016</v>
      </c>
      <c r="DC2" s="97">
        <v>2017</v>
      </c>
      <c r="DD2" s="97">
        <v>2018</v>
      </c>
      <c r="DE2" s="97">
        <v>2019</v>
      </c>
      <c r="DF2" s="97">
        <v>2020</v>
      </c>
      <c r="DG2" s="97">
        <v>2021</v>
      </c>
      <c r="DH2" s="98">
        <v>2022</v>
      </c>
      <c r="DJ2" s="97">
        <v>1913</v>
      </c>
      <c r="DK2" s="97">
        <v>1914</v>
      </c>
      <c r="DL2" s="97">
        <v>1915</v>
      </c>
      <c r="DM2" s="97">
        <v>1916</v>
      </c>
      <c r="DN2" s="97">
        <v>1917</v>
      </c>
      <c r="DO2" s="97">
        <v>1918</v>
      </c>
      <c r="DP2" s="97">
        <v>1919</v>
      </c>
      <c r="DQ2" s="97">
        <v>1920</v>
      </c>
      <c r="DR2" s="97">
        <v>1921</v>
      </c>
      <c r="DS2" s="97">
        <v>1922</v>
      </c>
      <c r="DT2" s="97">
        <v>1923</v>
      </c>
      <c r="DU2" s="97">
        <v>1924</v>
      </c>
      <c r="DV2" s="97">
        <v>1925</v>
      </c>
      <c r="DW2" s="97">
        <v>1926</v>
      </c>
      <c r="DX2" s="97">
        <v>1927</v>
      </c>
      <c r="DY2" s="97">
        <v>1928</v>
      </c>
      <c r="DZ2" s="97">
        <v>1929</v>
      </c>
      <c r="EA2" s="97">
        <v>1930</v>
      </c>
      <c r="EB2" s="97">
        <v>1931</v>
      </c>
      <c r="EC2" s="97">
        <v>1932</v>
      </c>
      <c r="ED2" s="97">
        <v>1933</v>
      </c>
      <c r="EE2" s="97">
        <v>1934</v>
      </c>
      <c r="EF2" s="97">
        <v>1935</v>
      </c>
      <c r="EG2" s="97">
        <v>1936</v>
      </c>
      <c r="EH2" s="97">
        <v>1937</v>
      </c>
      <c r="EI2" s="97">
        <v>1938</v>
      </c>
      <c r="EJ2" s="97">
        <v>1939</v>
      </c>
      <c r="EK2" s="97">
        <v>1940</v>
      </c>
      <c r="EL2" s="97">
        <v>1941</v>
      </c>
      <c r="EM2" s="97">
        <v>1942</v>
      </c>
      <c r="EN2" s="97">
        <v>1943</v>
      </c>
      <c r="EO2" s="97">
        <v>1944</v>
      </c>
      <c r="EP2" s="97">
        <v>1945</v>
      </c>
      <c r="EQ2" s="97">
        <v>1946</v>
      </c>
      <c r="ER2" s="97">
        <v>1947</v>
      </c>
      <c r="ES2" s="97">
        <v>1948</v>
      </c>
      <c r="ET2" s="97">
        <v>1949</v>
      </c>
      <c r="EU2" s="97">
        <v>1950</v>
      </c>
      <c r="EV2" s="97">
        <v>1951</v>
      </c>
      <c r="EW2" s="97">
        <v>1952</v>
      </c>
      <c r="EX2" s="97">
        <v>1953</v>
      </c>
      <c r="EY2" s="97">
        <v>1954</v>
      </c>
      <c r="EZ2" s="97">
        <v>1955</v>
      </c>
      <c r="FA2" s="97">
        <v>1956</v>
      </c>
      <c r="FB2" s="97">
        <v>1957</v>
      </c>
      <c r="FC2" s="97">
        <v>1958</v>
      </c>
      <c r="FD2" s="97">
        <v>1959</v>
      </c>
      <c r="FE2" s="97">
        <v>1960</v>
      </c>
      <c r="FF2" s="97">
        <v>1961</v>
      </c>
      <c r="FG2" s="97">
        <v>1962</v>
      </c>
      <c r="FH2" s="97">
        <v>1963</v>
      </c>
      <c r="FI2" s="97">
        <v>1964</v>
      </c>
      <c r="FJ2" s="97">
        <v>1965</v>
      </c>
      <c r="FK2" s="97">
        <v>1966</v>
      </c>
      <c r="FL2" s="97">
        <v>1967</v>
      </c>
      <c r="FM2" s="97">
        <v>1968</v>
      </c>
      <c r="FN2" s="97">
        <v>1969</v>
      </c>
      <c r="FO2" s="97">
        <v>1970</v>
      </c>
      <c r="FP2" s="97">
        <v>1971</v>
      </c>
      <c r="FQ2" s="97">
        <v>1972</v>
      </c>
      <c r="FR2" s="97">
        <v>1973</v>
      </c>
      <c r="FS2" s="97">
        <v>1974</v>
      </c>
      <c r="FT2" s="97">
        <v>1975</v>
      </c>
      <c r="FU2" s="97">
        <v>1976</v>
      </c>
      <c r="FV2" s="97">
        <v>1977</v>
      </c>
      <c r="FW2" s="97">
        <v>1978</v>
      </c>
      <c r="FX2" s="97">
        <v>1979</v>
      </c>
      <c r="FY2" s="97">
        <v>1980</v>
      </c>
      <c r="FZ2" s="97">
        <v>1981</v>
      </c>
      <c r="GA2" s="97">
        <v>1982</v>
      </c>
      <c r="GB2" s="97">
        <v>1983</v>
      </c>
      <c r="GC2" s="97">
        <v>1984</v>
      </c>
      <c r="GD2" s="97">
        <v>1985</v>
      </c>
      <c r="GE2" s="97">
        <v>1986</v>
      </c>
      <c r="GF2" s="97">
        <v>1987</v>
      </c>
      <c r="GG2" s="97">
        <v>1988</v>
      </c>
      <c r="GH2" s="97">
        <v>1989</v>
      </c>
      <c r="GI2" s="97">
        <v>1990</v>
      </c>
      <c r="GJ2" s="97">
        <v>1991</v>
      </c>
      <c r="GK2" s="97">
        <v>1992</v>
      </c>
      <c r="GL2" s="97">
        <v>1993</v>
      </c>
      <c r="GM2" s="97">
        <v>1994</v>
      </c>
      <c r="GN2" s="97">
        <v>1995</v>
      </c>
      <c r="GO2" s="97">
        <v>1996</v>
      </c>
      <c r="GP2" s="97">
        <v>1997</v>
      </c>
      <c r="GQ2" s="97">
        <v>1998</v>
      </c>
      <c r="GR2" s="97">
        <v>1999</v>
      </c>
      <c r="GS2" s="97">
        <v>2000</v>
      </c>
      <c r="GT2" s="97">
        <v>2001</v>
      </c>
      <c r="GU2" s="97">
        <v>2002</v>
      </c>
      <c r="GV2" s="97">
        <v>2003</v>
      </c>
      <c r="GW2" s="97">
        <v>2004</v>
      </c>
      <c r="GX2" s="97">
        <v>2005</v>
      </c>
      <c r="GY2" s="97">
        <v>2006</v>
      </c>
      <c r="GZ2" s="97">
        <v>2007</v>
      </c>
      <c r="HA2" s="97">
        <v>2008</v>
      </c>
      <c r="HB2" s="97">
        <v>2009</v>
      </c>
      <c r="HC2" s="97">
        <v>2010</v>
      </c>
      <c r="HD2" s="97">
        <v>2011</v>
      </c>
      <c r="HE2" s="97">
        <v>2012</v>
      </c>
      <c r="HF2" s="97">
        <v>2013</v>
      </c>
      <c r="HG2" s="97">
        <v>2014</v>
      </c>
      <c r="HH2" s="97">
        <v>2015</v>
      </c>
      <c r="HI2" s="97">
        <v>2016</v>
      </c>
      <c r="HJ2" s="97">
        <v>2017</v>
      </c>
      <c r="HK2" s="97">
        <v>2018</v>
      </c>
      <c r="HL2" s="99">
        <v>2019</v>
      </c>
      <c r="HM2" s="99">
        <v>2020</v>
      </c>
      <c r="HN2" s="97">
        <v>2021</v>
      </c>
      <c r="HP2" s="100" t="s">
        <v>105</v>
      </c>
      <c r="HQ2" s="100" t="s">
        <v>121</v>
      </c>
      <c r="HR2" s="100" t="s">
        <v>108</v>
      </c>
      <c r="HS2" s="101" t="s">
        <v>105</v>
      </c>
      <c r="HT2" s="185" t="s">
        <v>121</v>
      </c>
      <c r="HU2" s="184" t="s">
        <v>108</v>
      </c>
      <c r="HW2" s="214"/>
      <c r="HX2" s="214"/>
      <c r="HY2" s="214"/>
    </row>
    <row r="3" spans="1:233" ht="15" customHeight="1" x14ac:dyDescent="0.2">
      <c r="A3" s="5" t="s">
        <v>106</v>
      </c>
      <c r="B3" s="48" t="s">
        <v>12</v>
      </c>
      <c r="C3" s="102">
        <v>80240.160000000003</v>
      </c>
      <c r="D3" s="102">
        <v>98700</v>
      </c>
      <c r="E3" s="102">
        <v>93306.08</v>
      </c>
      <c r="F3" s="102">
        <v>135133.6</v>
      </c>
      <c r="G3" s="102">
        <v>176509.76</v>
      </c>
      <c r="H3" s="102">
        <v>190078.56</v>
      </c>
      <c r="I3" s="102">
        <v>164640</v>
      </c>
      <c r="J3" s="102">
        <v>123200</v>
      </c>
      <c r="K3" s="102">
        <v>81760</v>
      </c>
      <c r="L3" s="102">
        <v>126560</v>
      </c>
      <c r="M3" s="102">
        <v>180320</v>
      </c>
      <c r="N3" s="102">
        <v>185920</v>
      </c>
      <c r="O3" s="102">
        <v>203840</v>
      </c>
      <c r="P3" s="102">
        <v>232960</v>
      </c>
      <c r="Q3" s="102">
        <v>245280</v>
      </c>
      <c r="R3" s="102">
        <v>267680</v>
      </c>
      <c r="S3" s="102">
        <v>299040</v>
      </c>
      <c r="T3" s="102">
        <v>293440</v>
      </c>
      <c r="U3" s="102">
        <v>243040</v>
      </c>
      <c r="V3" s="102">
        <v>168000</v>
      </c>
      <c r="W3" s="102">
        <v>156800</v>
      </c>
      <c r="X3" s="102">
        <v>187040</v>
      </c>
      <c r="Y3" s="102">
        <v>285600</v>
      </c>
      <c r="Z3" s="102">
        <v>392000</v>
      </c>
      <c r="AA3" s="102">
        <v>554400</v>
      </c>
      <c r="AB3" s="102">
        <v>647360</v>
      </c>
      <c r="AC3" s="102">
        <v>757120</v>
      </c>
      <c r="AD3" s="102">
        <v>865760</v>
      </c>
      <c r="AE3" s="102">
        <v>1127840</v>
      </c>
      <c r="AF3" s="102">
        <v>1544480</v>
      </c>
      <c r="AG3" s="102">
        <v>2160480</v>
      </c>
      <c r="AH3" s="102">
        <v>1884960</v>
      </c>
      <c r="AI3" s="102">
        <v>963200</v>
      </c>
      <c r="AJ3" s="102">
        <v>851200</v>
      </c>
      <c r="AK3" s="102">
        <v>1198400</v>
      </c>
      <c r="AL3" s="102">
        <v>1388800</v>
      </c>
      <c r="AM3" s="102">
        <v>1438080</v>
      </c>
      <c r="AN3" s="102">
        <v>1643040</v>
      </c>
      <c r="AO3" s="102">
        <v>1994720</v>
      </c>
      <c r="AP3" s="102">
        <v>2271360</v>
      </c>
      <c r="AQ3" s="102">
        <v>2714880</v>
      </c>
      <c r="AR3" s="102">
        <v>3050880</v>
      </c>
      <c r="AS3" s="102">
        <v>3472000</v>
      </c>
      <c r="AT3" s="102">
        <v>3696000</v>
      </c>
      <c r="AU3" s="102">
        <v>3696000</v>
      </c>
      <c r="AV3" s="102">
        <v>3920000</v>
      </c>
      <c r="AW3" s="102">
        <v>4480000</v>
      </c>
      <c r="AX3" s="102">
        <v>5040000</v>
      </c>
      <c r="AY3" s="102">
        <v>5152000</v>
      </c>
      <c r="AZ3" s="102">
        <v>5600000</v>
      </c>
      <c r="BA3" s="102">
        <v>6048000</v>
      </c>
      <c r="BB3" s="102">
        <v>6496000</v>
      </c>
      <c r="BC3" s="102">
        <v>6944000</v>
      </c>
      <c r="BD3" s="102">
        <v>7504000</v>
      </c>
      <c r="BE3" s="102">
        <v>8176000</v>
      </c>
      <c r="BF3" s="102">
        <v>8624000</v>
      </c>
      <c r="BG3" s="102">
        <v>9632000</v>
      </c>
      <c r="BH3" s="102">
        <v>9600000</v>
      </c>
      <c r="BI3" s="102">
        <v>10300000</v>
      </c>
      <c r="BJ3" s="102">
        <v>10800000</v>
      </c>
      <c r="BK3" s="102">
        <v>11800000</v>
      </c>
      <c r="BL3" s="102">
        <v>12700000</v>
      </c>
      <c r="BM3" s="102">
        <v>12700000</v>
      </c>
      <c r="BN3" s="102">
        <v>13100000</v>
      </c>
      <c r="BO3" s="102">
        <v>14200000</v>
      </c>
      <c r="BP3" s="102">
        <v>14700000</v>
      </c>
      <c r="BQ3" s="102">
        <v>15200000</v>
      </c>
      <c r="BR3" s="102">
        <v>16100000</v>
      </c>
      <c r="BS3" s="102">
        <v>15700000</v>
      </c>
      <c r="BT3" s="102">
        <v>13900000</v>
      </c>
      <c r="BU3" s="102">
        <v>14300000</v>
      </c>
      <c r="BV3" s="102">
        <v>15900000</v>
      </c>
      <c r="BW3" s="102">
        <v>15600000</v>
      </c>
      <c r="BX3" s="102">
        <v>15400000</v>
      </c>
      <c r="BY3" s="102">
        <v>16500000</v>
      </c>
      <c r="BZ3" s="102">
        <v>17500000</v>
      </c>
      <c r="CA3" s="102">
        <v>18000000</v>
      </c>
      <c r="CB3" s="102">
        <v>19300000</v>
      </c>
      <c r="CC3" s="102">
        <v>19600000</v>
      </c>
      <c r="CD3" s="102">
        <v>19500000</v>
      </c>
      <c r="CE3" s="102">
        <v>19700000</v>
      </c>
      <c r="CF3" s="102">
        <v>19100000</v>
      </c>
      <c r="CG3" s="102">
        <v>19400000</v>
      </c>
      <c r="CH3" s="102">
        <v>20700000</v>
      </c>
      <c r="CI3" s="102">
        <v>21400000</v>
      </c>
      <c r="CJ3" s="102">
        <v>22100000</v>
      </c>
      <c r="CK3" s="102">
        <v>23100000</v>
      </c>
      <c r="CL3" s="102">
        <v>24000000</v>
      </c>
      <c r="CM3" s="102">
        <v>24400000</v>
      </c>
      <c r="CN3" s="102">
        <v>25900000</v>
      </c>
      <c r="CO3" s="102">
        <v>27700000</v>
      </c>
      <c r="CP3" s="102">
        <v>29800000</v>
      </c>
      <c r="CQ3" s="102">
        <v>31900000</v>
      </c>
      <c r="CR3" s="102">
        <v>33700000</v>
      </c>
      <c r="CS3" s="102">
        <v>38000000</v>
      </c>
      <c r="CT3" s="102">
        <v>39000000</v>
      </c>
      <c r="CU3" s="102">
        <v>37300000</v>
      </c>
      <c r="CV3" s="102">
        <v>40800000</v>
      </c>
      <c r="CW3" s="102">
        <v>44400000</v>
      </c>
      <c r="CX3" s="102">
        <v>45900000</v>
      </c>
      <c r="CY3" s="102">
        <v>47600000</v>
      </c>
      <c r="CZ3" s="102">
        <v>50500000</v>
      </c>
      <c r="DA3" s="102">
        <v>57500000</v>
      </c>
      <c r="DB3" s="102">
        <v>58900000</v>
      </c>
      <c r="DC3" s="102">
        <v>59400000</v>
      </c>
      <c r="DD3" s="102">
        <v>63600000</v>
      </c>
      <c r="DE3" s="102">
        <v>63200000</v>
      </c>
      <c r="DF3" s="35">
        <v>65100000</v>
      </c>
      <c r="DG3" s="102">
        <v>68000000</v>
      </c>
      <c r="DH3" s="5"/>
      <c r="DJ3" s="5"/>
      <c r="DK3" s="51">
        <f t="shared" ref="DK3:FV3" si="0">(D3-C3)/C3</f>
        <v>0.23005736778191863</v>
      </c>
      <c r="DL3" s="51">
        <f t="shared" si="0"/>
        <v>-5.4649645390070903E-2</v>
      </c>
      <c r="DM3" s="51">
        <f t="shared" si="0"/>
        <v>0.44828289860639309</v>
      </c>
      <c r="DN3" s="51">
        <f t="shared" si="0"/>
        <v>0.30618706228502757</v>
      </c>
      <c r="DO3" s="51">
        <f t="shared" si="0"/>
        <v>7.6872802954352143E-2</v>
      </c>
      <c r="DP3" s="51">
        <f t="shared" si="0"/>
        <v>-0.13383182195824714</v>
      </c>
      <c r="DQ3" s="51">
        <f t="shared" si="0"/>
        <v>-0.25170068027210885</v>
      </c>
      <c r="DR3" s="51">
        <f t="shared" si="0"/>
        <v>-0.33636363636363636</v>
      </c>
      <c r="DS3" s="51">
        <f t="shared" si="0"/>
        <v>0.54794520547945202</v>
      </c>
      <c r="DT3" s="51">
        <f t="shared" si="0"/>
        <v>0.4247787610619469</v>
      </c>
      <c r="DU3" s="51">
        <f t="shared" si="0"/>
        <v>3.1055900621118012E-2</v>
      </c>
      <c r="DV3" s="51">
        <f t="shared" si="0"/>
        <v>9.6385542168674704E-2</v>
      </c>
      <c r="DW3" s="51">
        <f t="shared" si="0"/>
        <v>0.14285714285714285</v>
      </c>
      <c r="DX3" s="51">
        <f t="shared" si="0"/>
        <v>5.2884615384615384E-2</v>
      </c>
      <c r="DY3" s="51">
        <f t="shared" si="0"/>
        <v>9.1324200913242004E-2</v>
      </c>
      <c r="DZ3" s="51">
        <f t="shared" si="0"/>
        <v>0.11715481171548117</v>
      </c>
      <c r="EA3" s="51">
        <f t="shared" si="0"/>
        <v>-1.8726591760299626E-2</v>
      </c>
      <c r="EB3" s="51">
        <f t="shared" si="0"/>
        <v>-0.1717557251908397</v>
      </c>
      <c r="EC3" s="51">
        <f t="shared" si="0"/>
        <v>-0.30875576036866359</v>
      </c>
      <c r="ED3" s="51">
        <f t="shared" si="0"/>
        <v>-6.6666666666666666E-2</v>
      </c>
      <c r="EE3" s="51">
        <f t="shared" si="0"/>
        <v>0.19285714285714287</v>
      </c>
      <c r="EF3" s="51">
        <f t="shared" si="0"/>
        <v>0.52694610778443118</v>
      </c>
      <c r="EG3" s="51">
        <f t="shared" si="0"/>
        <v>0.37254901960784315</v>
      </c>
      <c r="EH3" s="51">
        <f t="shared" si="0"/>
        <v>0.41428571428571431</v>
      </c>
      <c r="EI3" s="51">
        <f t="shared" si="0"/>
        <v>0.16767676767676767</v>
      </c>
      <c r="EJ3" s="51">
        <f t="shared" si="0"/>
        <v>0.16955017301038061</v>
      </c>
      <c r="EK3" s="51">
        <f t="shared" si="0"/>
        <v>0.14349112426035504</v>
      </c>
      <c r="EL3" s="51">
        <f t="shared" si="0"/>
        <v>0.30271668822768433</v>
      </c>
      <c r="EM3" s="51">
        <f t="shared" si="0"/>
        <v>0.36941410129096325</v>
      </c>
      <c r="EN3" s="51">
        <f t="shared" si="0"/>
        <v>0.39883973894126179</v>
      </c>
      <c r="EO3" s="51">
        <f t="shared" si="0"/>
        <v>-0.12752721617418353</v>
      </c>
      <c r="EP3" s="51">
        <f t="shared" si="0"/>
        <v>-0.48900772430184197</v>
      </c>
      <c r="EQ3" s="51">
        <f t="shared" si="0"/>
        <v>-0.11627906976744186</v>
      </c>
      <c r="ER3" s="51">
        <f t="shared" si="0"/>
        <v>0.40789473684210525</v>
      </c>
      <c r="ES3" s="51">
        <f t="shared" si="0"/>
        <v>0.15887850467289719</v>
      </c>
      <c r="ET3" s="51">
        <f t="shared" si="0"/>
        <v>3.5483870967741936E-2</v>
      </c>
      <c r="EU3" s="51">
        <f t="shared" si="0"/>
        <v>0.1425233644859813</v>
      </c>
      <c r="EV3" s="51">
        <f t="shared" si="0"/>
        <v>0.21404226312201771</v>
      </c>
      <c r="EW3" s="51">
        <f t="shared" si="0"/>
        <v>0.13868613138686131</v>
      </c>
      <c r="EX3" s="51">
        <f t="shared" si="0"/>
        <v>0.19526627218934911</v>
      </c>
      <c r="EY3" s="51">
        <f t="shared" si="0"/>
        <v>0.12376237623762376</v>
      </c>
      <c r="EZ3" s="51">
        <f t="shared" si="0"/>
        <v>0.13803230543318648</v>
      </c>
      <c r="FA3" s="51">
        <f t="shared" si="0"/>
        <v>6.4516129032258063E-2</v>
      </c>
      <c r="FB3" s="51">
        <f t="shared" si="0"/>
        <v>0</v>
      </c>
      <c r="FC3" s="51">
        <f t="shared" si="0"/>
        <v>6.0606060606060608E-2</v>
      </c>
      <c r="FD3" s="51">
        <f t="shared" si="0"/>
        <v>0.14285714285714285</v>
      </c>
      <c r="FE3" s="51">
        <f t="shared" si="0"/>
        <v>0.125</v>
      </c>
      <c r="FF3" s="51">
        <f t="shared" si="0"/>
        <v>2.2222222222222223E-2</v>
      </c>
      <c r="FG3" s="51">
        <f t="shared" si="0"/>
        <v>8.6956521739130432E-2</v>
      </c>
      <c r="FH3" s="51">
        <f t="shared" si="0"/>
        <v>0.08</v>
      </c>
      <c r="FI3" s="51">
        <f t="shared" si="0"/>
        <v>7.407407407407407E-2</v>
      </c>
      <c r="FJ3" s="51">
        <f t="shared" si="0"/>
        <v>6.8965517241379309E-2</v>
      </c>
      <c r="FK3" s="51">
        <f t="shared" si="0"/>
        <v>8.0645161290322578E-2</v>
      </c>
      <c r="FL3" s="51">
        <f t="shared" si="0"/>
        <v>8.9552238805970144E-2</v>
      </c>
      <c r="FM3" s="51">
        <f t="shared" si="0"/>
        <v>5.4794520547945202E-2</v>
      </c>
      <c r="FN3" s="51">
        <f t="shared" si="0"/>
        <v>0.11688311688311688</v>
      </c>
      <c r="FO3" s="51">
        <f t="shared" si="0"/>
        <v>-3.3222591362126247E-3</v>
      </c>
      <c r="FP3" s="51">
        <f t="shared" si="0"/>
        <v>7.2916666666666671E-2</v>
      </c>
      <c r="FQ3" s="51">
        <f t="shared" si="0"/>
        <v>4.8543689320388349E-2</v>
      </c>
      <c r="FR3" s="51">
        <f t="shared" si="0"/>
        <v>9.2592592592592587E-2</v>
      </c>
      <c r="FS3" s="51">
        <f t="shared" si="0"/>
        <v>7.6271186440677971E-2</v>
      </c>
      <c r="FT3" s="51">
        <f t="shared" si="0"/>
        <v>0</v>
      </c>
      <c r="FU3" s="51">
        <f t="shared" si="0"/>
        <v>3.1496062992125984E-2</v>
      </c>
      <c r="FV3" s="51">
        <f t="shared" si="0"/>
        <v>8.3969465648854963E-2</v>
      </c>
      <c r="FW3" s="51">
        <f t="shared" ref="FW3:HN18" si="1">(BP3-BO3)/BO3</f>
        <v>3.5211267605633804E-2</v>
      </c>
      <c r="FX3" s="51">
        <f t="shared" si="1"/>
        <v>3.4013605442176874E-2</v>
      </c>
      <c r="FY3" s="51">
        <f t="shared" si="1"/>
        <v>5.921052631578947E-2</v>
      </c>
      <c r="FZ3" s="51">
        <f t="shared" si="1"/>
        <v>-2.4844720496894408E-2</v>
      </c>
      <c r="GA3" s="51">
        <f t="shared" si="1"/>
        <v>-0.11464968152866242</v>
      </c>
      <c r="GB3" s="51">
        <f t="shared" si="1"/>
        <v>2.8776978417266189E-2</v>
      </c>
      <c r="GC3" s="51">
        <f t="shared" si="1"/>
        <v>0.11188811188811189</v>
      </c>
      <c r="GD3" s="51">
        <f t="shared" si="1"/>
        <v>-1.8867924528301886E-2</v>
      </c>
      <c r="GE3" s="51">
        <f t="shared" si="1"/>
        <v>-1.282051282051282E-2</v>
      </c>
      <c r="GF3" s="51">
        <f t="shared" si="1"/>
        <v>7.1428571428571425E-2</v>
      </c>
      <c r="GG3" s="51">
        <f t="shared" si="1"/>
        <v>6.0606060606060608E-2</v>
      </c>
      <c r="GH3" s="51">
        <f t="shared" si="1"/>
        <v>2.8571428571428571E-2</v>
      </c>
      <c r="GI3" s="51">
        <f t="shared" si="1"/>
        <v>7.2222222222222215E-2</v>
      </c>
      <c r="GJ3" s="51">
        <f t="shared" si="1"/>
        <v>1.5544041450777202E-2</v>
      </c>
      <c r="GK3" s="51">
        <f t="shared" si="1"/>
        <v>-5.1020408163265302E-3</v>
      </c>
      <c r="GL3" s="51">
        <f t="shared" si="1"/>
        <v>1.0256410256410256E-2</v>
      </c>
      <c r="GM3" s="51">
        <f t="shared" si="1"/>
        <v>-3.0456852791878174E-2</v>
      </c>
      <c r="GN3" s="51">
        <f t="shared" si="1"/>
        <v>1.5706806282722512E-2</v>
      </c>
      <c r="GO3" s="51">
        <f t="shared" si="1"/>
        <v>6.7010309278350513E-2</v>
      </c>
      <c r="GP3" s="51">
        <f t="shared" si="1"/>
        <v>3.3816425120772944E-2</v>
      </c>
      <c r="GQ3" s="51">
        <f t="shared" si="1"/>
        <v>3.2710280373831772E-2</v>
      </c>
      <c r="GR3" s="51">
        <f t="shared" si="1"/>
        <v>4.5248868778280542E-2</v>
      </c>
      <c r="GS3" s="51">
        <f t="shared" si="1"/>
        <v>3.896103896103896E-2</v>
      </c>
      <c r="GT3" s="51">
        <f t="shared" si="1"/>
        <v>1.6666666666666666E-2</v>
      </c>
      <c r="GU3" s="51">
        <f t="shared" si="1"/>
        <v>6.1475409836065573E-2</v>
      </c>
      <c r="GV3" s="51">
        <f t="shared" si="1"/>
        <v>6.9498069498069498E-2</v>
      </c>
      <c r="GW3" s="51">
        <f t="shared" si="1"/>
        <v>7.5812274368231042E-2</v>
      </c>
      <c r="GX3" s="51">
        <f t="shared" si="1"/>
        <v>7.0469798657718116E-2</v>
      </c>
      <c r="GY3" s="51">
        <f t="shared" si="1"/>
        <v>5.6426332288401257E-2</v>
      </c>
      <c r="GZ3" s="51">
        <f t="shared" si="1"/>
        <v>0.12759643916913946</v>
      </c>
      <c r="HA3" s="51">
        <f t="shared" si="1"/>
        <v>2.6315789473684209E-2</v>
      </c>
      <c r="HB3" s="51">
        <f t="shared" si="1"/>
        <v>-4.3589743589743588E-2</v>
      </c>
      <c r="HC3" s="51">
        <f t="shared" si="1"/>
        <v>9.3833780160857902E-2</v>
      </c>
      <c r="HD3" s="51">
        <f t="shared" si="1"/>
        <v>8.8235294117647065E-2</v>
      </c>
      <c r="HE3" s="51">
        <f t="shared" si="1"/>
        <v>3.3783783783783786E-2</v>
      </c>
      <c r="HF3" s="51">
        <f t="shared" si="1"/>
        <v>3.7037037037037035E-2</v>
      </c>
      <c r="HG3" s="51">
        <f t="shared" si="1"/>
        <v>6.0924369747899158E-2</v>
      </c>
      <c r="HH3" s="51">
        <f t="shared" si="1"/>
        <v>0.13861386138613863</v>
      </c>
      <c r="HI3" s="51">
        <f t="shared" si="1"/>
        <v>2.4347826086956521E-2</v>
      </c>
      <c r="HJ3" s="51">
        <f t="shared" si="1"/>
        <v>8.4889643463497456E-3</v>
      </c>
      <c r="HK3" s="51">
        <f t="shared" si="1"/>
        <v>7.0707070707070704E-2</v>
      </c>
      <c r="HL3" s="51">
        <f t="shared" si="1"/>
        <v>-6.2893081761006293E-3</v>
      </c>
      <c r="HM3" s="51">
        <f t="shared" si="1"/>
        <v>3.0063291139240507E-2</v>
      </c>
      <c r="HN3" s="51">
        <f t="shared" si="1"/>
        <v>4.4546850998463901E-2</v>
      </c>
      <c r="HP3" s="51">
        <f t="shared" ref="HP3:HP37" si="2">AVERAGE(DK3:HN3)</f>
        <v>7.6040401522600318E-2</v>
      </c>
      <c r="HQ3" s="51">
        <f t="shared" ref="HQ3:HQ37" si="3">AVERAGE(GI3:HN3)</f>
        <v>4.3152542713118081E-2</v>
      </c>
      <c r="HR3" s="51">
        <f t="shared" ref="HR3:HR37" si="4">AVERAGE(GI3:HK3,HN3)</f>
        <v>4.5236912795221289E-2</v>
      </c>
      <c r="HS3" s="103">
        <f t="shared" ref="HS3:HS37" si="5">MEDIAN($DK3:$HN3)</f>
        <v>6.2995769434161825E-2</v>
      </c>
      <c r="HT3" s="79">
        <f t="shared" ref="HT3:HT37" si="6">MEDIAN($GI3:$HN3)</f>
        <v>3.7999037999037998E-2</v>
      </c>
      <c r="HU3" s="79">
        <f t="shared" ref="HU3:HU37" si="7">MEDIAN($GI3:$HK3,$HN3)</f>
        <v>4.1753944979751434E-2</v>
      </c>
      <c r="HW3" s="104" t="s">
        <v>220</v>
      </c>
      <c r="HX3" s="16">
        <v>6.1199889791982397E-2</v>
      </c>
      <c r="HY3" s="17" t="s">
        <v>105</v>
      </c>
    </row>
    <row r="4" spans="1:233" ht="15" customHeight="1" x14ac:dyDescent="0.2">
      <c r="A4" s="5" t="s">
        <v>107</v>
      </c>
      <c r="B4" s="105" t="s">
        <v>13</v>
      </c>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c r="BM4" s="102"/>
      <c r="BN4" s="102"/>
      <c r="BO4" s="102"/>
      <c r="BP4" s="102"/>
      <c r="BQ4" s="102"/>
      <c r="BR4" s="102"/>
      <c r="BS4" s="102"/>
      <c r="BT4" s="102"/>
      <c r="BU4" s="102"/>
      <c r="BV4" s="102"/>
      <c r="BW4" s="102"/>
      <c r="BX4" s="102"/>
      <c r="BY4" s="102"/>
      <c r="BZ4" s="102"/>
      <c r="CA4" s="102"/>
      <c r="CB4" s="102"/>
      <c r="CC4" s="102"/>
      <c r="CD4" s="102"/>
      <c r="CE4" s="102"/>
      <c r="CF4" s="102"/>
      <c r="CG4" s="102"/>
      <c r="CH4" s="102"/>
      <c r="CI4" s="102"/>
      <c r="CJ4" s="102"/>
      <c r="CK4" s="102"/>
      <c r="CL4" s="102"/>
      <c r="CM4" s="102"/>
      <c r="CN4" s="102"/>
      <c r="CO4" s="102"/>
      <c r="CP4" s="102"/>
      <c r="CQ4" s="102"/>
      <c r="CR4" s="102"/>
      <c r="CS4" s="102"/>
      <c r="CT4" s="102"/>
      <c r="CU4" s="102"/>
      <c r="CV4" s="102"/>
      <c r="CW4" s="102"/>
      <c r="CX4" s="102"/>
      <c r="CY4" s="102"/>
      <c r="CZ4" s="102"/>
      <c r="DA4" s="106">
        <v>4754430</v>
      </c>
      <c r="DB4" s="106">
        <v>4077557</v>
      </c>
      <c r="DC4" s="106">
        <v>4228732</v>
      </c>
      <c r="DD4" s="106">
        <v>4492429</v>
      </c>
      <c r="DE4" s="106">
        <v>4164758</v>
      </c>
      <c r="DF4" s="107">
        <v>3601490</v>
      </c>
      <c r="DG4" s="107">
        <v>4922770</v>
      </c>
      <c r="DH4" s="107">
        <v>5346091</v>
      </c>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1">
        <f t="shared" si="1"/>
        <v>-0.14236680317093742</v>
      </c>
      <c r="HJ4" s="51">
        <f t="shared" si="1"/>
        <v>3.707489558085883E-2</v>
      </c>
      <c r="HK4" s="51">
        <f t="shared" si="1"/>
        <v>6.235840909284391E-2</v>
      </c>
      <c r="HL4" s="51">
        <f t="shared" si="1"/>
        <v>-7.2938492739673788E-2</v>
      </c>
      <c r="HM4" s="51">
        <f t="shared" si="1"/>
        <v>-0.13524627361301664</v>
      </c>
      <c r="HN4" s="51">
        <f t="shared" si="1"/>
        <v>0.36687037864883704</v>
      </c>
      <c r="HP4" s="51">
        <f t="shared" si="2"/>
        <v>1.929201896648532E-2</v>
      </c>
      <c r="HQ4" s="51">
        <f t="shared" si="3"/>
        <v>1.929201896648532E-2</v>
      </c>
      <c r="HR4" s="51">
        <f t="shared" si="4"/>
        <v>8.0984220037900595E-2</v>
      </c>
      <c r="HS4" s="79">
        <f t="shared" si="5"/>
        <v>-1.7931798579407479E-2</v>
      </c>
      <c r="HT4" s="79">
        <f t="shared" si="6"/>
        <v>-1.7931798579407479E-2</v>
      </c>
      <c r="HU4" s="103">
        <f t="shared" si="7"/>
        <v>4.9716652336851366E-2</v>
      </c>
      <c r="HW4" s="108" t="s">
        <v>13</v>
      </c>
      <c r="HX4" s="16">
        <v>4.9716652336851401E-2</v>
      </c>
      <c r="HY4" s="186" t="s">
        <v>108</v>
      </c>
    </row>
    <row r="5" spans="1:233" ht="15" customHeight="1" x14ac:dyDescent="0.2">
      <c r="A5" s="5" t="s">
        <v>106</v>
      </c>
      <c r="B5" s="48" t="s">
        <v>14</v>
      </c>
      <c r="C5" s="102"/>
      <c r="D5" s="102"/>
      <c r="E5" s="102"/>
      <c r="F5" s="102"/>
      <c r="G5" s="102"/>
      <c r="H5" s="102"/>
      <c r="I5" s="102"/>
      <c r="J5" s="102"/>
      <c r="K5" s="102"/>
      <c r="L5" s="102"/>
      <c r="M5" s="102">
        <v>165.61680000000001</v>
      </c>
      <c r="N5" s="102">
        <v>346</v>
      </c>
      <c r="O5" s="102">
        <v>346</v>
      </c>
      <c r="P5" s="102">
        <v>527.29200000000003</v>
      </c>
      <c r="Q5" s="102">
        <v>1544</v>
      </c>
      <c r="R5" s="102">
        <v>1544</v>
      </c>
      <c r="S5" s="102">
        <v>2560.3881630000001</v>
      </c>
      <c r="T5" s="102">
        <v>1654</v>
      </c>
      <c r="U5" s="102">
        <v>1654</v>
      </c>
      <c r="V5" s="102">
        <v>748.35599999999999</v>
      </c>
      <c r="W5" s="102">
        <v>4309</v>
      </c>
      <c r="X5" s="102">
        <v>4309</v>
      </c>
      <c r="Y5" s="102">
        <v>3560.8816980000001</v>
      </c>
      <c r="Z5" s="102">
        <v>3789</v>
      </c>
      <c r="AA5" s="102">
        <v>4017.6026400000001</v>
      </c>
      <c r="AB5" s="102">
        <v>4664</v>
      </c>
      <c r="AC5" s="102">
        <v>4664</v>
      </c>
      <c r="AD5" s="102">
        <v>5310.4918200000002</v>
      </c>
      <c r="AE5" s="102">
        <v>5885.7837</v>
      </c>
      <c r="AF5" s="102">
        <v>5011.4710500000001</v>
      </c>
      <c r="AG5" s="102">
        <v>5490</v>
      </c>
      <c r="AH5" s="102">
        <v>5968.7035379999998</v>
      </c>
      <c r="AI5" s="102">
        <v>5735.5675410000003</v>
      </c>
      <c r="AJ5" s="102">
        <v>5966</v>
      </c>
      <c r="AK5" s="102">
        <v>5966</v>
      </c>
      <c r="AL5" s="102">
        <v>6196.4991179999997</v>
      </c>
      <c r="AM5" s="102">
        <v>6697.7522250000002</v>
      </c>
      <c r="AN5" s="102">
        <v>5811.2</v>
      </c>
      <c r="AO5" s="102">
        <v>5811.2</v>
      </c>
      <c r="AP5" s="102">
        <v>6083.6</v>
      </c>
      <c r="AQ5" s="102">
        <v>6991.6</v>
      </c>
      <c r="AR5" s="102">
        <v>6900.8</v>
      </c>
      <c r="AS5" s="102">
        <v>9296</v>
      </c>
      <c r="AT5" s="102">
        <v>10080</v>
      </c>
      <c r="AU5" s="102">
        <v>10640</v>
      </c>
      <c r="AV5" s="102">
        <v>10080</v>
      </c>
      <c r="AW5" s="102">
        <v>10080</v>
      </c>
      <c r="AX5" s="102">
        <v>12320</v>
      </c>
      <c r="AY5" s="102">
        <v>13440</v>
      </c>
      <c r="AZ5" s="102">
        <v>13440</v>
      </c>
      <c r="BA5" s="102">
        <v>13440</v>
      </c>
      <c r="BB5" s="102">
        <v>14560</v>
      </c>
      <c r="BC5" s="102">
        <v>14560</v>
      </c>
      <c r="BD5" s="102">
        <v>14560</v>
      </c>
      <c r="BE5" s="102">
        <v>16800</v>
      </c>
      <c r="BF5" s="102">
        <v>16800</v>
      </c>
      <c r="BG5" s="102">
        <v>19040</v>
      </c>
      <c r="BH5" s="102">
        <v>19000</v>
      </c>
      <c r="BI5" s="102">
        <v>18000</v>
      </c>
      <c r="BJ5" s="102">
        <v>19000</v>
      </c>
      <c r="BK5" s="102">
        <v>20000</v>
      </c>
      <c r="BL5" s="102">
        <v>19000</v>
      </c>
      <c r="BM5" s="102">
        <v>15700</v>
      </c>
      <c r="BN5" s="102">
        <v>17000</v>
      </c>
      <c r="BO5" s="102">
        <v>18300</v>
      </c>
      <c r="BP5" s="102">
        <v>17400</v>
      </c>
      <c r="BQ5" s="102">
        <v>18200</v>
      </c>
      <c r="BR5" s="102">
        <v>18200</v>
      </c>
      <c r="BS5" s="102">
        <v>17200</v>
      </c>
      <c r="BT5" s="102">
        <v>16500</v>
      </c>
      <c r="BU5" s="102">
        <v>17200</v>
      </c>
      <c r="BV5" s="102">
        <v>19200</v>
      </c>
      <c r="BW5" s="102">
        <v>19400</v>
      </c>
      <c r="BX5" s="102">
        <v>19300</v>
      </c>
      <c r="BY5" s="102">
        <v>19300</v>
      </c>
      <c r="BZ5" s="102">
        <v>21900</v>
      </c>
      <c r="CA5" s="102">
        <v>21300</v>
      </c>
      <c r="CB5" s="35">
        <v>20000</v>
      </c>
      <c r="CC5" s="35">
        <v>20500</v>
      </c>
      <c r="CD5" s="35">
        <v>20200</v>
      </c>
      <c r="CE5" s="35">
        <v>18900</v>
      </c>
      <c r="CF5" s="102">
        <v>18100</v>
      </c>
      <c r="CG5" s="102">
        <v>18500</v>
      </c>
      <c r="CH5" s="102">
        <v>18900</v>
      </c>
      <c r="CI5" s="102">
        <v>20000</v>
      </c>
      <c r="CJ5" s="102">
        <v>19600</v>
      </c>
      <c r="CK5" s="102">
        <v>19100</v>
      </c>
      <c r="CL5" s="102">
        <v>19700</v>
      </c>
      <c r="CM5" s="102">
        <v>18200</v>
      </c>
      <c r="CN5" s="102">
        <v>15800</v>
      </c>
      <c r="CO5" s="102">
        <v>16900</v>
      </c>
      <c r="CP5" s="102">
        <v>18800</v>
      </c>
      <c r="CQ5" s="102">
        <v>19400</v>
      </c>
      <c r="CR5" s="102">
        <v>19300</v>
      </c>
      <c r="CS5" s="102">
        <v>20400</v>
      </c>
      <c r="CT5" s="102">
        <v>19600</v>
      </c>
      <c r="CU5" s="102">
        <v>18800</v>
      </c>
      <c r="CV5" s="102">
        <v>21100</v>
      </c>
      <c r="CW5" s="102">
        <v>22200</v>
      </c>
      <c r="CX5" s="102">
        <v>20900</v>
      </c>
      <c r="CY5" s="102">
        <v>22200</v>
      </c>
      <c r="CZ5" s="102">
        <v>24200</v>
      </c>
      <c r="DA5" s="102">
        <v>23200</v>
      </c>
      <c r="DB5" s="102">
        <v>23900</v>
      </c>
      <c r="DC5" s="102">
        <v>25400</v>
      </c>
      <c r="DD5" s="102">
        <v>25100</v>
      </c>
      <c r="DE5" s="102">
        <v>24400</v>
      </c>
      <c r="DF5" s="35">
        <v>24000</v>
      </c>
      <c r="DG5" s="102">
        <v>24000</v>
      </c>
      <c r="DH5" s="5"/>
      <c r="DJ5" s="5"/>
      <c r="DK5" s="51"/>
      <c r="DL5" s="5"/>
      <c r="DM5" s="5"/>
      <c r="DN5" s="5"/>
      <c r="DO5" s="5"/>
      <c r="DP5" s="5"/>
      <c r="DQ5" s="5"/>
      <c r="DR5" s="5"/>
      <c r="DS5" s="5"/>
      <c r="DT5" s="5"/>
      <c r="DU5" s="51">
        <f t="shared" ref="DU5:EJ8" si="8">(N5-M5)/M5</f>
        <v>1.0891600369044685</v>
      </c>
      <c r="DV5" s="51">
        <f t="shared" si="8"/>
        <v>0</v>
      </c>
      <c r="DW5" s="51">
        <f t="shared" si="8"/>
        <v>0.52396531791907519</v>
      </c>
      <c r="DX5" s="51">
        <f t="shared" si="8"/>
        <v>1.9281688324495723</v>
      </c>
      <c r="DY5" s="51">
        <f t="shared" si="8"/>
        <v>0</v>
      </c>
      <c r="DZ5" s="51">
        <f t="shared" si="8"/>
        <v>0.65828248898963737</v>
      </c>
      <c r="EA5" s="51">
        <f t="shared" si="8"/>
        <v>-0.35400419987022103</v>
      </c>
      <c r="EB5" s="51">
        <f t="shared" si="8"/>
        <v>0</v>
      </c>
      <c r="EC5" s="51">
        <f t="shared" si="8"/>
        <v>-0.54754776299879082</v>
      </c>
      <c r="ED5" s="51">
        <f t="shared" si="8"/>
        <v>4.7579547701895892</v>
      </c>
      <c r="EE5" s="51">
        <f t="shared" si="8"/>
        <v>0</v>
      </c>
      <c r="EF5" s="51">
        <f t="shared" si="8"/>
        <v>-0.17361761475980503</v>
      </c>
      <c r="EG5" s="51">
        <f t="shared" si="8"/>
        <v>6.4062308536710008E-2</v>
      </c>
      <c r="EH5" s="51">
        <f t="shared" si="8"/>
        <v>6.0333238321456865E-2</v>
      </c>
      <c r="EI5" s="51">
        <f t="shared" si="8"/>
        <v>0.16089131203876347</v>
      </c>
      <c r="EJ5" s="51">
        <f t="shared" si="8"/>
        <v>0</v>
      </c>
      <c r="EK5" s="51">
        <f t="shared" ref="EK5:EZ8" si="9">(AD5-AC5)/AC5</f>
        <v>0.13861316895368786</v>
      </c>
      <c r="EL5" s="51">
        <f t="shared" si="9"/>
        <v>0.10833118654535462</v>
      </c>
      <c r="EM5" s="51">
        <f t="shared" si="9"/>
        <v>-0.14854651386526485</v>
      </c>
      <c r="EN5" s="51">
        <f t="shared" si="9"/>
        <v>9.5486723404298604E-2</v>
      </c>
      <c r="EO5" s="51">
        <f t="shared" si="9"/>
        <v>8.7195544262295033E-2</v>
      </c>
      <c r="EP5" s="51">
        <f t="shared" si="9"/>
        <v>-3.9059738101537358E-2</v>
      </c>
      <c r="EQ5" s="51">
        <f t="shared" si="9"/>
        <v>4.0176051864576873E-2</v>
      </c>
      <c r="ER5" s="51">
        <f t="shared" si="9"/>
        <v>0</v>
      </c>
      <c r="ES5" s="51">
        <f t="shared" si="9"/>
        <v>3.8635453905464252E-2</v>
      </c>
      <c r="ET5" s="51">
        <f t="shared" si="9"/>
        <v>8.089295220650114E-2</v>
      </c>
      <c r="EU5" s="51">
        <f t="shared" si="9"/>
        <v>-0.13236563480071112</v>
      </c>
      <c r="EV5" s="51">
        <f t="shared" si="9"/>
        <v>0</v>
      </c>
      <c r="EW5" s="51">
        <f t="shared" si="9"/>
        <v>4.6875000000000097E-2</v>
      </c>
      <c r="EX5" s="51">
        <f t="shared" si="9"/>
        <v>0.14925373134328357</v>
      </c>
      <c r="EY5" s="51">
        <f t="shared" si="9"/>
        <v>-1.2987012987013012E-2</v>
      </c>
      <c r="EZ5" s="51">
        <f t="shared" si="9"/>
        <v>0.347090192441456</v>
      </c>
      <c r="FA5" s="51">
        <f t="shared" ref="FA5:FP8" si="10">(AT5-AS5)/AS5</f>
        <v>8.4337349397590355E-2</v>
      </c>
      <c r="FB5" s="51">
        <f t="shared" si="10"/>
        <v>5.5555555555555552E-2</v>
      </c>
      <c r="FC5" s="51">
        <f t="shared" si="10"/>
        <v>-5.2631578947368418E-2</v>
      </c>
      <c r="FD5" s="51">
        <f t="shared" si="10"/>
        <v>0</v>
      </c>
      <c r="FE5" s="51">
        <f t="shared" si="10"/>
        <v>0.22222222222222221</v>
      </c>
      <c r="FF5" s="51">
        <f t="shared" si="10"/>
        <v>9.0909090909090912E-2</v>
      </c>
      <c r="FG5" s="51">
        <f t="shared" si="10"/>
        <v>0</v>
      </c>
      <c r="FH5" s="51">
        <f t="shared" si="10"/>
        <v>0</v>
      </c>
      <c r="FI5" s="51">
        <f t="shared" si="10"/>
        <v>8.3333333333333329E-2</v>
      </c>
      <c r="FJ5" s="51">
        <f t="shared" si="10"/>
        <v>0</v>
      </c>
      <c r="FK5" s="51">
        <f t="shared" si="10"/>
        <v>0</v>
      </c>
      <c r="FL5" s="51">
        <f t="shared" si="10"/>
        <v>0.15384615384615385</v>
      </c>
      <c r="FM5" s="51">
        <f t="shared" si="10"/>
        <v>0</v>
      </c>
      <c r="FN5" s="51">
        <f t="shared" si="10"/>
        <v>0.13333333333333333</v>
      </c>
      <c r="FO5" s="51">
        <f t="shared" si="10"/>
        <v>-2.1008403361344537E-3</v>
      </c>
      <c r="FP5" s="51">
        <f t="shared" si="10"/>
        <v>-5.2631578947368418E-2</v>
      </c>
      <c r="FQ5" s="51">
        <f t="shared" ref="FQ5:GF9" si="11">(BJ5-BI5)/BI5</f>
        <v>5.5555555555555552E-2</v>
      </c>
      <c r="FR5" s="51">
        <f t="shared" si="11"/>
        <v>5.2631578947368418E-2</v>
      </c>
      <c r="FS5" s="51">
        <f t="shared" si="11"/>
        <v>-0.05</v>
      </c>
      <c r="FT5" s="51">
        <f t="shared" si="11"/>
        <v>-0.1736842105263158</v>
      </c>
      <c r="FU5" s="51">
        <f t="shared" si="11"/>
        <v>8.2802547770700632E-2</v>
      </c>
      <c r="FV5" s="51">
        <f t="shared" si="11"/>
        <v>7.6470588235294124E-2</v>
      </c>
      <c r="FW5" s="51">
        <f t="shared" si="11"/>
        <v>-4.9180327868852458E-2</v>
      </c>
      <c r="FX5" s="51">
        <f t="shared" si="11"/>
        <v>4.5977011494252873E-2</v>
      </c>
      <c r="FY5" s="51">
        <f t="shared" si="11"/>
        <v>0</v>
      </c>
      <c r="FZ5" s="51">
        <f t="shared" si="11"/>
        <v>-5.4945054945054944E-2</v>
      </c>
      <c r="GA5" s="51">
        <f t="shared" si="11"/>
        <v>-4.0697674418604654E-2</v>
      </c>
      <c r="GB5" s="51">
        <f t="shared" si="11"/>
        <v>4.2424242424242427E-2</v>
      </c>
      <c r="GC5" s="51">
        <f t="shared" si="11"/>
        <v>0.11627906976744186</v>
      </c>
      <c r="GD5" s="51">
        <f t="shared" si="11"/>
        <v>1.0416666666666666E-2</v>
      </c>
      <c r="GE5" s="51">
        <f t="shared" si="11"/>
        <v>-5.1546391752577319E-3</v>
      </c>
      <c r="GF5" s="51">
        <f t="shared" si="11"/>
        <v>0</v>
      </c>
      <c r="GG5" s="51">
        <f t="shared" ref="GG5:GV12" si="12">(BZ5-BY5)/BY5</f>
        <v>0.13471502590673576</v>
      </c>
      <c r="GH5" s="51">
        <f t="shared" si="12"/>
        <v>-2.7397260273972601E-2</v>
      </c>
      <c r="GI5" s="51">
        <f t="shared" si="12"/>
        <v>-6.1032863849765258E-2</v>
      </c>
      <c r="GJ5" s="51">
        <f t="shared" si="12"/>
        <v>2.5000000000000001E-2</v>
      </c>
      <c r="GK5" s="51">
        <f t="shared" si="12"/>
        <v>-1.4634146341463415E-2</v>
      </c>
      <c r="GL5" s="51">
        <f t="shared" si="12"/>
        <v>-6.4356435643564358E-2</v>
      </c>
      <c r="GM5" s="51">
        <f t="shared" si="12"/>
        <v>-4.2328042328042326E-2</v>
      </c>
      <c r="GN5" s="51">
        <f t="shared" si="12"/>
        <v>2.2099447513812154E-2</v>
      </c>
      <c r="GO5" s="51">
        <f t="shared" si="12"/>
        <v>2.1621621621621623E-2</v>
      </c>
      <c r="GP5" s="51">
        <f t="shared" si="12"/>
        <v>5.8201058201058198E-2</v>
      </c>
      <c r="GQ5" s="51">
        <f t="shared" si="12"/>
        <v>-0.02</v>
      </c>
      <c r="GR5" s="51">
        <f t="shared" si="12"/>
        <v>-2.5510204081632654E-2</v>
      </c>
      <c r="GS5" s="51">
        <f t="shared" si="12"/>
        <v>3.1413612565445025E-2</v>
      </c>
      <c r="GT5" s="51">
        <f t="shared" si="12"/>
        <v>-7.6142131979695438E-2</v>
      </c>
      <c r="GU5" s="51">
        <f t="shared" si="12"/>
        <v>-0.13186813186813187</v>
      </c>
      <c r="GV5" s="51">
        <f t="shared" si="12"/>
        <v>6.9620253164556958E-2</v>
      </c>
      <c r="GW5" s="51">
        <f t="shared" ref="GW5:HL12" si="13">(CP5-CO5)/CO5</f>
        <v>0.11242603550295859</v>
      </c>
      <c r="GX5" s="51">
        <f t="shared" si="13"/>
        <v>3.1914893617021274E-2</v>
      </c>
      <c r="GY5" s="51">
        <f t="shared" si="13"/>
        <v>-5.1546391752577319E-3</v>
      </c>
      <c r="GZ5" s="51">
        <f t="shared" si="13"/>
        <v>5.6994818652849742E-2</v>
      </c>
      <c r="HA5" s="51">
        <f t="shared" si="13"/>
        <v>-3.9215686274509803E-2</v>
      </c>
      <c r="HB5" s="51">
        <f t="shared" si="13"/>
        <v>-4.0816326530612242E-2</v>
      </c>
      <c r="HC5" s="51">
        <f t="shared" si="13"/>
        <v>0.12234042553191489</v>
      </c>
      <c r="HD5" s="51">
        <f t="shared" si="13"/>
        <v>5.2132701421800945E-2</v>
      </c>
      <c r="HE5" s="51">
        <f t="shared" si="13"/>
        <v>-5.8558558558558557E-2</v>
      </c>
      <c r="HF5" s="51">
        <f t="shared" si="13"/>
        <v>6.2200956937799042E-2</v>
      </c>
      <c r="HG5" s="51">
        <f t="shared" si="13"/>
        <v>9.0090090090090086E-2</v>
      </c>
      <c r="HH5" s="51">
        <f t="shared" si="13"/>
        <v>-4.1322314049586778E-2</v>
      </c>
      <c r="HI5" s="51">
        <f t="shared" si="1"/>
        <v>3.017241379310345E-2</v>
      </c>
      <c r="HJ5" s="51">
        <f t="shared" si="1"/>
        <v>6.2761506276150625E-2</v>
      </c>
      <c r="HK5" s="51">
        <f t="shared" si="1"/>
        <v>-1.1811023622047244E-2</v>
      </c>
      <c r="HL5" s="51">
        <f t="shared" si="1"/>
        <v>-2.7888446215139442E-2</v>
      </c>
      <c r="HM5" s="51">
        <f t="shared" si="1"/>
        <v>-1.6393442622950821E-2</v>
      </c>
      <c r="HN5" s="51">
        <f t="shared" si="1"/>
        <v>0</v>
      </c>
      <c r="HP5" s="51">
        <f t="shared" si="2"/>
        <v>0.10277125953641508</v>
      </c>
      <c r="HQ5" s="51">
        <f t="shared" si="3"/>
        <v>5.3736700546632718E-3</v>
      </c>
      <c r="HR5" s="51">
        <f t="shared" si="4"/>
        <v>7.2079776862438317E-3</v>
      </c>
      <c r="HS5" s="79">
        <f t="shared" si="5"/>
        <v>5.208333333333333E-3</v>
      </c>
      <c r="HT5" s="79">
        <f t="shared" si="6"/>
        <v>-2.5773195876288659E-3</v>
      </c>
      <c r="HU5" s="79">
        <f t="shared" si="7"/>
        <v>1.0810810810810811E-2</v>
      </c>
      <c r="HW5" s="104" t="s">
        <v>14</v>
      </c>
      <c r="HX5" s="23" t="s">
        <v>221</v>
      </c>
      <c r="HY5" s="24"/>
    </row>
    <row r="6" spans="1:233" ht="15" customHeight="1" x14ac:dyDescent="0.2">
      <c r="A6" s="5" t="s">
        <v>106</v>
      </c>
      <c r="B6" s="48" t="s">
        <v>15</v>
      </c>
      <c r="C6" s="102">
        <v>130304.16</v>
      </c>
      <c r="D6" s="102">
        <v>145083.68</v>
      </c>
      <c r="E6" s="102">
        <v>187756.79999999999</v>
      </c>
      <c r="F6" s="102">
        <v>293707.68</v>
      </c>
      <c r="G6" s="102">
        <v>274860.32</v>
      </c>
      <c r="H6" s="102">
        <v>302225.28000000003</v>
      </c>
      <c r="I6" s="102">
        <v>100306.08</v>
      </c>
      <c r="J6" s="102">
        <v>89260.64</v>
      </c>
      <c r="K6" s="102">
        <v>148960</v>
      </c>
      <c r="L6" s="102">
        <v>162400</v>
      </c>
      <c r="M6" s="102">
        <v>222880</v>
      </c>
      <c r="N6" s="102">
        <v>310240</v>
      </c>
      <c r="O6" s="102">
        <v>321440</v>
      </c>
      <c r="P6" s="102">
        <v>369600</v>
      </c>
      <c r="Q6" s="102">
        <v>448000</v>
      </c>
      <c r="R6" s="102">
        <v>481600</v>
      </c>
      <c r="S6" s="102">
        <v>638400</v>
      </c>
      <c r="T6" s="102">
        <v>616000</v>
      </c>
      <c r="U6" s="102">
        <v>336000</v>
      </c>
      <c r="V6" s="102">
        <v>268800</v>
      </c>
      <c r="W6" s="102">
        <v>451360</v>
      </c>
      <c r="X6" s="102">
        <v>692160</v>
      </c>
      <c r="Y6" s="102">
        <v>873600</v>
      </c>
      <c r="Z6" s="102">
        <v>1164800</v>
      </c>
      <c r="AA6" s="102">
        <v>1198400</v>
      </c>
      <c r="AB6" s="102">
        <v>1232000</v>
      </c>
      <c r="AC6" s="102">
        <v>1299200</v>
      </c>
      <c r="AD6" s="102">
        <v>1512000</v>
      </c>
      <c r="AE6" s="102">
        <v>1792000</v>
      </c>
      <c r="AF6" s="102">
        <v>2240000</v>
      </c>
      <c r="AG6" s="102">
        <v>2016000</v>
      </c>
      <c r="AH6" s="102">
        <v>1568000</v>
      </c>
      <c r="AI6" s="102">
        <v>1232000</v>
      </c>
      <c r="AJ6" s="102">
        <v>1288000</v>
      </c>
      <c r="AK6" s="102">
        <v>1789760</v>
      </c>
      <c r="AL6" s="102">
        <v>2176160</v>
      </c>
      <c r="AM6" s="102">
        <v>2329600</v>
      </c>
      <c r="AN6" s="102">
        <v>2581600</v>
      </c>
      <c r="AO6" s="102">
        <v>3080000</v>
      </c>
      <c r="AP6" s="102">
        <v>3696000</v>
      </c>
      <c r="AQ6" s="102">
        <v>3953600</v>
      </c>
      <c r="AR6" s="102">
        <v>3628800</v>
      </c>
      <c r="AS6" s="102">
        <v>4032000</v>
      </c>
      <c r="AT6" s="102">
        <v>4536000</v>
      </c>
      <c r="AU6" s="102">
        <v>5152000</v>
      </c>
      <c r="AV6" s="102">
        <v>4144000</v>
      </c>
      <c r="AW6" s="102">
        <v>4368000</v>
      </c>
      <c r="AX6" s="102">
        <v>4816000</v>
      </c>
      <c r="AY6" s="102">
        <v>4592000</v>
      </c>
      <c r="AZ6" s="102">
        <v>4816000</v>
      </c>
      <c r="BA6" s="102">
        <v>4480000</v>
      </c>
      <c r="BB6" s="102">
        <v>4704000</v>
      </c>
      <c r="BC6" s="102">
        <v>5488000</v>
      </c>
      <c r="BD6" s="102">
        <v>5376000</v>
      </c>
      <c r="BE6" s="102">
        <v>5264000</v>
      </c>
      <c r="BF6" s="102">
        <v>5488000</v>
      </c>
      <c r="BG6" s="102">
        <v>5936000</v>
      </c>
      <c r="BH6" s="102">
        <v>6100000</v>
      </c>
      <c r="BI6" s="102">
        <v>6400000</v>
      </c>
      <c r="BJ6" s="102">
        <v>6300000</v>
      </c>
      <c r="BK6" s="102">
        <v>6800000</v>
      </c>
      <c r="BL6" s="102">
        <v>7400000</v>
      </c>
      <c r="BM6" s="102">
        <v>8400000</v>
      </c>
      <c r="BN6" s="102">
        <v>8600000</v>
      </c>
      <c r="BO6" s="102">
        <v>9300000</v>
      </c>
      <c r="BP6" s="102">
        <v>9100000</v>
      </c>
      <c r="BQ6" s="102">
        <v>9600000</v>
      </c>
      <c r="BR6" s="102">
        <v>9200000</v>
      </c>
      <c r="BS6" s="102">
        <v>8500000</v>
      </c>
      <c r="BT6" s="102">
        <v>8000000</v>
      </c>
      <c r="BU6" s="102">
        <v>7900000</v>
      </c>
      <c r="BV6" s="102">
        <v>9300000</v>
      </c>
      <c r="BW6" s="102">
        <v>11200000</v>
      </c>
      <c r="BX6" s="102">
        <v>11800000</v>
      </c>
      <c r="BY6" s="102">
        <v>11600000</v>
      </c>
      <c r="BZ6" s="102">
        <v>12700000</v>
      </c>
      <c r="CA6" s="102">
        <v>14000000</v>
      </c>
      <c r="CB6" s="35">
        <v>13000000</v>
      </c>
      <c r="CC6" s="35">
        <v>13300000</v>
      </c>
      <c r="CD6" s="35">
        <v>11000000</v>
      </c>
      <c r="CE6" s="35">
        <v>9300000</v>
      </c>
      <c r="CF6" s="102">
        <v>9570000</v>
      </c>
      <c r="CG6" s="102">
        <v>12000000</v>
      </c>
      <c r="CH6" s="102">
        <v>12190000</v>
      </c>
      <c r="CI6" s="102">
        <v>12500000</v>
      </c>
      <c r="CJ6" s="102">
        <v>12700000</v>
      </c>
      <c r="CK6" s="102">
        <v>13500000</v>
      </c>
      <c r="CL6" s="102">
        <v>14400000</v>
      </c>
      <c r="CM6" s="102">
        <v>12100000</v>
      </c>
      <c r="CN6" s="102">
        <v>13500000</v>
      </c>
      <c r="CO6" s="102">
        <v>15500000</v>
      </c>
      <c r="CP6" s="102">
        <v>17500000</v>
      </c>
      <c r="CQ6" s="102">
        <v>19300000</v>
      </c>
      <c r="CR6" s="102">
        <v>19600000</v>
      </c>
      <c r="CS6" s="102">
        <v>21500000</v>
      </c>
      <c r="CT6" s="102">
        <v>23800000</v>
      </c>
      <c r="CU6" s="102">
        <v>19300000</v>
      </c>
      <c r="CV6" s="102">
        <v>23700000</v>
      </c>
      <c r="CW6" s="102">
        <v>23300000</v>
      </c>
      <c r="CX6" s="102">
        <v>25600000</v>
      </c>
      <c r="CY6" s="102">
        <v>28800000</v>
      </c>
      <c r="CZ6" s="102">
        <v>26400000</v>
      </c>
      <c r="DA6" s="102">
        <v>30400000</v>
      </c>
      <c r="DB6" s="102">
        <v>30200000</v>
      </c>
      <c r="DC6" s="102">
        <v>35700000</v>
      </c>
      <c r="DD6" s="102">
        <v>43100000</v>
      </c>
      <c r="DE6" s="102">
        <v>44800000</v>
      </c>
      <c r="DF6" s="35">
        <v>37000000</v>
      </c>
      <c r="DG6" s="102">
        <v>41000000</v>
      </c>
      <c r="DH6" s="5"/>
      <c r="DJ6" s="5"/>
      <c r="DK6" s="51">
        <f t="shared" ref="DK6:DT8" si="14">(D6-C6)/C6</f>
        <v>0.11342323990270141</v>
      </c>
      <c r="DL6" s="51">
        <f t="shared" si="14"/>
        <v>0.2941276372366623</v>
      </c>
      <c r="DM6" s="51">
        <f t="shared" si="14"/>
        <v>0.56429849677881183</v>
      </c>
      <c r="DN6" s="51">
        <f t="shared" si="14"/>
        <v>-6.4170470448712769E-2</v>
      </c>
      <c r="DO6" s="51">
        <f t="shared" si="14"/>
        <v>9.9559514447192743E-2</v>
      </c>
      <c r="DP6" s="51">
        <f t="shared" si="14"/>
        <v>-0.66810824031662741</v>
      </c>
      <c r="DQ6" s="51">
        <f t="shared" si="14"/>
        <v>-0.11011735280652979</v>
      </c>
      <c r="DR6" s="51">
        <f t="shared" si="14"/>
        <v>0.66882065824309578</v>
      </c>
      <c r="DS6" s="51">
        <f t="shared" si="14"/>
        <v>9.0225563909774431E-2</v>
      </c>
      <c r="DT6" s="51">
        <f t="shared" si="14"/>
        <v>0.3724137931034483</v>
      </c>
      <c r="DU6" s="51">
        <f t="shared" si="8"/>
        <v>0.39195979899497485</v>
      </c>
      <c r="DV6" s="51">
        <f t="shared" si="8"/>
        <v>3.6101083032490974E-2</v>
      </c>
      <c r="DW6" s="51">
        <f t="shared" si="8"/>
        <v>0.14982578397212543</v>
      </c>
      <c r="DX6" s="51">
        <f t="shared" si="8"/>
        <v>0.21212121212121213</v>
      </c>
      <c r="DY6" s="51">
        <f t="shared" si="8"/>
        <v>7.4999999999999997E-2</v>
      </c>
      <c r="DZ6" s="51">
        <f t="shared" si="8"/>
        <v>0.32558139534883723</v>
      </c>
      <c r="EA6" s="51">
        <f t="shared" si="8"/>
        <v>-3.5087719298245612E-2</v>
      </c>
      <c r="EB6" s="51">
        <f t="shared" si="8"/>
        <v>-0.45454545454545453</v>
      </c>
      <c r="EC6" s="51">
        <f t="shared" si="8"/>
        <v>-0.2</v>
      </c>
      <c r="ED6" s="51">
        <f t="shared" si="8"/>
        <v>0.6791666666666667</v>
      </c>
      <c r="EE6" s="51">
        <f t="shared" si="8"/>
        <v>0.53349875930521096</v>
      </c>
      <c r="EF6" s="51">
        <f t="shared" si="8"/>
        <v>0.26213592233009708</v>
      </c>
      <c r="EG6" s="51">
        <f t="shared" si="8"/>
        <v>0.33333333333333331</v>
      </c>
      <c r="EH6" s="51">
        <f t="shared" si="8"/>
        <v>2.8846153846153848E-2</v>
      </c>
      <c r="EI6" s="51">
        <f t="shared" si="8"/>
        <v>2.8037383177570093E-2</v>
      </c>
      <c r="EJ6" s="51">
        <f t="shared" si="8"/>
        <v>5.4545454545454543E-2</v>
      </c>
      <c r="EK6" s="51">
        <f t="shared" si="9"/>
        <v>0.16379310344827586</v>
      </c>
      <c r="EL6" s="51">
        <f t="shared" si="9"/>
        <v>0.18518518518518517</v>
      </c>
      <c r="EM6" s="51">
        <f t="shared" si="9"/>
        <v>0.25</v>
      </c>
      <c r="EN6" s="51">
        <f t="shared" si="9"/>
        <v>-0.1</v>
      </c>
      <c r="EO6" s="51">
        <f t="shared" si="9"/>
        <v>-0.22222222222222221</v>
      </c>
      <c r="EP6" s="51">
        <f t="shared" si="9"/>
        <v>-0.21428571428571427</v>
      </c>
      <c r="EQ6" s="51">
        <f t="shared" si="9"/>
        <v>4.5454545454545456E-2</v>
      </c>
      <c r="ER6" s="51">
        <f t="shared" si="9"/>
        <v>0.38956521739130434</v>
      </c>
      <c r="ES6" s="51">
        <f t="shared" si="9"/>
        <v>0.21589486858573217</v>
      </c>
      <c r="ET6" s="51">
        <f t="shared" si="9"/>
        <v>7.0509521358723626E-2</v>
      </c>
      <c r="EU6" s="51">
        <f t="shared" si="9"/>
        <v>0.10817307692307693</v>
      </c>
      <c r="EV6" s="51">
        <f t="shared" si="9"/>
        <v>0.19305856832971802</v>
      </c>
      <c r="EW6" s="51">
        <f t="shared" si="9"/>
        <v>0.2</v>
      </c>
      <c r="EX6" s="51">
        <f t="shared" si="9"/>
        <v>6.9696969696969702E-2</v>
      </c>
      <c r="EY6" s="51">
        <f t="shared" si="9"/>
        <v>-8.2152974504249299E-2</v>
      </c>
      <c r="EZ6" s="51">
        <f t="shared" si="9"/>
        <v>0.1111111111111111</v>
      </c>
      <c r="FA6" s="51">
        <f t="shared" si="10"/>
        <v>0.125</v>
      </c>
      <c r="FB6" s="51">
        <f t="shared" si="10"/>
        <v>0.13580246913580246</v>
      </c>
      <c r="FC6" s="51">
        <f t="shared" si="10"/>
        <v>-0.19565217391304349</v>
      </c>
      <c r="FD6" s="51">
        <f t="shared" si="10"/>
        <v>5.4054054054054057E-2</v>
      </c>
      <c r="FE6" s="51">
        <f t="shared" si="10"/>
        <v>0.10256410256410256</v>
      </c>
      <c r="FF6" s="51">
        <f t="shared" si="10"/>
        <v>-4.6511627906976744E-2</v>
      </c>
      <c r="FG6" s="51">
        <f t="shared" si="10"/>
        <v>4.878048780487805E-2</v>
      </c>
      <c r="FH6" s="51">
        <f t="shared" si="10"/>
        <v>-6.9767441860465115E-2</v>
      </c>
      <c r="FI6" s="51">
        <f t="shared" si="10"/>
        <v>0.05</v>
      </c>
      <c r="FJ6" s="51">
        <f t="shared" si="10"/>
        <v>0.16666666666666666</v>
      </c>
      <c r="FK6" s="51">
        <f t="shared" si="10"/>
        <v>-2.0408163265306121E-2</v>
      </c>
      <c r="FL6" s="51">
        <f t="shared" si="10"/>
        <v>-2.0833333333333332E-2</v>
      </c>
      <c r="FM6" s="51">
        <f t="shared" si="10"/>
        <v>4.2553191489361701E-2</v>
      </c>
      <c r="FN6" s="51">
        <f t="shared" si="10"/>
        <v>8.1632653061224483E-2</v>
      </c>
      <c r="FO6" s="51">
        <f t="shared" si="10"/>
        <v>2.7628032345013476E-2</v>
      </c>
      <c r="FP6" s="51">
        <f t="shared" si="10"/>
        <v>4.9180327868852458E-2</v>
      </c>
      <c r="FQ6" s="51">
        <f t="shared" si="11"/>
        <v>-1.5625E-2</v>
      </c>
      <c r="FR6" s="51">
        <f t="shared" si="11"/>
        <v>7.9365079365079361E-2</v>
      </c>
      <c r="FS6" s="51">
        <f t="shared" si="11"/>
        <v>8.8235294117647065E-2</v>
      </c>
      <c r="FT6" s="51">
        <f t="shared" si="11"/>
        <v>0.13513513513513514</v>
      </c>
      <c r="FU6" s="51">
        <f t="shared" si="11"/>
        <v>2.3809523809523808E-2</v>
      </c>
      <c r="FV6" s="51">
        <f t="shared" si="11"/>
        <v>8.1395348837209308E-2</v>
      </c>
      <c r="FW6" s="51">
        <f t="shared" si="11"/>
        <v>-2.1505376344086023E-2</v>
      </c>
      <c r="FX6" s="51">
        <f t="shared" si="11"/>
        <v>5.4945054945054944E-2</v>
      </c>
      <c r="FY6" s="51">
        <f t="shared" si="11"/>
        <v>-4.1666666666666664E-2</v>
      </c>
      <c r="FZ6" s="51">
        <f t="shared" si="11"/>
        <v>-7.6086956521739135E-2</v>
      </c>
      <c r="GA6" s="51">
        <f t="shared" si="11"/>
        <v>-5.8823529411764705E-2</v>
      </c>
      <c r="GB6" s="51">
        <f t="shared" si="11"/>
        <v>-1.2500000000000001E-2</v>
      </c>
      <c r="GC6" s="51">
        <f t="shared" si="11"/>
        <v>0.17721518987341772</v>
      </c>
      <c r="GD6" s="51">
        <f t="shared" si="11"/>
        <v>0.20430107526881722</v>
      </c>
      <c r="GE6" s="51">
        <f t="shared" si="11"/>
        <v>5.3571428571428568E-2</v>
      </c>
      <c r="GF6" s="51">
        <f t="shared" si="11"/>
        <v>-1.6949152542372881E-2</v>
      </c>
      <c r="GG6" s="51">
        <f t="shared" si="12"/>
        <v>9.4827586206896547E-2</v>
      </c>
      <c r="GH6" s="51">
        <f t="shared" si="12"/>
        <v>0.10236220472440945</v>
      </c>
      <c r="GI6" s="51">
        <f t="shared" si="12"/>
        <v>-7.1428571428571425E-2</v>
      </c>
      <c r="GJ6" s="51">
        <f t="shared" si="12"/>
        <v>2.3076923076923078E-2</v>
      </c>
      <c r="GK6" s="51">
        <f t="shared" si="12"/>
        <v>-0.17293233082706766</v>
      </c>
      <c r="GL6" s="51">
        <f t="shared" si="12"/>
        <v>-0.15454545454545454</v>
      </c>
      <c r="GM6" s="51">
        <f t="shared" si="12"/>
        <v>2.903225806451613E-2</v>
      </c>
      <c r="GN6" s="51">
        <f t="shared" si="12"/>
        <v>0.25391849529780564</v>
      </c>
      <c r="GO6" s="51">
        <f t="shared" si="12"/>
        <v>1.5833333333333335E-2</v>
      </c>
      <c r="GP6" s="51">
        <f t="shared" si="12"/>
        <v>2.5430680885972109E-2</v>
      </c>
      <c r="GQ6" s="51">
        <f t="shared" si="12"/>
        <v>1.6E-2</v>
      </c>
      <c r="GR6" s="51">
        <f t="shared" si="12"/>
        <v>6.2992125984251968E-2</v>
      </c>
      <c r="GS6" s="51">
        <f t="shared" si="12"/>
        <v>6.6666666666666666E-2</v>
      </c>
      <c r="GT6" s="51">
        <f t="shared" si="12"/>
        <v>-0.15972222222222221</v>
      </c>
      <c r="GU6" s="51">
        <f t="shared" si="12"/>
        <v>0.11570247933884298</v>
      </c>
      <c r="GV6" s="51">
        <f t="shared" si="12"/>
        <v>0.14814814814814814</v>
      </c>
      <c r="GW6" s="51">
        <f t="shared" si="13"/>
        <v>0.12903225806451613</v>
      </c>
      <c r="GX6" s="51">
        <f t="shared" si="13"/>
        <v>0.10285714285714286</v>
      </c>
      <c r="GY6" s="51">
        <f t="shared" si="13"/>
        <v>1.5544041450777202E-2</v>
      </c>
      <c r="GZ6" s="51">
        <f t="shared" si="13"/>
        <v>9.6938775510204078E-2</v>
      </c>
      <c r="HA6" s="51">
        <f t="shared" si="13"/>
        <v>0.10697674418604651</v>
      </c>
      <c r="HB6" s="51">
        <f t="shared" si="13"/>
        <v>-0.18907563025210083</v>
      </c>
      <c r="HC6" s="51">
        <f t="shared" si="13"/>
        <v>0.22797927461139897</v>
      </c>
      <c r="HD6" s="51">
        <f t="shared" si="13"/>
        <v>-1.6877637130801686E-2</v>
      </c>
      <c r="HE6" s="51">
        <f t="shared" si="13"/>
        <v>9.8712446351931327E-2</v>
      </c>
      <c r="HF6" s="51">
        <f t="shared" si="13"/>
        <v>0.125</v>
      </c>
      <c r="HG6" s="51">
        <f t="shared" si="13"/>
        <v>-8.3333333333333329E-2</v>
      </c>
      <c r="HH6" s="51">
        <f t="shared" si="13"/>
        <v>0.15151515151515152</v>
      </c>
      <c r="HI6" s="51">
        <f t="shared" si="1"/>
        <v>-6.5789473684210523E-3</v>
      </c>
      <c r="HJ6" s="51">
        <f t="shared" si="1"/>
        <v>0.18211920529801323</v>
      </c>
      <c r="HK6" s="51">
        <f t="shared" si="1"/>
        <v>0.20728291316526612</v>
      </c>
      <c r="HL6" s="51">
        <f t="shared" si="1"/>
        <v>3.9443155452436193E-2</v>
      </c>
      <c r="HM6" s="51">
        <f t="shared" si="1"/>
        <v>-0.17410714285714285</v>
      </c>
      <c r="HN6" s="51">
        <f t="shared" si="1"/>
        <v>0.10810810810810811</v>
      </c>
      <c r="HP6" s="51">
        <f t="shared" si="2"/>
        <v>7.2844244544757936E-2</v>
      </c>
      <c r="HQ6" s="51">
        <f t="shared" si="3"/>
        <v>4.1240908043823021E-2</v>
      </c>
      <c r="HR6" s="51">
        <f t="shared" si="4"/>
        <v>4.8479101493568114E-2</v>
      </c>
      <c r="HS6" s="103">
        <f t="shared" si="5"/>
        <v>6.8181818181818177E-2</v>
      </c>
      <c r="HT6" s="79">
        <f t="shared" si="6"/>
        <v>5.121764071834408E-2</v>
      </c>
      <c r="HU6" s="79">
        <f t="shared" si="7"/>
        <v>6.482939632545931E-2</v>
      </c>
      <c r="HW6" s="104" t="s">
        <v>15</v>
      </c>
      <c r="HX6" s="25">
        <v>6.8181818181818205E-2</v>
      </c>
      <c r="HY6" s="17" t="s">
        <v>105</v>
      </c>
    </row>
    <row r="7" spans="1:233" ht="15" customHeight="1" x14ac:dyDescent="0.2">
      <c r="A7" s="5" t="s">
        <v>106</v>
      </c>
      <c r="B7" s="48" t="s">
        <v>16</v>
      </c>
      <c r="C7" s="102">
        <v>614</v>
      </c>
      <c r="D7" s="102">
        <v>1058</v>
      </c>
      <c r="E7" s="102">
        <v>1038</v>
      </c>
      <c r="F7" s="102">
        <v>1017</v>
      </c>
      <c r="G7" s="102">
        <v>996</v>
      </c>
      <c r="H7" s="102">
        <v>975</v>
      </c>
      <c r="I7" s="102">
        <v>832</v>
      </c>
      <c r="J7" s="102">
        <v>688</v>
      </c>
      <c r="K7" s="102">
        <v>544</v>
      </c>
      <c r="L7" s="102">
        <v>400</v>
      </c>
      <c r="M7" s="102">
        <v>459</v>
      </c>
      <c r="N7" s="102">
        <v>517</v>
      </c>
      <c r="O7" s="102">
        <v>575</v>
      </c>
      <c r="P7" s="102">
        <v>633.7808</v>
      </c>
      <c r="Q7" s="102">
        <v>760.67920000000004</v>
      </c>
      <c r="R7" s="102">
        <v>887.57759999999996</v>
      </c>
      <c r="S7" s="102">
        <v>1014.476</v>
      </c>
      <c r="T7" s="102">
        <v>1141.3743999999999</v>
      </c>
      <c r="U7" s="102">
        <v>1156.2080000000001</v>
      </c>
      <c r="V7" s="102">
        <v>1171.0416</v>
      </c>
      <c r="W7" s="102">
        <v>1185.8751999999999</v>
      </c>
      <c r="X7" s="102">
        <v>1200.7088000000001</v>
      </c>
      <c r="Y7" s="102">
        <v>1931.2636</v>
      </c>
      <c r="Z7" s="102">
        <v>2661.8184000000001</v>
      </c>
      <c r="AA7" s="102">
        <v>3392.3732</v>
      </c>
      <c r="AB7" s="102">
        <v>4122.8771999999999</v>
      </c>
      <c r="AC7" s="102">
        <v>3736.9495999999999</v>
      </c>
      <c r="AD7" s="102">
        <v>4208.4751999999999</v>
      </c>
      <c r="AE7" s="102">
        <v>3593.4396000000002</v>
      </c>
      <c r="AF7" s="102">
        <v>3636.4164000000001</v>
      </c>
      <c r="AG7" s="102">
        <v>3679.3424</v>
      </c>
      <c r="AH7" s="102">
        <v>3487.5724</v>
      </c>
      <c r="AI7" s="102">
        <v>3368.3447999999999</v>
      </c>
      <c r="AJ7" s="102">
        <v>3249.1172000000001</v>
      </c>
      <c r="AK7" s="102">
        <v>4157.7767999999996</v>
      </c>
      <c r="AL7" s="102">
        <v>5066.3855999999996</v>
      </c>
      <c r="AM7" s="102">
        <v>5974.9943999999996</v>
      </c>
      <c r="AN7" s="102">
        <v>6883.6031999999996</v>
      </c>
      <c r="AO7" s="102">
        <v>8000.2380000000003</v>
      </c>
      <c r="AP7" s="102">
        <v>9628.7844000000005</v>
      </c>
      <c r="AQ7" s="102">
        <v>11043.0056</v>
      </c>
      <c r="AR7" s="102">
        <v>12374</v>
      </c>
      <c r="AS7" s="102">
        <v>13760</v>
      </c>
      <c r="AT7" s="102">
        <v>15300</v>
      </c>
      <c r="AU7" s="102">
        <v>16000</v>
      </c>
      <c r="AV7" s="102">
        <v>15000</v>
      </c>
      <c r="AW7" s="102">
        <v>17000</v>
      </c>
      <c r="AX7" s="102">
        <v>16000</v>
      </c>
      <c r="AY7" s="102">
        <v>15000</v>
      </c>
      <c r="AZ7" s="102">
        <v>16000</v>
      </c>
      <c r="BA7" s="102">
        <v>13000</v>
      </c>
      <c r="BB7" s="102">
        <v>14000</v>
      </c>
      <c r="BC7" s="102">
        <v>16000</v>
      </c>
      <c r="BD7" s="102">
        <v>20000</v>
      </c>
      <c r="BE7" s="102">
        <v>19000</v>
      </c>
      <c r="BF7" s="102">
        <v>19000</v>
      </c>
      <c r="BG7" s="102">
        <v>20000</v>
      </c>
      <c r="BH7" s="102">
        <v>23200</v>
      </c>
      <c r="BI7" s="102">
        <v>24400</v>
      </c>
      <c r="BJ7" s="102">
        <v>23000</v>
      </c>
      <c r="BK7" s="102">
        <v>27000</v>
      </c>
      <c r="BL7" s="102">
        <v>30000</v>
      </c>
      <c r="BM7" s="102">
        <v>20900</v>
      </c>
      <c r="BN7" s="102">
        <v>18900</v>
      </c>
      <c r="BO7" s="102">
        <v>19000</v>
      </c>
      <c r="BP7" s="102">
        <v>23200</v>
      </c>
      <c r="BQ7" s="102">
        <v>26000</v>
      </c>
      <c r="BR7" s="102">
        <v>33700</v>
      </c>
      <c r="BS7" s="102">
        <v>28300</v>
      </c>
      <c r="BT7" s="102">
        <v>21000</v>
      </c>
      <c r="BU7" s="102">
        <v>18600</v>
      </c>
      <c r="BV7" s="102">
        <v>23100</v>
      </c>
      <c r="BW7" s="102">
        <v>30400</v>
      </c>
      <c r="BX7" s="102">
        <v>33400</v>
      </c>
      <c r="BY7" s="102">
        <v>33500</v>
      </c>
      <c r="BZ7" s="102">
        <v>36500</v>
      </c>
      <c r="CA7" s="102">
        <v>32600</v>
      </c>
      <c r="CB7" s="35">
        <v>27300</v>
      </c>
      <c r="CC7" s="35">
        <v>24800</v>
      </c>
      <c r="CD7" s="35">
        <v>22000</v>
      </c>
      <c r="CE7" s="35">
        <v>20600</v>
      </c>
      <c r="CF7" s="102">
        <v>18500</v>
      </c>
      <c r="CG7" s="102">
        <v>22100</v>
      </c>
      <c r="CH7" s="102">
        <v>27000</v>
      </c>
      <c r="CI7" s="102">
        <v>27000</v>
      </c>
      <c r="CJ7" s="35">
        <v>26300</v>
      </c>
      <c r="CK7" s="35">
        <v>29900</v>
      </c>
      <c r="CL7" s="35">
        <v>33300</v>
      </c>
      <c r="CM7" s="35">
        <v>36700</v>
      </c>
      <c r="CN7" s="35">
        <v>47600</v>
      </c>
      <c r="CO7" s="102">
        <v>48400</v>
      </c>
      <c r="CP7" s="102">
        <v>52400</v>
      </c>
      <c r="CQ7" s="102">
        <v>57900</v>
      </c>
      <c r="CR7" s="102">
        <v>67500</v>
      </c>
      <c r="CS7" s="102">
        <v>65500</v>
      </c>
      <c r="CT7" s="102">
        <v>75900</v>
      </c>
      <c r="CU7" s="102">
        <v>72300</v>
      </c>
      <c r="CV7" s="102">
        <v>89500</v>
      </c>
      <c r="CW7" s="102">
        <v>109000</v>
      </c>
      <c r="CX7" s="102">
        <v>103000</v>
      </c>
      <c r="CY7" s="102">
        <v>110000</v>
      </c>
      <c r="CZ7" s="102">
        <v>123000</v>
      </c>
      <c r="DA7" s="102">
        <v>126000</v>
      </c>
      <c r="DB7" s="102">
        <v>111000</v>
      </c>
      <c r="DC7" s="102">
        <v>120000</v>
      </c>
      <c r="DD7" s="102">
        <v>148000</v>
      </c>
      <c r="DE7" s="102">
        <v>144000</v>
      </c>
      <c r="DF7" s="35">
        <v>142000</v>
      </c>
      <c r="DG7" s="102">
        <v>170000</v>
      </c>
      <c r="DH7" s="5"/>
      <c r="DJ7" s="5"/>
      <c r="DK7" s="51">
        <f t="shared" si="14"/>
        <v>0.72312703583061888</v>
      </c>
      <c r="DL7" s="51">
        <f t="shared" si="14"/>
        <v>-1.890359168241966E-2</v>
      </c>
      <c r="DM7" s="51">
        <f t="shared" si="14"/>
        <v>-2.023121387283237E-2</v>
      </c>
      <c r="DN7" s="51">
        <f t="shared" si="14"/>
        <v>-2.0648967551622419E-2</v>
      </c>
      <c r="DO7" s="51">
        <f t="shared" si="14"/>
        <v>-2.1084337349397589E-2</v>
      </c>
      <c r="DP7" s="51">
        <f t="shared" si="14"/>
        <v>-0.14666666666666667</v>
      </c>
      <c r="DQ7" s="51">
        <f t="shared" si="14"/>
        <v>-0.17307692307692307</v>
      </c>
      <c r="DR7" s="51">
        <f t="shared" si="14"/>
        <v>-0.20930232558139536</v>
      </c>
      <c r="DS7" s="51">
        <f t="shared" si="14"/>
        <v>-0.26470588235294118</v>
      </c>
      <c r="DT7" s="51">
        <f t="shared" si="14"/>
        <v>0.14749999999999999</v>
      </c>
      <c r="DU7" s="51">
        <f t="shared" si="8"/>
        <v>0.12636165577342048</v>
      </c>
      <c r="DV7" s="51">
        <f t="shared" si="8"/>
        <v>0.11218568665377177</v>
      </c>
      <c r="DW7" s="51">
        <f t="shared" si="8"/>
        <v>0.10222747826086956</v>
      </c>
      <c r="DX7" s="51">
        <f t="shared" si="8"/>
        <v>0.20022443090734215</v>
      </c>
      <c r="DY7" s="51">
        <f t="shared" si="8"/>
        <v>0.16682249232002128</v>
      </c>
      <c r="DZ7" s="51">
        <f t="shared" si="8"/>
        <v>0.14297161172161177</v>
      </c>
      <c r="EA7" s="51">
        <f t="shared" si="8"/>
        <v>0.12508763144717069</v>
      </c>
      <c r="EB7" s="51">
        <f t="shared" si="8"/>
        <v>1.2996261349474949E-2</v>
      </c>
      <c r="EC7" s="51">
        <f t="shared" si="8"/>
        <v>1.2829525483303983E-2</v>
      </c>
      <c r="ED7" s="51">
        <f t="shared" si="8"/>
        <v>1.2667013708138065E-2</v>
      </c>
      <c r="EE7" s="51">
        <f t="shared" si="8"/>
        <v>1.2508567511994653E-2</v>
      </c>
      <c r="EF7" s="51">
        <f t="shared" si="8"/>
        <v>0.60843628363513269</v>
      </c>
      <c r="EG7" s="51">
        <f t="shared" si="8"/>
        <v>0.37827813872741151</v>
      </c>
      <c r="EH7" s="51">
        <f t="shared" si="8"/>
        <v>0.27445704034505131</v>
      </c>
      <c r="EI7" s="51">
        <f t="shared" si="8"/>
        <v>0.21533715689063926</v>
      </c>
      <c r="EJ7" s="51">
        <f t="shared" si="8"/>
        <v>-9.3606377604455449E-2</v>
      </c>
      <c r="EK7" s="51">
        <f t="shared" si="9"/>
        <v>0.126179277344281</v>
      </c>
      <c r="EL7" s="51">
        <f t="shared" si="9"/>
        <v>-0.14614214668533623</v>
      </c>
      <c r="EM7" s="51">
        <f t="shared" si="9"/>
        <v>1.1959794732601019E-2</v>
      </c>
      <c r="EN7" s="51">
        <f t="shared" si="9"/>
        <v>1.1804478717013797E-2</v>
      </c>
      <c r="EO7" s="51">
        <f t="shared" si="9"/>
        <v>-5.2120726790743907E-2</v>
      </c>
      <c r="EP7" s="51">
        <f t="shared" si="9"/>
        <v>-3.4186415742939173E-2</v>
      </c>
      <c r="EQ7" s="51">
        <f t="shared" si="9"/>
        <v>-3.5396495038156339E-2</v>
      </c>
      <c r="ER7" s="51">
        <f t="shared" si="9"/>
        <v>0.27966353445175801</v>
      </c>
      <c r="ES7" s="51">
        <f t="shared" si="9"/>
        <v>0.21853236566234149</v>
      </c>
      <c r="ET7" s="51">
        <f t="shared" si="9"/>
        <v>0.17934063289616173</v>
      </c>
      <c r="EU7" s="51">
        <f t="shared" si="9"/>
        <v>0.15206856093455084</v>
      </c>
      <c r="EV7" s="51">
        <f t="shared" si="9"/>
        <v>0.16221661353170397</v>
      </c>
      <c r="EW7" s="51">
        <f t="shared" si="9"/>
        <v>0.20356224402324033</v>
      </c>
      <c r="EX7" s="51">
        <f t="shared" si="9"/>
        <v>0.14687432403201384</v>
      </c>
      <c r="EY7" s="51">
        <f t="shared" si="9"/>
        <v>0.12052827357073871</v>
      </c>
      <c r="EZ7" s="51">
        <f t="shared" si="9"/>
        <v>0.11200905123646356</v>
      </c>
      <c r="FA7" s="51">
        <f t="shared" si="10"/>
        <v>0.1119186046511628</v>
      </c>
      <c r="FB7" s="51">
        <f t="shared" si="10"/>
        <v>4.5751633986928102E-2</v>
      </c>
      <c r="FC7" s="51">
        <f t="shared" si="10"/>
        <v>-6.25E-2</v>
      </c>
      <c r="FD7" s="51">
        <f t="shared" si="10"/>
        <v>0.13333333333333333</v>
      </c>
      <c r="FE7" s="51">
        <f t="shared" si="10"/>
        <v>-5.8823529411764705E-2</v>
      </c>
      <c r="FF7" s="51">
        <f t="shared" si="10"/>
        <v>-6.25E-2</v>
      </c>
      <c r="FG7" s="51">
        <f t="shared" si="10"/>
        <v>6.6666666666666666E-2</v>
      </c>
      <c r="FH7" s="51">
        <f t="shared" si="10"/>
        <v>-0.1875</v>
      </c>
      <c r="FI7" s="51">
        <f t="shared" si="10"/>
        <v>7.6923076923076927E-2</v>
      </c>
      <c r="FJ7" s="51">
        <f t="shared" si="10"/>
        <v>0.14285714285714285</v>
      </c>
      <c r="FK7" s="51">
        <f t="shared" si="10"/>
        <v>0.25</v>
      </c>
      <c r="FL7" s="51">
        <f t="shared" si="10"/>
        <v>-0.05</v>
      </c>
      <c r="FM7" s="51">
        <f t="shared" si="10"/>
        <v>0</v>
      </c>
      <c r="FN7" s="51">
        <f t="shared" si="10"/>
        <v>5.2631578947368418E-2</v>
      </c>
      <c r="FO7" s="51">
        <f t="shared" si="10"/>
        <v>0.16</v>
      </c>
      <c r="FP7" s="51">
        <f t="shared" si="10"/>
        <v>5.1724137931034482E-2</v>
      </c>
      <c r="FQ7" s="51">
        <f t="shared" si="11"/>
        <v>-5.737704918032787E-2</v>
      </c>
      <c r="FR7" s="51">
        <f t="shared" si="11"/>
        <v>0.17391304347826086</v>
      </c>
      <c r="FS7" s="51">
        <f t="shared" si="11"/>
        <v>0.1111111111111111</v>
      </c>
      <c r="FT7" s="51">
        <f t="shared" si="11"/>
        <v>-0.30333333333333334</v>
      </c>
      <c r="FU7" s="51">
        <f t="shared" si="11"/>
        <v>-9.569377990430622E-2</v>
      </c>
      <c r="FV7" s="51">
        <f t="shared" si="11"/>
        <v>5.2910052910052907E-3</v>
      </c>
      <c r="FW7" s="51">
        <f t="shared" si="11"/>
        <v>0.22105263157894736</v>
      </c>
      <c r="FX7" s="51">
        <f t="shared" si="11"/>
        <v>0.1206896551724138</v>
      </c>
      <c r="FY7" s="51">
        <f t="shared" si="11"/>
        <v>0.29615384615384616</v>
      </c>
      <c r="FZ7" s="51">
        <f t="shared" si="11"/>
        <v>-0.16023738872403562</v>
      </c>
      <c r="GA7" s="51">
        <f t="shared" si="11"/>
        <v>-0.25795053003533569</v>
      </c>
      <c r="GB7" s="51">
        <f t="shared" si="11"/>
        <v>-0.11428571428571428</v>
      </c>
      <c r="GC7" s="51">
        <f t="shared" si="11"/>
        <v>0.24193548387096775</v>
      </c>
      <c r="GD7" s="51">
        <f t="shared" si="11"/>
        <v>0.31601731601731603</v>
      </c>
      <c r="GE7" s="51">
        <f t="shared" si="11"/>
        <v>9.8684210526315791E-2</v>
      </c>
      <c r="GF7" s="51">
        <f t="shared" si="11"/>
        <v>2.9940119760479044E-3</v>
      </c>
      <c r="GG7" s="51">
        <f t="shared" si="12"/>
        <v>8.9552238805970144E-2</v>
      </c>
      <c r="GH7" s="51">
        <f t="shared" si="12"/>
        <v>-0.10684931506849316</v>
      </c>
      <c r="GI7" s="51">
        <f t="shared" si="12"/>
        <v>-0.16257668711656442</v>
      </c>
      <c r="GJ7" s="51">
        <f t="shared" si="12"/>
        <v>-9.1575091575091569E-2</v>
      </c>
      <c r="GK7" s="51">
        <f t="shared" si="12"/>
        <v>-0.11290322580645161</v>
      </c>
      <c r="GL7" s="51">
        <f t="shared" si="12"/>
        <v>-6.363636363636363E-2</v>
      </c>
      <c r="GM7" s="51">
        <f t="shared" si="12"/>
        <v>-0.10194174757281553</v>
      </c>
      <c r="GN7" s="51">
        <f t="shared" si="12"/>
        <v>0.19459459459459461</v>
      </c>
      <c r="GO7" s="51">
        <f t="shared" si="12"/>
        <v>0.22171945701357465</v>
      </c>
      <c r="GP7" s="51">
        <f t="shared" si="12"/>
        <v>0</v>
      </c>
      <c r="GQ7" s="51">
        <f t="shared" si="12"/>
        <v>-2.5925925925925925E-2</v>
      </c>
      <c r="GR7" s="51">
        <f t="shared" si="12"/>
        <v>0.13688212927756654</v>
      </c>
      <c r="GS7" s="51">
        <f t="shared" si="12"/>
        <v>0.11371237458193979</v>
      </c>
      <c r="GT7" s="51">
        <f t="shared" si="12"/>
        <v>0.1021021021021021</v>
      </c>
      <c r="GU7" s="51">
        <f t="shared" si="12"/>
        <v>0.29700272479564033</v>
      </c>
      <c r="GV7" s="51">
        <f t="shared" si="12"/>
        <v>1.680672268907563E-2</v>
      </c>
      <c r="GW7" s="51">
        <f t="shared" si="13"/>
        <v>8.2644628099173556E-2</v>
      </c>
      <c r="GX7" s="51">
        <f t="shared" si="13"/>
        <v>0.1049618320610687</v>
      </c>
      <c r="GY7" s="51">
        <f t="shared" si="13"/>
        <v>0.16580310880829016</v>
      </c>
      <c r="GZ7" s="51">
        <f t="shared" si="13"/>
        <v>-2.9629629629629631E-2</v>
      </c>
      <c r="HA7" s="51">
        <f t="shared" si="13"/>
        <v>0.15877862595419848</v>
      </c>
      <c r="HB7" s="51">
        <f t="shared" si="13"/>
        <v>-4.7430830039525688E-2</v>
      </c>
      <c r="HC7" s="51">
        <f t="shared" si="13"/>
        <v>0.23789764868603042</v>
      </c>
      <c r="HD7" s="51">
        <f t="shared" si="13"/>
        <v>0.21787709497206703</v>
      </c>
      <c r="HE7" s="51">
        <f t="shared" si="13"/>
        <v>-5.5045871559633031E-2</v>
      </c>
      <c r="HF7" s="51">
        <f t="shared" si="13"/>
        <v>6.7961165048543687E-2</v>
      </c>
      <c r="HG7" s="51">
        <f t="shared" si="13"/>
        <v>0.11818181818181818</v>
      </c>
      <c r="HH7" s="51">
        <f t="shared" si="13"/>
        <v>2.4390243902439025E-2</v>
      </c>
      <c r="HI7" s="51">
        <f t="shared" si="1"/>
        <v>-0.11904761904761904</v>
      </c>
      <c r="HJ7" s="51">
        <f t="shared" si="1"/>
        <v>8.1081081081081086E-2</v>
      </c>
      <c r="HK7" s="51">
        <f t="shared" si="1"/>
        <v>0.23333333333333334</v>
      </c>
      <c r="HL7" s="51">
        <f t="shared" si="1"/>
        <v>-2.7027027027027029E-2</v>
      </c>
      <c r="HM7" s="51">
        <f t="shared" si="1"/>
        <v>-1.3888888888888888E-2</v>
      </c>
      <c r="HN7" s="51">
        <f t="shared" si="1"/>
        <v>0.19718309859154928</v>
      </c>
      <c r="HP7" s="51">
        <f t="shared" si="2"/>
        <v>6.515851904617749E-2</v>
      </c>
      <c r="HQ7" s="51">
        <f t="shared" si="3"/>
        <v>6.0071402373392216E-2</v>
      </c>
      <c r="HR7" s="51">
        <f t="shared" si="4"/>
        <v>6.5440026395482229E-2</v>
      </c>
      <c r="HS7" s="79">
        <f t="shared" si="5"/>
        <v>7.2442120985810307E-2</v>
      </c>
      <c r="HT7" s="79">
        <f t="shared" si="6"/>
        <v>7.4521123064812386E-2</v>
      </c>
      <c r="HU7" s="109">
        <f t="shared" si="7"/>
        <v>8.1862854590127321E-2</v>
      </c>
      <c r="HW7" s="104" t="s">
        <v>16</v>
      </c>
      <c r="HX7" s="25">
        <f>HS7</f>
        <v>7.2442120985810307E-2</v>
      </c>
      <c r="HY7" s="17" t="s">
        <v>105</v>
      </c>
    </row>
    <row r="8" spans="1:233" ht="15" customHeight="1" x14ac:dyDescent="0.2">
      <c r="A8" s="5" t="s">
        <v>106</v>
      </c>
      <c r="B8" s="48" t="s">
        <v>18</v>
      </c>
      <c r="C8" s="102">
        <v>1097600</v>
      </c>
      <c r="D8" s="102">
        <v>1233000</v>
      </c>
      <c r="E8" s="102">
        <v>1349600</v>
      </c>
      <c r="F8" s="102">
        <v>1475000</v>
      </c>
      <c r="G8" s="102">
        <v>1601600</v>
      </c>
      <c r="H8" s="102">
        <v>1349000</v>
      </c>
      <c r="I8" s="102">
        <v>1097000</v>
      </c>
      <c r="J8" s="102">
        <v>845000</v>
      </c>
      <c r="K8" s="102">
        <v>593600</v>
      </c>
      <c r="L8" s="102">
        <v>952000</v>
      </c>
      <c r="M8" s="102">
        <v>1388800</v>
      </c>
      <c r="N8" s="102">
        <v>1500800</v>
      </c>
      <c r="O8" s="102">
        <v>1646400</v>
      </c>
      <c r="P8" s="102">
        <v>1691200</v>
      </c>
      <c r="Q8" s="102">
        <v>1680000</v>
      </c>
      <c r="R8" s="102">
        <v>1892800</v>
      </c>
      <c r="S8" s="102">
        <v>2128000</v>
      </c>
      <c r="T8" s="102">
        <v>1814400</v>
      </c>
      <c r="U8" s="102">
        <v>1545600</v>
      </c>
      <c r="V8" s="102">
        <v>1008000</v>
      </c>
      <c r="W8" s="102">
        <v>1142400</v>
      </c>
      <c r="X8" s="102">
        <v>1411200</v>
      </c>
      <c r="Y8" s="102">
        <v>1635200</v>
      </c>
      <c r="Z8" s="102">
        <v>1904000</v>
      </c>
      <c r="AA8" s="102">
        <v>2576000</v>
      </c>
      <c r="AB8" s="102">
        <v>2240000</v>
      </c>
      <c r="AC8" s="102">
        <v>2396800</v>
      </c>
      <c r="AD8" s="102">
        <v>2710400</v>
      </c>
      <c r="AE8" s="102">
        <v>2822400</v>
      </c>
      <c r="AF8" s="102">
        <v>2968000</v>
      </c>
      <c r="AG8" s="102">
        <v>3024000</v>
      </c>
      <c r="AH8" s="102">
        <v>2800000</v>
      </c>
      <c r="AI8" s="102">
        <v>2374400</v>
      </c>
      <c r="AJ8" s="102">
        <v>2004800</v>
      </c>
      <c r="AK8" s="102">
        <v>2419200</v>
      </c>
      <c r="AL8" s="102">
        <v>2531200</v>
      </c>
      <c r="AM8" s="102">
        <v>2486400</v>
      </c>
      <c r="AN8" s="102">
        <v>2749600</v>
      </c>
      <c r="AO8" s="102">
        <v>2945600</v>
      </c>
      <c r="AP8" s="102">
        <v>3020640</v>
      </c>
      <c r="AQ8" s="102">
        <v>3103520</v>
      </c>
      <c r="AR8" s="102">
        <v>3118080</v>
      </c>
      <c r="AS8" s="102">
        <v>3427200</v>
      </c>
      <c r="AT8" s="102">
        <v>3808000</v>
      </c>
      <c r="AU8" s="102">
        <v>3808000</v>
      </c>
      <c r="AV8" s="102">
        <v>3696000</v>
      </c>
      <c r="AW8" s="102">
        <v>3920000</v>
      </c>
      <c r="AX8" s="102">
        <v>4592000</v>
      </c>
      <c r="AY8" s="102">
        <v>4704000</v>
      </c>
      <c r="AZ8" s="102">
        <v>4928000</v>
      </c>
      <c r="BA8" s="102">
        <v>5040000</v>
      </c>
      <c r="BB8" s="102">
        <v>5376000</v>
      </c>
      <c r="BC8" s="102">
        <v>5712000</v>
      </c>
      <c r="BD8" s="102">
        <v>6048000</v>
      </c>
      <c r="BE8" s="102">
        <v>5376000</v>
      </c>
      <c r="BF8" s="102">
        <v>5936000</v>
      </c>
      <c r="BG8" s="102">
        <v>6832000</v>
      </c>
      <c r="BH8" s="102">
        <v>6400000</v>
      </c>
      <c r="BI8" s="102">
        <v>6400000</v>
      </c>
      <c r="BJ8" s="102">
        <v>7000000</v>
      </c>
      <c r="BK8" s="102">
        <v>7400000</v>
      </c>
      <c r="BL8" s="102">
        <v>7700000</v>
      </c>
      <c r="BM8" s="102">
        <v>7250000</v>
      </c>
      <c r="BN8" s="102">
        <v>7850000</v>
      </c>
      <c r="BO8" s="102">
        <v>7950000</v>
      </c>
      <c r="BP8" s="102">
        <v>7900000</v>
      </c>
      <c r="BQ8" s="102">
        <v>8000000</v>
      </c>
      <c r="BR8" s="102">
        <v>7700000</v>
      </c>
      <c r="BS8" s="102">
        <v>8200000</v>
      </c>
      <c r="BT8" s="102">
        <v>8000000</v>
      </c>
      <c r="BU8" s="102">
        <v>8100000</v>
      </c>
      <c r="BV8" s="102">
        <v>8300000</v>
      </c>
      <c r="BW8" s="102">
        <v>8400000</v>
      </c>
      <c r="BX8" s="102">
        <v>8500000</v>
      </c>
      <c r="BY8" s="102">
        <v>8800000</v>
      </c>
      <c r="BZ8" s="102">
        <v>8800000</v>
      </c>
      <c r="CA8" s="102">
        <v>9200000</v>
      </c>
      <c r="CB8" s="35">
        <v>9100000</v>
      </c>
      <c r="CC8" s="35">
        <v>9300000</v>
      </c>
      <c r="CD8" s="35">
        <v>9500000</v>
      </c>
      <c r="CE8" s="35">
        <v>9430000</v>
      </c>
      <c r="CF8" s="102">
        <v>9430000</v>
      </c>
      <c r="CG8" s="102">
        <v>10000000</v>
      </c>
      <c r="CH8" s="102">
        <v>11000000</v>
      </c>
      <c r="CI8" s="102">
        <v>11400000</v>
      </c>
      <c r="CJ8" s="35">
        <v>12200000</v>
      </c>
      <c r="CK8" s="35">
        <v>12600000</v>
      </c>
      <c r="CL8" s="35">
        <v>13200000</v>
      </c>
      <c r="CM8" s="35">
        <v>13700000</v>
      </c>
      <c r="CN8" s="35">
        <v>13600000</v>
      </c>
      <c r="CO8" s="102">
        <v>13600000</v>
      </c>
      <c r="CP8" s="102">
        <v>14600000</v>
      </c>
      <c r="CQ8" s="102">
        <v>15000000</v>
      </c>
      <c r="CR8" s="102">
        <v>15100000</v>
      </c>
      <c r="CS8" s="102">
        <v>15400000</v>
      </c>
      <c r="CT8" s="102">
        <v>15400000</v>
      </c>
      <c r="CU8" s="102">
        <v>15900000</v>
      </c>
      <c r="CV8" s="102">
        <v>15900000</v>
      </c>
      <c r="CW8" s="102">
        <v>16100000</v>
      </c>
      <c r="CX8" s="102">
        <v>16900000</v>
      </c>
      <c r="CY8" s="102">
        <v>18300000</v>
      </c>
      <c r="CZ8" s="102">
        <v>18500000</v>
      </c>
      <c r="DA8" s="102">
        <v>19100000</v>
      </c>
      <c r="DB8" s="102">
        <v>20100000</v>
      </c>
      <c r="DC8" s="102">
        <v>20000000</v>
      </c>
      <c r="DD8" s="102">
        <v>20400000</v>
      </c>
      <c r="DE8" s="102">
        <v>20400000</v>
      </c>
      <c r="DF8" s="35">
        <v>20600000</v>
      </c>
      <c r="DG8" s="102">
        <v>21000000</v>
      </c>
      <c r="DH8" s="5"/>
      <c r="DJ8" s="5"/>
      <c r="DK8" s="51">
        <f t="shared" si="14"/>
        <v>0.1233600583090379</v>
      </c>
      <c r="DL8" s="51">
        <f t="shared" si="14"/>
        <v>9.4566098945660995E-2</v>
      </c>
      <c r="DM8" s="51">
        <f t="shared" si="14"/>
        <v>9.291641967990516E-2</v>
      </c>
      <c r="DN8" s="51">
        <f t="shared" si="14"/>
        <v>8.5830508474576267E-2</v>
      </c>
      <c r="DO8" s="51">
        <f t="shared" si="14"/>
        <v>-0.15771728271728272</v>
      </c>
      <c r="DP8" s="51">
        <f t="shared" si="14"/>
        <v>-0.18680504077094143</v>
      </c>
      <c r="DQ8" s="51">
        <f t="shared" si="14"/>
        <v>-0.22971741112123975</v>
      </c>
      <c r="DR8" s="51">
        <f t="shared" si="14"/>
        <v>-0.2975147928994083</v>
      </c>
      <c r="DS8" s="51">
        <f t="shared" si="14"/>
        <v>0.60377358490566035</v>
      </c>
      <c r="DT8" s="51">
        <f t="shared" si="14"/>
        <v>0.45882352941176469</v>
      </c>
      <c r="DU8" s="51">
        <f t="shared" si="8"/>
        <v>8.0645161290322578E-2</v>
      </c>
      <c r="DV8" s="51">
        <f t="shared" si="8"/>
        <v>9.7014925373134331E-2</v>
      </c>
      <c r="DW8" s="51">
        <f t="shared" si="8"/>
        <v>2.7210884353741496E-2</v>
      </c>
      <c r="DX8" s="51">
        <f t="shared" si="8"/>
        <v>-6.6225165562913907E-3</v>
      </c>
      <c r="DY8" s="51">
        <f t="shared" si="8"/>
        <v>0.12666666666666668</v>
      </c>
      <c r="DZ8" s="51">
        <f t="shared" si="8"/>
        <v>0.1242603550295858</v>
      </c>
      <c r="EA8" s="51">
        <f t="shared" si="8"/>
        <v>-0.14736842105263157</v>
      </c>
      <c r="EB8" s="51">
        <f t="shared" si="8"/>
        <v>-0.14814814814814814</v>
      </c>
      <c r="EC8" s="51">
        <f t="shared" si="8"/>
        <v>-0.34782608695652173</v>
      </c>
      <c r="ED8" s="51">
        <f t="shared" si="8"/>
        <v>0.13333333333333333</v>
      </c>
      <c r="EE8" s="51">
        <f t="shared" si="8"/>
        <v>0.23529411764705882</v>
      </c>
      <c r="EF8" s="51">
        <f t="shared" si="8"/>
        <v>0.15873015873015872</v>
      </c>
      <c r="EG8" s="51">
        <f t="shared" si="8"/>
        <v>0.16438356164383561</v>
      </c>
      <c r="EH8" s="51">
        <f t="shared" si="8"/>
        <v>0.35294117647058826</v>
      </c>
      <c r="EI8" s="51">
        <f t="shared" si="8"/>
        <v>-0.13043478260869565</v>
      </c>
      <c r="EJ8" s="51">
        <f t="shared" si="8"/>
        <v>7.0000000000000007E-2</v>
      </c>
      <c r="EK8" s="51">
        <f t="shared" si="9"/>
        <v>0.13084112149532709</v>
      </c>
      <c r="EL8" s="51">
        <f t="shared" si="9"/>
        <v>4.1322314049586778E-2</v>
      </c>
      <c r="EM8" s="51">
        <f t="shared" si="9"/>
        <v>5.1587301587301584E-2</v>
      </c>
      <c r="EN8" s="51">
        <f t="shared" si="9"/>
        <v>1.8867924528301886E-2</v>
      </c>
      <c r="EO8" s="51">
        <f t="shared" si="9"/>
        <v>-7.407407407407407E-2</v>
      </c>
      <c r="EP8" s="51">
        <f t="shared" si="9"/>
        <v>-0.152</v>
      </c>
      <c r="EQ8" s="51">
        <f t="shared" si="9"/>
        <v>-0.15566037735849056</v>
      </c>
      <c r="ER8" s="51">
        <f t="shared" si="9"/>
        <v>0.20670391061452514</v>
      </c>
      <c r="ES8" s="51">
        <f t="shared" si="9"/>
        <v>4.6296296296296294E-2</v>
      </c>
      <c r="ET8" s="51">
        <f t="shared" si="9"/>
        <v>-1.7699115044247787E-2</v>
      </c>
      <c r="EU8" s="51">
        <f t="shared" si="9"/>
        <v>0.10585585585585586</v>
      </c>
      <c r="EV8" s="51">
        <f t="shared" si="9"/>
        <v>7.128309572301425E-2</v>
      </c>
      <c r="EW8" s="51">
        <f t="shared" si="9"/>
        <v>2.547528517110266E-2</v>
      </c>
      <c r="EX8" s="51">
        <f t="shared" si="9"/>
        <v>2.7437893956247683E-2</v>
      </c>
      <c r="EY8" s="51">
        <f t="shared" si="9"/>
        <v>4.6914471309996387E-3</v>
      </c>
      <c r="EZ8" s="51">
        <f t="shared" si="9"/>
        <v>9.9137931034482762E-2</v>
      </c>
      <c r="FA8" s="51">
        <f t="shared" si="10"/>
        <v>0.1111111111111111</v>
      </c>
      <c r="FB8" s="51">
        <f t="shared" si="10"/>
        <v>0</v>
      </c>
      <c r="FC8" s="51">
        <f t="shared" si="10"/>
        <v>-2.9411764705882353E-2</v>
      </c>
      <c r="FD8" s="51">
        <f t="shared" si="10"/>
        <v>6.0606060606060608E-2</v>
      </c>
      <c r="FE8" s="51">
        <f t="shared" si="10"/>
        <v>0.17142857142857143</v>
      </c>
      <c r="FF8" s="51">
        <f t="shared" si="10"/>
        <v>2.4390243902439025E-2</v>
      </c>
      <c r="FG8" s="51">
        <f t="shared" si="10"/>
        <v>4.7619047619047616E-2</v>
      </c>
      <c r="FH8" s="51">
        <f t="shared" si="10"/>
        <v>2.2727272727272728E-2</v>
      </c>
      <c r="FI8" s="51">
        <f t="shared" si="10"/>
        <v>6.6666666666666666E-2</v>
      </c>
      <c r="FJ8" s="51">
        <f t="shared" si="10"/>
        <v>6.25E-2</v>
      </c>
      <c r="FK8" s="51">
        <f t="shared" si="10"/>
        <v>5.8823529411764705E-2</v>
      </c>
      <c r="FL8" s="51">
        <f t="shared" si="10"/>
        <v>-0.1111111111111111</v>
      </c>
      <c r="FM8" s="51">
        <f t="shared" si="10"/>
        <v>0.10416666666666667</v>
      </c>
      <c r="FN8" s="51">
        <f t="shared" si="10"/>
        <v>0.15094339622641509</v>
      </c>
      <c r="FO8" s="51">
        <f t="shared" si="10"/>
        <v>-6.323185011709602E-2</v>
      </c>
      <c r="FP8" s="51">
        <f t="shared" si="10"/>
        <v>0</v>
      </c>
      <c r="FQ8" s="51">
        <f t="shared" si="11"/>
        <v>9.375E-2</v>
      </c>
      <c r="FR8" s="51">
        <f t="shared" si="11"/>
        <v>5.7142857142857141E-2</v>
      </c>
      <c r="FS8" s="51">
        <f t="shared" si="11"/>
        <v>4.0540540540540543E-2</v>
      </c>
      <c r="FT8" s="51">
        <f t="shared" si="11"/>
        <v>-5.844155844155844E-2</v>
      </c>
      <c r="FU8" s="51">
        <f t="shared" si="11"/>
        <v>8.2758620689655171E-2</v>
      </c>
      <c r="FV8" s="51">
        <f t="shared" si="11"/>
        <v>1.2738853503184714E-2</v>
      </c>
      <c r="FW8" s="51">
        <f t="shared" si="11"/>
        <v>-6.2893081761006293E-3</v>
      </c>
      <c r="FX8" s="51">
        <f t="shared" si="11"/>
        <v>1.2658227848101266E-2</v>
      </c>
      <c r="FY8" s="51">
        <f t="shared" si="11"/>
        <v>-3.7499999999999999E-2</v>
      </c>
      <c r="FZ8" s="51">
        <f t="shared" si="11"/>
        <v>6.4935064935064929E-2</v>
      </c>
      <c r="GA8" s="51">
        <f t="shared" si="11"/>
        <v>-2.4390243902439025E-2</v>
      </c>
      <c r="GB8" s="51">
        <f t="shared" si="11"/>
        <v>1.2500000000000001E-2</v>
      </c>
      <c r="GC8" s="51">
        <f t="shared" si="11"/>
        <v>2.4691358024691357E-2</v>
      </c>
      <c r="GD8" s="51">
        <f t="shared" si="11"/>
        <v>1.2048192771084338E-2</v>
      </c>
      <c r="GE8" s="51">
        <f t="shared" si="11"/>
        <v>1.1904761904761904E-2</v>
      </c>
      <c r="GF8" s="51">
        <f t="shared" si="11"/>
        <v>3.5294117647058823E-2</v>
      </c>
      <c r="GG8" s="51">
        <f t="shared" si="12"/>
        <v>0</v>
      </c>
      <c r="GH8" s="51">
        <f t="shared" si="12"/>
        <v>4.5454545454545456E-2</v>
      </c>
      <c r="GI8" s="51">
        <f t="shared" si="12"/>
        <v>-1.0869565217391304E-2</v>
      </c>
      <c r="GJ8" s="51">
        <f t="shared" si="12"/>
        <v>2.197802197802198E-2</v>
      </c>
      <c r="GK8" s="51">
        <f t="shared" si="12"/>
        <v>2.1505376344086023E-2</v>
      </c>
      <c r="GL8" s="51">
        <f t="shared" si="12"/>
        <v>-7.3684210526315788E-3</v>
      </c>
      <c r="GM8" s="51">
        <f t="shared" si="12"/>
        <v>0</v>
      </c>
      <c r="GN8" s="51">
        <f t="shared" si="12"/>
        <v>6.0445387062566275E-2</v>
      </c>
      <c r="GO8" s="51">
        <f t="shared" si="12"/>
        <v>0.1</v>
      </c>
      <c r="GP8" s="51">
        <f t="shared" si="12"/>
        <v>3.6363636363636362E-2</v>
      </c>
      <c r="GQ8" s="51">
        <f t="shared" si="12"/>
        <v>7.0175438596491224E-2</v>
      </c>
      <c r="GR8" s="51">
        <f t="shared" si="12"/>
        <v>3.2786885245901641E-2</v>
      </c>
      <c r="GS8" s="51">
        <f t="shared" si="12"/>
        <v>4.7619047619047616E-2</v>
      </c>
      <c r="GT8" s="51">
        <f t="shared" si="12"/>
        <v>3.787878787878788E-2</v>
      </c>
      <c r="GU8" s="51">
        <f t="shared" si="12"/>
        <v>-7.2992700729927005E-3</v>
      </c>
      <c r="GV8" s="51">
        <f t="shared" si="12"/>
        <v>0</v>
      </c>
      <c r="GW8" s="51">
        <f t="shared" si="13"/>
        <v>7.3529411764705885E-2</v>
      </c>
      <c r="GX8" s="51">
        <f t="shared" si="13"/>
        <v>2.7397260273972601E-2</v>
      </c>
      <c r="GY8" s="51">
        <f t="shared" si="13"/>
        <v>6.6666666666666671E-3</v>
      </c>
      <c r="GZ8" s="51">
        <f t="shared" si="13"/>
        <v>1.9867549668874173E-2</v>
      </c>
      <c r="HA8" s="51">
        <f t="shared" si="13"/>
        <v>0</v>
      </c>
      <c r="HB8" s="51">
        <f t="shared" si="13"/>
        <v>3.2467532467532464E-2</v>
      </c>
      <c r="HC8" s="51">
        <f t="shared" si="13"/>
        <v>0</v>
      </c>
      <c r="HD8" s="51">
        <f t="shared" si="13"/>
        <v>1.2578616352201259E-2</v>
      </c>
      <c r="HE8" s="51">
        <f t="shared" si="13"/>
        <v>4.9689440993788817E-2</v>
      </c>
      <c r="HF8" s="51">
        <f t="shared" si="13"/>
        <v>8.2840236686390539E-2</v>
      </c>
      <c r="HG8" s="51">
        <f t="shared" si="13"/>
        <v>1.092896174863388E-2</v>
      </c>
      <c r="HH8" s="51">
        <f t="shared" si="13"/>
        <v>3.2432432432432434E-2</v>
      </c>
      <c r="HI8" s="51">
        <f t="shared" si="1"/>
        <v>5.2356020942408377E-2</v>
      </c>
      <c r="HJ8" s="51">
        <f t="shared" si="1"/>
        <v>-4.9751243781094526E-3</v>
      </c>
      <c r="HK8" s="51">
        <f t="shared" si="1"/>
        <v>0.02</v>
      </c>
      <c r="HL8" s="51">
        <f t="shared" si="1"/>
        <v>0</v>
      </c>
      <c r="HM8" s="51">
        <f t="shared" si="1"/>
        <v>9.8039215686274508E-3</v>
      </c>
      <c r="HN8" s="51">
        <f t="shared" si="1"/>
        <v>1.9417475728155338E-2</v>
      </c>
      <c r="HP8" s="51">
        <f t="shared" si="2"/>
        <v>3.4378726541067384E-2</v>
      </c>
      <c r="HQ8" s="51">
        <f t="shared" si="3"/>
        <v>2.6506741489431374E-2</v>
      </c>
      <c r="HR8" s="51">
        <f t="shared" si="4"/>
        <v>2.7947060203105886E-2</v>
      </c>
      <c r="HS8" s="103">
        <f t="shared" si="5"/>
        <v>2.7417577115110142E-2</v>
      </c>
      <c r="HT8" s="79">
        <f t="shared" si="6"/>
        <v>2.075268817204301E-2</v>
      </c>
      <c r="HU8" s="79">
        <f t="shared" si="7"/>
        <v>2.1741699161054E-2</v>
      </c>
      <c r="HW8" s="104" t="s">
        <v>18</v>
      </c>
      <c r="HX8" s="25">
        <v>2.7417577115110101E-2</v>
      </c>
      <c r="HY8" s="17" t="s">
        <v>105</v>
      </c>
    </row>
    <row r="9" spans="1:233" ht="15" customHeight="1" x14ac:dyDescent="0.2">
      <c r="A9" s="5" t="s">
        <v>106</v>
      </c>
      <c r="B9" s="48" t="s">
        <v>19</v>
      </c>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2"/>
      <c r="BM9" s="102">
        <v>23.337290903816701</v>
      </c>
      <c r="BN9" s="102">
        <v>24.7210308253498</v>
      </c>
      <c r="BO9" s="102">
        <v>35.620956079680802</v>
      </c>
      <c r="BP9" s="102">
        <v>45.801347030629103</v>
      </c>
      <c r="BQ9" s="102">
        <v>49.833980432077198</v>
      </c>
      <c r="BR9" s="102">
        <v>42.617638637398201</v>
      </c>
      <c r="BS9" s="102">
        <v>41.025305215950098</v>
      </c>
      <c r="BT9" s="102">
        <v>33.336099209057899</v>
      </c>
      <c r="BU9" s="102">
        <v>53.621337850960103</v>
      </c>
      <c r="BV9" s="102">
        <v>62.111720646373101</v>
      </c>
      <c r="BW9" s="102">
        <v>130.311426435838</v>
      </c>
      <c r="BX9" s="102">
        <v>134.359830690872</v>
      </c>
      <c r="BY9" s="102">
        <v>142.79200945205599</v>
      </c>
      <c r="BZ9" s="102">
        <v>159.89876760799399</v>
      </c>
      <c r="CA9" s="102">
        <v>174.881862700678</v>
      </c>
      <c r="CB9" s="102">
        <v>164.641437947958</v>
      </c>
      <c r="CC9" s="102">
        <v>144.60914288594401</v>
      </c>
      <c r="CD9" s="102">
        <v>168.020060150424</v>
      </c>
      <c r="CE9" s="102">
        <v>176.752756447618</v>
      </c>
      <c r="CF9" s="102">
        <v>169.950552040198</v>
      </c>
      <c r="CG9" s="102">
        <v>319.07590974969901</v>
      </c>
      <c r="CH9" s="102">
        <v>347.10707719233</v>
      </c>
      <c r="CI9" s="102">
        <v>334.44909385621702</v>
      </c>
      <c r="CJ9" s="102">
        <v>405.37262646307698</v>
      </c>
      <c r="CK9" s="102">
        <v>429.34432391362702</v>
      </c>
      <c r="CL9" s="102">
        <v>451.77831957365999</v>
      </c>
      <c r="CM9" s="102">
        <v>500.05630053978803</v>
      </c>
      <c r="CN9" s="102">
        <v>546.64392482323001</v>
      </c>
      <c r="CO9" s="102">
        <v>572.66147665055803</v>
      </c>
      <c r="CP9" s="102">
        <v>613.50188821286497</v>
      </c>
      <c r="CQ9" s="102">
        <v>738.33176674847198</v>
      </c>
      <c r="CR9" s="102">
        <v>829.12082417555905</v>
      </c>
      <c r="CS9" s="102">
        <v>753.52354247285905</v>
      </c>
      <c r="CT9" s="102">
        <v>773.74386793287499</v>
      </c>
      <c r="CU9" s="102">
        <v>799.64745138180297</v>
      </c>
      <c r="CV9" s="102">
        <v>734.33834265151995</v>
      </c>
      <c r="CW9" s="102">
        <v>654.16838472679001</v>
      </c>
      <c r="CX9" s="102">
        <v>627.27149889731402</v>
      </c>
      <c r="CY9" s="102">
        <v>590.88143052701105</v>
      </c>
      <c r="CZ9" s="102">
        <v>872.90550597831304</v>
      </c>
      <c r="DA9" s="102">
        <v>884.27115063826</v>
      </c>
      <c r="DB9" s="102">
        <v>931.43088224018197</v>
      </c>
      <c r="DC9" s="102">
        <v>1028.90538747908</v>
      </c>
      <c r="DD9" s="102">
        <v>1368.1300874910401</v>
      </c>
      <c r="DE9" s="102">
        <v>1340.0458567896601</v>
      </c>
      <c r="DF9" s="102">
        <v>1121.4732403534399</v>
      </c>
      <c r="DG9" s="102"/>
      <c r="DH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1">
        <f t="shared" si="11"/>
        <v>5.9293082784805801E-2</v>
      </c>
      <c r="FV9" s="51">
        <f t="shared" si="11"/>
        <v>0.44091710136754658</v>
      </c>
      <c r="FW9" s="51">
        <f t="shared" si="11"/>
        <v>0.28579780195050641</v>
      </c>
      <c r="FX9" s="51">
        <f t="shared" si="11"/>
        <v>8.8046174684585574E-2</v>
      </c>
      <c r="FY9" s="51">
        <f t="shared" si="11"/>
        <v>-0.14480765397648174</v>
      </c>
      <c r="FZ9" s="51">
        <f t="shared" si="11"/>
        <v>-3.7363248466112449E-2</v>
      </c>
      <c r="GA9" s="51">
        <f t="shared" si="11"/>
        <v>-0.18742593056694035</v>
      </c>
      <c r="GB9" s="51">
        <f t="shared" si="11"/>
        <v>0.60850666764245809</v>
      </c>
      <c r="GC9" s="51">
        <f t="shared" si="11"/>
        <v>0.1583396299997572</v>
      </c>
      <c r="GD9" s="51">
        <f t="shared" si="11"/>
        <v>1.0980166879895847</v>
      </c>
      <c r="GE9" s="51">
        <f t="shared" si="11"/>
        <v>3.1067147108755893E-2</v>
      </c>
      <c r="GF9" s="51">
        <f t="shared" si="11"/>
        <v>6.2758182395929799E-2</v>
      </c>
      <c r="GG9" s="51">
        <f t="shared" si="12"/>
        <v>0.11980192884449728</v>
      </c>
      <c r="GH9" s="51">
        <f t="shared" si="12"/>
        <v>9.3703630846088806E-2</v>
      </c>
      <c r="GI9" s="51">
        <f t="shared" si="12"/>
        <v>-5.8556242451781149E-2</v>
      </c>
      <c r="GJ9" s="51">
        <f t="shared" si="12"/>
        <v>-0.12167225524564511</v>
      </c>
      <c r="GK9" s="51">
        <f t="shared" si="12"/>
        <v>0.16189098972078569</v>
      </c>
      <c r="GL9" s="51">
        <f t="shared" si="12"/>
        <v>5.1974129097298503E-2</v>
      </c>
      <c r="GM9" s="51">
        <f t="shared" si="12"/>
        <v>-3.8484290395979635E-2</v>
      </c>
      <c r="GN9" s="51">
        <f t="shared" si="12"/>
        <v>0.87746321456036658</v>
      </c>
      <c r="GO9" s="51">
        <f t="shared" si="12"/>
        <v>8.7851093066286967E-2</v>
      </c>
      <c r="GP9" s="51">
        <f t="shared" si="12"/>
        <v>-3.6467085138397401E-2</v>
      </c>
      <c r="GQ9" s="51">
        <f t="shared" si="12"/>
        <v>0.21206077071134388</v>
      </c>
      <c r="GR9" s="51">
        <f t="shared" si="12"/>
        <v>5.913496838626197E-2</v>
      </c>
      <c r="GS9" s="51">
        <f t="shared" si="12"/>
        <v>5.2251757879408001E-2</v>
      </c>
      <c r="GT9" s="51">
        <f t="shared" si="12"/>
        <v>0.10686210221793652</v>
      </c>
      <c r="GU9" s="51">
        <f t="shared" si="12"/>
        <v>9.3164758114541821E-2</v>
      </c>
      <c r="GV9" s="51">
        <f t="shared" si="12"/>
        <v>4.7595062609982176E-2</v>
      </c>
      <c r="GW9" s="51">
        <f t="shared" si="13"/>
        <v>7.1316848133697736E-2</v>
      </c>
      <c r="GX9" s="51">
        <f t="shared" si="13"/>
        <v>0.203471058417175</v>
      </c>
      <c r="GY9" s="51">
        <f t="shared" si="13"/>
        <v>0.12296512423799889</v>
      </c>
      <c r="GZ9" s="51">
        <f t="shared" si="13"/>
        <v>-9.1177642025660838E-2</v>
      </c>
      <c r="HA9" s="51">
        <f t="shared" si="13"/>
        <v>2.6834364582237657E-2</v>
      </c>
      <c r="HB9" s="51">
        <f t="shared" si="13"/>
        <v>3.3478240697573068E-2</v>
      </c>
      <c r="HC9" s="51">
        <f t="shared" si="13"/>
        <v>-8.1672377767762386E-2</v>
      </c>
      <c r="HD9" s="51">
        <f t="shared" si="13"/>
        <v>-0.10917305180505135</v>
      </c>
      <c r="HE9" s="51">
        <f t="shared" si="13"/>
        <v>-4.1116150608087446E-2</v>
      </c>
      <c r="HF9" s="51">
        <f t="shared" si="13"/>
        <v>-5.8013266080594102E-2</v>
      </c>
      <c r="HG9" s="51">
        <f t="shared" si="13"/>
        <v>0.47729385436899391</v>
      </c>
      <c r="HH9" s="51">
        <f t="shared" si="13"/>
        <v>1.3020475391788085E-2</v>
      </c>
      <c r="HI9" s="51">
        <f t="shared" si="13"/>
        <v>5.3331754143378367E-2</v>
      </c>
      <c r="HJ9" s="51">
        <f t="shared" si="13"/>
        <v>0.10465028280408992</v>
      </c>
      <c r="HK9" s="51">
        <f t="shared" si="13"/>
        <v>0.32969474563943546</v>
      </c>
      <c r="HL9" s="51">
        <f t="shared" si="13"/>
        <v>-2.0527456386024323E-2</v>
      </c>
      <c r="HM9" s="51">
        <f t="shared" si="1"/>
        <v>-0.16310831105425996</v>
      </c>
      <c r="HN9" s="5"/>
      <c r="HP9" s="51">
        <f t="shared" si="2"/>
        <v>0.11206641485391816</v>
      </c>
      <c r="HQ9" s="51">
        <f t="shared" si="3"/>
        <v>7.633346663939794E-2</v>
      </c>
      <c r="HR9" s="51">
        <f t="shared" si="4"/>
        <v>8.7930111491780025E-2</v>
      </c>
      <c r="HS9" s="79">
        <f t="shared" si="5"/>
        <v>5.913496838626197E-2</v>
      </c>
      <c r="HT9" s="79">
        <f t="shared" si="6"/>
        <v>5.1974129097298503E-2</v>
      </c>
      <c r="HU9" s="103">
        <f t="shared" si="7"/>
        <v>5.2251757879408001E-2</v>
      </c>
      <c r="HW9" s="104" t="s">
        <v>19</v>
      </c>
      <c r="HX9" s="16">
        <v>5.22517578794073E-2</v>
      </c>
      <c r="HY9" s="186" t="s">
        <v>108</v>
      </c>
    </row>
    <row r="10" spans="1:233" ht="15" customHeight="1" x14ac:dyDescent="0.2">
      <c r="A10" s="5" t="s">
        <v>106</v>
      </c>
      <c r="B10" s="48" t="s">
        <v>20</v>
      </c>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c r="BC10" s="102"/>
      <c r="BD10" s="102"/>
      <c r="BE10" s="102"/>
      <c r="BF10" s="102"/>
      <c r="BG10" s="102"/>
      <c r="BH10" s="102"/>
      <c r="BI10" s="102"/>
      <c r="BJ10" s="102"/>
      <c r="BK10" s="102"/>
      <c r="BL10" s="102"/>
      <c r="BM10" s="102"/>
      <c r="BN10" s="102"/>
      <c r="BO10" s="102"/>
      <c r="BP10" s="102"/>
      <c r="BQ10" s="102"/>
      <c r="BR10" s="102"/>
      <c r="BS10" s="102"/>
      <c r="BT10" s="102"/>
      <c r="BU10" s="102"/>
      <c r="BV10" s="102"/>
      <c r="BW10" s="102"/>
      <c r="BX10" s="102"/>
      <c r="BY10" s="102"/>
      <c r="BZ10" s="102"/>
      <c r="CA10" s="102"/>
      <c r="CB10" s="102"/>
      <c r="CC10" s="102"/>
      <c r="CD10" s="102"/>
      <c r="CE10" s="110"/>
      <c r="CF10" s="35">
        <v>51</v>
      </c>
      <c r="CG10" s="35">
        <v>35</v>
      </c>
      <c r="CH10" s="35">
        <v>63</v>
      </c>
      <c r="CI10" s="35">
        <v>54</v>
      </c>
      <c r="CJ10" s="35">
        <v>60</v>
      </c>
      <c r="CK10" s="35">
        <v>75</v>
      </c>
      <c r="CL10" s="35">
        <v>100</v>
      </c>
      <c r="CM10" s="35">
        <v>75</v>
      </c>
      <c r="CN10" s="35">
        <v>61</v>
      </c>
      <c r="CO10" s="102">
        <v>64</v>
      </c>
      <c r="CP10" s="102">
        <v>69</v>
      </c>
      <c r="CQ10" s="102">
        <v>63</v>
      </c>
      <c r="CR10" s="102">
        <v>69</v>
      </c>
      <c r="CS10" s="102">
        <v>80</v>
      </c>
      <c r="CT10" s="102">
        <v>95</v>
      </c>
      <c r="CU10" s="102">
        <v>78</v>
      </c>
      <c r="CV10" s="102">
        <v>106</v>
      </c>
      <c r="CW10" s="102">
        <v>216</v>
      </c>
      <c r="CX10" s="102">
        <v>273</v>
      </c>
      <c r="CY10" s="102">
        <v>280</v>
      </c>
      <c r="CZ10" s="102">
        <v>440</v>
      </c>
      <c r="DA10" s="102">
        <v>435</v>
      </c>
      <c r="DB10" s="102">
        <v>375</v>
      </c>
      <c r="DC10" s="102">
        <v>320</v>
      </c>
      <c r="DD10" s="102">
        <v>413</v>
      </c>
      <c r="DE10" s="102">
        <v>351</v>
      </c>
      <c r="DF10" s="35">
        <v>327</v>
      </c>
      <c r="DG10" s="102">
        <v>430</v>
      </c>
      <c r="DH10" s="5"/>
      <c r="DJ10" s="5"/>
      <c r="DK10" s="5"/>
      <c r="DL10" s="5"/>
      <c r="DM10" s="5"/>
      <c r="DN10" s="5"/>
      <c r="DO10" s="5"/>
      <c r="DP10" s="5"/>
      <c r="DQ10" s="51"/>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1">
        <f t="shared" si="12"/>
        <v>-0.31372549019607843</v>
      </c>
      <c r="GO10" s="51">
        <f t="shared" si="12"/>
        <v>0.8</v>
      </c>
      <c r="GP10" s="51">
        <f t="shared" si="12"/>
        <v>-0.14285714285714285</v>
      </c>
      <c r="GQ10" s="51">
        <f t="shared" si="12"/>
        <v>0.1111111111111111</v>
      </c>
      <c r="GR10" s="51">
        <f t="shared" si="12"/>
        <v>0.25</v>
      </c>
      <c r="GS10" s="51">
        <f t="shared" si="12"/>
        <v>0.33333333333333331</v>
      </c>
      <c r="GT10" s="51">
        <f t="shared" si="12"/>
        <v>-0.25</v>
      </c>
      <c r="GU10" s="51">
        <f t="shared" si="12"/>
        <v>-0.18666666666666668</v>
      </c>
      <c r="GV10" s="51">
        <f t="shared" si="12"/>
        <v>4.9180327868852458E-2</v>
      </c>
      <c r="GW10" s="51">
        <f t="shared" si="13"/>
        <v>7.8125E-2</v>
      </c>
      <c r="GX10" s="51">
        <f t="shared" si="13"/>
        <v>-8.6956521739130432E-2</v>
      </c>
      <c r="GY10" s="51">
        <f t="shared" si="13"/>
        <v>9.5238095238095233E-2</v>
      </c>
      <c r="GZ10" s="51">
        <f t="shared" si="13"/>
        <v>0.15942028985507245</v>
      </c>
      <c r="HA10" s="51">
        <f t="shared" si="13"/>
        <v>0.1875</v>
      </c>
      <c r="HB10" s="51">
        <f t="shared" si="13"/>
        <v>-0.17894736842105263</v>
      </c>
      <c r="HC10" s="51">
        <f t="shared" si="13"/>
        <v>0.35897435897435898</v>
      </c>
      <c r="HD10" s="51">
        <f t="shared" si="13"/>
        <v>1.0377358490566038</v>
      </c>
      <c r="HE10" s="51">
        <f t="shared" si="13"/>
        <v>0.2638888888888889</v>
      </c>
      <c r="HF10" s="51">
        <f t="shared" si="13"/>
        <v>2.564102564102564E-2</v>
      </c>
      <c r="HG10" s="51">
        <f t="shared" si="13"/>
        <v>0.5714285714285714</v>
      </c>
      <c r="HH10" s="51">
        <f t="shared" si="13"/>
        <v>-1.1363636363636364E-2</v>
      </c>
      <c r="HI10" s="51">
        <f t="shared" si="13"/>
        <v>-0.13793103448275862</v>
      </c>
      <c r="HJ10" s="51">
        <f t="shared" si="13"/>
        <v>-0.14666666666666667</v>
      </c>
      <c r="HK10" s="51">
        <f t="shared" si="13"/>
        <v>0.29062500000000002</v>
      </c>
      <c r="HL10" s="51">
        <f t="shared" si="13"/>
        <v>-0.15012106537530268</v>
      </c>
      <c r="HM10" s="51">
        <f t="shared" si="1"/>
        <v>-6.8376068376068383E-2</v>
      </c>
      <c r="HN10" s="51">
        <f t="shared" si="1"/>
        <v>0.3149847094801223</v>
      </c>
      <c r="HP10" s="51">
        <f t="shared" si="2"/>
        <v>0.12050277406413083</v>
      </c>
      <c r="HQ10" s="51">
        <f t="shared" si="3"/>
        <v>0.12050277406413083</v>
      </c>
      <c r="HR10" s="51">
        <f t="shared" si="4"/>
        <v>0.13888288133931614</v>
      </c>
      <c r="HS10" s="79">
        <f t="shared" si="5"/>
        <v>7.8125E-2</v>
      </c>
      <c r="HT10" s="79">
        <f t="shared" si="6"/>
        <v>7.8125E-2</v>
      </c>
      <c r="HU10" s="79">
        <f t="shared" si="7"/>
        <v>9.5238095238095233E-2</v>
      </c>
      <c r="HW10" s="104" t="s">
        <v>20</v>
      </c>
      <c r="HX10" s="27" t="s">
        <v>115</v>
      </c>
      <c r="HY10" s="24"/>
    </row>
    <row r="11" spans="1:233" ht="15" customHeight="1" x14ac:dyDescent="0.2">
      <c r="A11" s="5" t="s">
        <v>106</v>
      </c>
      <c r="B11" s="48" t="s">
        <v>21</v>
      </c>
      <c r="C11" s="102"/>
      <c r="D11" s="102"/>
      <c r="E11" s="102"/>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02"/>
      <c r="BR11" s="102"/>
      <c r="BS11" s="102"/>
      <c r="BT11" s="102"/>
      <c r="BU11" s="102"/>
      <c r="BV11" s="102"/>
      <c r="BW11" s="102"/>
      <c r="BX11" s="102"/>
      <c r="BY11" s="102"/>
      <c r="BZ11" s="102"/>
      <c r="CA11" s="102"/>
      <c r="CB11" s="102"/>
      <c r="CC11" s="102"/>
      <c r="CD11" s="102"/>
      <c r="CE11" s="102"/>
      <c r="CF11" s="35">
        <v>50</v>
      </c>
      <c r="CG11" s="35">
        <v>45</v>
      </c>
      <c r="CH11" s="35">
        <v>53</v>
      </c>
      <c r="CI11" s="35">
        <v>63</v>
      </c>
      <c r="CJ11" s="35">
        <v>56</v>
      </c>
      <c r="CK11" s="35">
        <v>58</v>
      </c>
      <c r="CL11" s="35">
        <v>71</v>
      </c>
      <c r="CM11" s="35">
        <v>68</v>
      </c>
      <c r="CN11" s="35">
        <v>50</v>
      </c>
      <c r="CO11" s="102">
        <v>44</v>
      </c>
      <c r="CP11" s="102">
        <v>87</v>
      </c>
      <c r="CQ11" s="102">
        <v>90</v>
      </c>
      <c r="CR11" s="102">
        <v>90</v>
      </c>
      <c r="CS11" s="102">
        <v>100</v>
      </c>
      <c r="CT11" s="102">
        <v>140</v>
      </c>
      <c r="CU11" s="102">
        <v>120</v>
      </c>
      <c r="CV11" s="102">
        <v>118</v>
      </c>
      <c r="CW11" s="102">
        <v>118</v>
      </c>
      <c r="CX11" s="102">
        <v>150</v>
      </c>
      <c r="CY11" s="102">
        <v>155</v>
      </c>
      <c r="CZ11" s="102">
        <v>165</v>
      </c>
      <c r="DA11" s="102">
        <v>160</v>
      </c>
      <c r="DB11" s="102">
        <v>126</v>
      </c>
      <c r="DC11" s="102">
        <v>106</v>
      </c>
      <c r="DD11" s="102">
        <v>130</v>
      </c>
      <c r="DE11" s="102">
        <v>131</v>
      </c>
      <c r="DF11" s="35">
        <v>140</v>
      </c>
      <c r="DG11" s="102">
        <v>140</v>
      </c>
      <c r="DH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1"/>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1">
        <f t="shared" si="12"/>
        <v>-0.1</v>
      </c>
      <c r="GO11" s="51">
        <f t="shared" si="12"/>
        <v>0.17777777777777778</v>
      </c>
      <c r="GP11" s="51">
        <f t="shared" si="12"/>
        <v>0.18867924528301888</v>
      </c>
      <c r="GQ11" s="51">
        <f t="shared" si="12"/>
        <v>-0.1111111111111111</v>
      </c>
      <c r="GR11" s="51">
        <f t="shared" si="12"/>
        <v>3.5714285714285712E-2</v>
      </c>
      <c r="GS11" s="51">
        <f t="shared" si="12"/>
        <v>0.22413793103448276</v>
      </c>
      <c r="GT11" s="51">
        <f t="shared" si="12"/>
        <v>-4.2253521126760563E-2</v>
      </c>
      <c r="GU11" s="51">
        <f t="shared" si="12"/>
        <v>-0.26470588235294118</v>
      </c>
      <c r="GV11" s="51">
        <f t="shared" si="12"/>
        <v>-0.12</v>
      </c>
      <c r="GW11" s="51">
        <f t="shared" si="13"/>
        <v>0.97727272727272729</v>
      </c>
      <c r="GX11" s="51">
        <f t="shared" si="13"/>
        <v>3.4482758620689655E-2</v>
      </c>
      <c r="GY11" s="51">
        <f t="shared" si="13"/>
        <v>0</v>
      </c>
      <c r="GZ11" s="51">
        <f t="shared" si="13"/>
        <v>0.1111111111111111</v>
      </c>
      <c r="HA11" s="51">
        <f t="shared" si="13"/>
        <v>0.4</v>
      </c>
      <c r="HB11" s="51">
        <f t="shared" si="13"/>
        <v>-0.14285714285714285</v>
      </c>
      <c r="HC11" s="51">
        <f t="shared" si="13"/>
        <v>-1.6666666666666666E-2</v>
      </c>
      <c r="HD11" s="51">
        <f t="shared" si="13"/>
        <v>0</v>
      </c>
      <c r="HE11" s="51">
        <f t="shared" si="13"/>
        <v>0.2711864406779661</v>
      </c>
      <c r="HF11" s="51">
        <f t="shared" si="13"/>
        <v>3.3333333333333333E-2</v>
      </c>
      <c r="HG11" s="51">
        <f t="shared" si="13"/>
        <v>6.4516129032258063E-2</v>
      </c>
      <c r="HH11" s="51">
        <f t="shared" si="1"/>
        <v>-3.0303030303030304E-2</v>
      </c>
      <c r="HI11" s="51">
        <f t="shared" si="1"/>
        <v>-0.21249999999999999</v>
      </c>
      <c r="HJ11" s="51">
        <f t="shared" si="1"/>
        <v>-0.15873015873015872</v>
      </c>
      <c r="HK11" s="51">
        <f t="shared" si="1"/>
        <v>0.22641509433962265</v>
      </c>
      <c r="HL11" s="51">
        <f t="shared" si="1"/>
        <v>7.6923076923076927E-3</v>
      </c>
      <c r="HM11" s="51">
        <f t="shared" si="1"/>
        <v>6.8702290076335881E-2</v>
      </c>
      <c r="HN11" s="51">
        <f t="shared" si="1"/>
        <v>0</v>
      </c>
      <c r="HP11" s="51">
        <f t="shared" si="2"/>
        <v>6.0070145141411319E-2</v>
      </c>
      <c r="HQ11" s="51">
        <f t="shared" si="3"/>
        <v>6.0070145141411319E-2</v>
      </c>
      <c r="HR11" s="51">
        <f t="shared" si="4"/>
        <v>6.1819972841978481E-2</v>
      </c>
      <c r="HS11" s="79">
        <f t="shared" si="5"/>
        <v>7.6923076923076927E-3</v>
      </c>
      <c r="HT11" s="103">
        <f t="shared" si="6"/>
        <v>7.6923076923076927E-3</v>
      </c>
      <c r="HU11" s="79">
        <f t="shared" si="7"/>
        <v>0</v>
      </c>
      <c r="HW11" s="104" t="s">
        <v>21</v>
      </c>
      <c r="HX11" s="28" t="s">
        <v>222</v>
      </c>
      <c r="HY11" s="24"/>
    </row>
    <row r="12" spans="1:233" ht="15" customHeight="1" x14ac:dyDescent="0.2">
      <c r="A12" s="5" t="s">
        <v>106</v>
      </c>
      <c r="B12" s="48" t="s">
        <v>24</v>
      </c>
      <c r="C12" s="102"/>
      <c r="D12" s="102"/>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c r="CA12" s="102"/>
      <c r="CB12" s="102"/>
      <c r="CC12" s="102"/>
      <c r="CD12" s="102"/>
      <c r="CE12" s="110"/>
      <c r="CF12" s="35">
        <v>145</v>
      </c>
      <c r="CG12" s="35">
        <v>239</v>
      </c>
      <c r="CH12" s="35">
        <v>200</v>
      </c>
      <c r="CI12" s="35">
        <v>230</v>
      </c>
      <c r="CJ12" s="35">
        <v>230</v>
      </c>
      <c r="CK12" s="35">
        <v>215</v>
      </c>
      <c r="CL12" s="35">
        <v>335</v>
      </c>
      <c r="CM12" s="35">
        <v>345</v>
      </c>
      <c r="CN12" s="35">
        <v>335</v>
      </c>
      <c r="CO12" s="102">
        <v>370</v>
      </c>
      <c r="CP12" s="102">
        <v>405</v>
      </c>
      <c r="CQ12" s="102">
        <v>500</v>
      </c>
      <c r="CR12" s="102">
        <v>580</v>
      </c>
      <c r="CS12" s="102">
        <v>563</v>
      </c>
      <c r="CT12" s="102">
        <v>570</v>
      </c>
      <c r="CU12" s="102">
        <v>546</v>
      </c>
      <c r="CV12" s="102">
        <v>609</v>
      </c>
      <c r="CW12" s="102">
        <v>662</v>
      </c>
      <c r="CX12" s="102">
        <v>782</v>
      </c>
      <c r="CY12" s="102">
        <v>799</v>
      </c>
      <c r="CZ12" s="102">
        <v>844</v>
      </c>
      <c r="DA12" s="102">
        <v>759</v>
      </c>
      <c r="DB12" s="102">
        <v>680</v>
      </c>
      <c r="DC12" s="102">
        <v>714</v>
      </c>
      <c r="DD12" s="102">
        <v>741</v>
      </c>
      <c r="DE12" s="102">
        <v>968</v>
      </c>
      <c r="DF12" s="35">
        <v>960</v>
      </c>
      <c r="DG12" s="102">
        <v>920</v>
      </c>
      <c r="DH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1">
        <f t="shared" si="12"/>
        <v>0.64827586206896548</v>
      </c>
      <c r="GO12" s="51">
        <f t="shared" si="12"/>
        <v>-0.16317991631799164</v>
      </c>
      <c r="GP12" s="51">
        <f t="shared" si="12"/>
        <v>0.15</v>
      </c>
      <c r="GQ12" s="51">
        <f t="shared" si="12"/>
        <v>0</v>
      </c>
      <c r="GR12" s="51">
        <f t="shared" si="12"/>
        <v>-6.5217391304347824E-2</v>
      </c>
      <c r="GS12" s="51">
        <f t="shared" si="12"/>
        <v>0.55813953488372092</v>
      </c>
      <c r="GT12" s="51">
        <f t="shared" si="12"/>
        <v>2.9850746268656716E-2</v>
      </c>
      <c r="GU12" s="51">
        <f t="shared" si="12"/>
        <v>-2.8985507246376812E-2</v>
      </c>
      <c r="GV12" s="51">
        <f t="shared" si="12"/>
        <v>0.1044776119402985</v>
      </c>
      <c r="GW12" s="51">
        <f t="shared" si="13"/>
        <v>9.45945945945946E-2</v>
      </c>
      <c r="GX12" s="51">
        <f t="shared" si="13"/>
        <v>0.23456790123456789</v>
      </c>
      <c r="GY12" s="51">
        <f t="shared" si="13"/>
        <v>0.16</v>
      </c>
      <c r="GZ12" s="51">
        <f t="shared" si="13"/>
        <v>-2.9310344827586206E-2</v>
      </c>
      <c r="HA12" s="51">
        <f t="shared" si="13"/>
        <v>1.2433392539964476E-2</v>
      </c>
      <c r="HB12" s="51">
        <f t="shared" si="13"/>
        <v>-4.2105263157894736E-2</v>
      </c>
      <c r="HC12" s="51">
        <f t="shared" si="13"/>
        <v>0.11538461538461539</v>
      </c>
      <c r="HD12" s="51">
        <f t="shared" si="13"/>
        <v>8.7027914614121515E-2</v>
      </c>
      <c r="HE12" s="51">
        <f t="shared" si="13"/>
        <v>0.18126888217522658</v>
      </c>
      <c r="HF12" s="51">
        <f t="shared" si="13"/>
        <v>2.1739130434782608E-2</v>
      </c>
      <c r="HG12" s="51">
        <f t="shared" si="13"/>
        <v>5.6320400500625784E-2</v>
      </c>
      <c r="HH12" s="51">
        <f t="shared" si="1"/>
        <v>-0.10071090047393365</v>
      </c>
      <c r="HI12" s="51">
        <f t="shared" si="1"/>
        <v>-0.10408432147562582</v>
      </c>
      <c r="HJ12" s="51">
        <f t="shared" si="1"/>
        <v>0.05</v>
      </c>
      <c r="HK12" s="51">
        <f t="shared" si="1"/>
        <v>3.7815126050420166E-2</v>
      </c>
      <c r="HL12" s="51">
        <f t="shared" si="1"/>
        <v>0.30634278002699056</v>
      </c>
      <c r="HM12" s="51">
        <f t="shared" si="1"/>
        <v>-8.2644628099173556E-3</v>
      </c>
      <c r="HN12" s="51">
        <f t="shared" si="1"/>
        <v>-4.1666666666666664E-2</v>
      </c>
      <c r="HP12" s="51">
        <f t="shared" si="2"/>
        <v>8.3878285868044855E-2</v>
      </c>
      <c r="HQ12" s="51">
        <f t="shared" si="3"/>
        <v>8.3878285868044855E-2</v>
      </c>
      <c r="HR12" s="51">
        <f t="shared" si="4"/>
        <v>7.8665416048805517E-2</v>
      </c>
      <c r="HS12" s="79">
        <f t="shared" si="5"/>
        <v>3.7815126050420166E-2</v>
      </c>
      <c r="HT12" s="79">
        <f t="shared" si="6"/>
        <v>3.7815126050420166E-2</v>
      </c>
      <c r="HU12" s="79">
        <f t="shared" si="7"/>
        <v>3.7815126050420166E-2</v>
      </c>
      <c r="HW12" s="104" t="s">
        <v>24</v>
      </c>
      <c r="HX12" s="28" t="s">
        <v>222</v>
      </c>
      <c r="HY12" s="24"/>
    </row>
    <row r="13" spans="1:233" ht="15" customHeight="1" x14ac:dyDescent="0.2">
      <c r="A13" s="5" t="s">
        <v>106</v>
      </c>
      <c r="B13" s="48" t="s">
        <v>25</v>
      </c>
      <c r="C13" s="102"/>
      <c r="D13" s="102"/>
      <c r="E13" s="102"/>
      <c r="F13" s="102"/>
      <c r="G13" s="102"/>
      <c r="H13" s="102"/>
      <c r="I13" s="102"/>
      <c r="J13" s="102">
        <v>7.5831389840911299E-4</v>
      </c>
      <c r="K13" s="102">
        <v>1.6173754498466501E-3</v>
      </c>
      <c r="L13" s="102">
        <v>1.85810339079086E-3</v>
      </c>
      <c r="M13" s="102">
        <v>2.1860824718176E-3</v>
      </c>
      <c r="N13" s="102">
        <v>4.8051451324774598E-3</v>
      </c>
      <c r="O13" s="102">
        <v>4.5605062604738298E-3</v>
      </c>
      <c r="P13" s="102">
        <v>1.3713185919725999E-2</v>
      </c>
      <c r="Q13" s="102">
        <v>2.0266578461185299E-2</v>
      </c>
      <c r="R13" s="102">
        <v>2.4745935436639499E-2</v>
      </c>
      <c r="S13" s="102">
        <v>2.9897257093298601E-2</v>
      </c>
      <c r="T13" s="102">
        <v>4.9640561852971603E-2</v>
      </c>
      <c r="U13" s="102">
        <v>4.3658688106071902E-2</v>
      </c>
      <c r="V13" s="102">
        <v>1.4178073559300799E-2</v>
      </c>
      <c r="W13" s="102">
        <v>8.7939412735333396E-3</v>
      </c>
      <c r="X13" s="102">
        <v>3.8578137403960502E-2</v>
      </c>
      <c r="Y13" s="102">
        <v>3.6176910183984098E-2</v>
      </c>
      <c r="Z13" s="102">
        <v>3.8606618350184599E-2</v>
      </c>
      <c r="AA13" s="102">
        <v>4.36874279477747E-2</v>
      </c>
      <c r="AB13" s="102">
        <v>9.8017530563575594E-2</v>
      </c>
      <c r="AC13" s="102">
        <v>9.3158858479314502E-2</v>
      </c>
      <c r="AD13" s="102">
        <v>0.104453618834271</v>
      </c>
      <c r="AE13" s="102">
        <v>9.6684173825424699E-2</v>
      </c>
      <c r="AF13" s="102">
        <v>9.45693011324482E-2</v>
      </c>
      <c r="AG13" s="102">
        <v>9.7848241326897803E-2</v>
      </c>
      <c r="AH13" s="102">
        <v>0.110661873402392</v>
      </c>
      <c r="AI13" s="102">
        <v>9.7092401535824394E-2</v>
      </c>
      <c r="AJ13" s="102">
        <v>9.1833441854128395E-2</v>
      </c>
      <c r="AK13" s="102">
        <v>8.6181818368757698E-2</v>
      </c>
      <c r="AL13" s="102">
        <v>7.7230282200309405E-2</v>
      </c>
      <c r="AM13" s="102">
        <v>9.5926564833794498E-2</v>
      </c>
      <c r="AN13" s="102">
        <v>0.143288502542398</v>
      </c>
      <c r="AO13" s="102">
        <v>0.18777949758333601</v>
      </c>
      <c r="AP13" s="102">
        <v>0.22203017671751299</v>
      </c>
      <c r="AQ13" s="102">
        <v>0.26593945457127499</v>
      </c>
      <c r="AR13" s="102">
        <v>0.29488986217362101</v>
      </c>
      <c r="AS13" s="102">
        <v>0.32528029872095798</v>
      </c>
      <c r="AT13" s="102">
        <v>0.40913796515522299</v>
      </c>
      <c r="AU13" s="102">
        <v>0.59549664013609405</v>
      </c>
      <c r="AV13" s="102">
        <v>0.27277185488490602</v>
      </c>
      <c r="AW13" s="102">
        <v>0.31973399957318599</v>
      </c>
      <c r="AX13" s="102">
        <v>0.34643078300000002</v>
      </c>
      <c r="AY13" s="102">
        <v>0.32101922350000001</v>
      </c>
      <c r="AZ13" s="102">
        <v>0.26391319749999997</v>
      </c>
      <c r="BA13" s="102">
        <v>0.28388164449999997</v>
      </c>
      <c r="BB13" s="102">
        <v>0.55721920250000001</v>
      </c>
      <c r="BC13" s="102">
        <v>0.64629962649999995</v>
      </c>
      <c r="BD13" s="102">
        <v>0.67347164410000004</v>
      </c>
      <c r="BE13" s="102">
        <v>0.68600324425000003</v>
      </c>
      <c r="BF13" s="102">
        <v>0.69674950349999998</v>
      </c>
      <c r="BG13" s="102">
        <v>0.78066674650000001</v>
      </c>
      <c r="BH13" s="102">
        <v>1.244794</v>
      </c>
      <c r="BI13" s="102">
        <v>1.019398</v>
      </c>
      <c r="BJ13" s="102">
        <v>1.14117</v>
      </c>
      <c r="BK13" s="102">
        <v>1.9251879999999999</v>
      </c>
      <c r="BL13" s="102">
        <v>2.2863547</v>
      </c>
      <c r="BM13" s="102">
        <v>2.0931269000000001</v>
      </c>
      <c r="BN13" s="102">
        <v>2.1742979999999998</v>
      </c>
      <c r="BO13" s="102">
        <v>2.3051439999999999</v>
      </c>
      <c r="BP13" s="102">
        <v>2.295398</v>
      </c>
      <c r="BQ13" s="102">
        <v>2.5690900000000001</v>
      </c>
      <c r="BR13" s="102">
        <v>2.4890479999999999</v>
      </c>
      <c r="BS13" s="102">
        <v>2.496794</v>
      </c>
      <c r="BT13" s="102">
        <v>2.37035346</v>
      </c>
      <c r="BU13" s="102">
        <v>2.1587069200000002</v>
      </c>
      <c r="BV13" s="102">
        <v>2.328964</v>
      </c>
      <c r="BW13" s="102">
        <v>2.9718819999999999</v>
      </c>
      <c r="BX13" s="102">
        <v>3.1810239999999999</v>
      </c>
      <c r="BY13" s="102">
        <v>3.3901659999999998</v>
      </c>
      <c r="BZ13" s="102">
        <v>3.4418060000000001</v>
      </c>
      <c r="CA13" s="102">
        <v>3.5063559999999998</v>
      </c>
      <c r="CB13" s="102">
        <v>3.66419366</v>
      </c>
      <c r="CC13" s="102">
        <v>3.6886710200000001</v>
      </c>
      <c r="CD13" s="102">
        <v>3.9476456199999999</v>
      </c>
      <c r="CE13" s="102">
        <v>4.5486319399999999</v>
      </c>
      <c r="CF13" s="102">
        <v>4.2552909200000002</v>
      </c>
      <c r="CG13" s="102">
        <v>4.7275645400000004</v>
      </c>
      <c r="CH13" s="102">
        <v>4.87058152</v>
      </c>
      <c r="CI13" s="102">
        <v>5.08243791090909</v>
      </c>
      <c r="CJ13" s="102">
        <v>5.2023657363636397</v>
      </c>
      <c r="CK13" s="102">
        <v>5.5946841254545499</v>
      </c>
      <c r="CL13" s="102">
        <v>4.3863599999999998</v>
      </c>
      <c r="CM13" s="102">
        <v>4.4306400000000004</v>
      </c>
      <c r="CN13" s="102">
        <v>5.0602799999999997</v>
      </c>
      <c r="CO13" s="102">
        <v>5.7020999999999997</v>
      </c>
      <c r="CP13" s="102">
        <v>5.7568799999999998</v>
      </c>
      <c r="CQ13" s="102">
        <v>7.1413200000000003</v>
      </c>
      <c r="CR13" s="102">
        <v>6.5340600000000002</v>
      </c>
      <c r="CS13" s="102">
        <v>7.1933400000000001</v>
      </c>
      <c r="CT13" s="102">
        <v>6.6577200000000003</v>
      </c>
      <c r="CU13" s="102">
        <v>6.8689200000000001</v>
      </c>
      <c r="CV13" s="102">
        <v>7.1515199999999997</v>
      </c>
      <c r="CW13" s="102">
        <v>1.0864799999999999</v>
      </c>
      <c r="CX13" s="102">
        <v>6.4973999999999998</v>
      </c>
      <c r="CY13" s="102">
        <v>6.6205800000000004</v>
      </c>
      <c r="CZ13" s="102">
        <v>4.8052200000000003</v>
      </c>
      <c r="DA13" s="102">
        <v>6.91404</v>
      </c>
      <c r="DB13" s="102">
        <v>7.05342</v>
      </c>
      <c r="DC13" s="102">
        <v>6.4074</v>
      </c>
      <c r="DD13" s="102">
        <v>6.9093600000000004</v>
      </c>
      <c r="DE13" s="102">
        <v>7.0313999999999997</v>
      </c>
      <c r="DF13" s="35">
        <v>6.1539657965796604</v>
      </c>
      <c r="DG13" s="102"/>
      <c r="DH13" s="5"/>
      <c r="DJ13" s="5"/>
      <c r="DK13" s="51"/>
      <c r="DL13" s="51"/>
      <c r="DM13" s="51"/>
      <c r="DN13" s="51"/>
      <c r="DO13" s="51"/>
      <c r="DP13" s="51"/>
      <c r="DQ13" s="51"/>
      <c r="DR13" s="51">
        <f t="shared" ref="DR13:GC13" si="15">(K13-J13)/J13</f>
        <v>1.1328574528830149</v>
      </c>
      <c r="DS13" s="51">
        <f t="shared" si="15"/>
        <v>0.14883862678083457</v>
      </c>
      <c r="DT13" s="51">
        <f t="shared" si="15"/>
        <v>0.17651282627881273</v>
      </c>
      <c r="DU13" s="51">
        <f t="shared" si="15"/>
        <v>1.198062147436854</v>
      </c>
      <c r="DV13" s="51">
        <f t="shared" si="15"/>
        <v>-5.0911859113295495E-2</v>
      </c>
      <c r="DW13" s="51">
        <f t="shared" si="15"/>
        <v>2.0069437769615561</v>
      </c>
      <c r="DX13" s="51">
        <f t="shared" si="15"/>
        <v>0.47788986307204107</v>
      </c>
      <c r="DY13" s="51">
        <f t="shared" si="15"/>
        <v>0.22102186533524137</v>
      </c>
      <c r="DZ13" s="51">
        <f t="shared" si="15"/>
        <v>0.20816839475916182</v>
      </c>
      <c r="EA13" s="51">
        <f t="shared" si="15"/>
        <v>0.66037177584757145</v>
      </c>
      <c r="EB13" s="51">
        <f t="shared" si="15"/>
        <v>-0.12050374781448231</v>
      </c>
      <c r="EC13" s="51">
        <f t="shared" si="15"/>
        <v>-0.67525195615465683</v>
      </c>
      <c r="ED13" s="51">
        <f t="shared" si="15"/>
        <v>-0.37975062431774981</v>
      </c>
      <c r="EE13" s="51">
        <f t="shared" si="15"/>
        <v>3.3868995941634363</v>
      </c>
      <c r="EF13" s="51">
        <f t="shared" si="15"/>
        <v>-6.2243212906642031E-2</v>
      </c>
      <c r="EG13" s="51">
        <f t="shared" si="15"/>
        <v>6.71618486444472E-2</v>
      </c>
      <c r="EH13" s="51">
        <f t="shared" si="15"/>
        <v>0.13160462673793877</v>
      </c>
      <c r="EI13" s="51">
        <f t="shared" si="15"/>
        <v>1.2436095501147097</v>
      </c>
      <c r="EJ13" s="51">
        <f t="shared" si="15"/>
        <v>-4.9569419432676759E-2</v>
      </c>
      <c r="EK13" s="51">
        <f t="shared" si="15"/>
        <v>0.12124193597181578</v>
      </c>
      <c r="EL13" s="51">
        <f t="shared" si="15"/>
        <v>-7.4381769588792473E-2</v>
      </c>
      <c r="EM13" s="51">
        <f t="shared" si="15"/>
        <v>-2.1874031801680027E-2</v>
      </c>
      <c r="EN13" s="51">
        <f t="shared" si="15"/>
        <v>3.4672353027726331E-2</v>
      </c>
      <c r="EO13" s="51">
        <f t="shared" si="15"/>
        <v>0.13095413777224243</v>
      </c>
      <c r="EP13" s="51">
        <f t="shared" si="15"/>
        <v>-0.1226210206764338</v>
      </c>
      <c r="EQ13" s="51">
        <f t="shared" si="15"/>
        <v>-5.4164482477607571E-2</v>
      </c>
      <c r="ER13" s="51">
        <f t="shared" si="15"/>
        <v>-6.1542106788809489E-2</v>
      </c>
      <c r="ES13" s="51">
        <f t="shared" si="15"/>
        <v>-0.10386803548453985</v>
      </c>
      <c r="ET13" s="51">
        <f t="shared" si="15"/>
        <v>0.24208486750046071</v>
      </c>
      <c r="EU13" s="51">
        <f t="shared" si="15"/>
        <v>0.49373119730352427</v>
      </c>
      <c r="EV13" s="51">
        <f t="shared" si="15"/>
        <v>0.31049940680183641</v>
      </c>
      <c r="EW13" s="51">
        <f t="shared" si="15"/>
        <v>0.18239839585776199</v>
      </c>
      <c r="EX13" s="51">
        <f t="shared" si="15"/>
        <v>0.19776265777434113</v>
      </c>
      <c r="EY13" s="51">
        <f t="shared" si="15"/>
        <v>0.10886089711290642</v>
      </c>
      <c r="EZ13" s="51">
        <f t="shared" si="15"/>
        <v>0.10305690512156071</v>
      </c>
      <c r="FA13" s="51">
        <f t="shared" si="15"/>
        <v>0.25780124638351487</v>
      </c>
      <c r="FB13" s="51">
        <f t="shared" si="15"/>
        <v>0.45549103444890127</v>
      </c>
      <c r="FC13" s="51">
        <f t="shared" si="15"/>
        <v>-0.54194224366645116</v>
      </c>
      <c r="FD13" s="51">
        <f t="shared" si="15"/>
        <v>0.17216638684403596</v>
      </c>
      <c r="FE13" s="51">
        <f t="shared" si="15"/>
        <v>8.3496855080947466E-2</v>
      </c>
      <c r="FF13" s="51">
        <f t="shared" si="15"/>
        <v>-7.3352486981504789E-2</v>
      </c>
      <c r="FG13" s="51">
        <f t="shared" si="15"/>
        <v>-0.17788973936634056</v>
      </c>
      <c r="FH13" s="51">
        <f t="shared" si="15"/>
        <v>7.5662934590453756E-2</v>
      </c>
      <c r="FI13" s="51">
        <f t="shared" si="15"/>
        <v>0.96285745590007688</v>
      </c>
      <c r="FJ13" s="51">
        <f t="shared" si="15"/>
        <v>0.15986603404967892</v>
      </c>
      <c r="FK13" s="51">
        <f t="shared" si="15"/>
        <v>4.2042446700996355E-2</v>
      </c>
      <c r="FL13" s="51">
        <f t="shared" si="15"/>
        <v>1.860746515430016E-2</v>
      </c>
      <c r="FM13" s="51">
        <f t="shared" si="15"/>
        <v>1.5665026864047436E-2</v>
      </c>
      <c r="FN13" s="51">
        <f t="shared" si="15"/>
        <v>0.12044105173876171</v>
      </c>
      <c r="FO13" s="51">
        <f t="shared" si="15"/>
        <v>0.5945267370242725</v>
      </c>
      <c r="FP13" s="51">
        <f t="shared" si="15"/>
        <v>-0.18107092418504583</v>
      </c>
      <c r="FQ13" s="51">
        <f t="shared" si="15"/>
        <v>0.11945481548914162</v>
      </c>
      <c r="FR13" s="51">
        <f t="shared" si="15"/>
        <v>0.68702997800502985</v>
      </c>
      <c r="FS13" s="51">
        <f t="shared" si="15"/>
        <v>0.18760074340791658</v>
      </c>
      <c r="FT13" s="51">
        <f t="shared" si="15"/>
        <v>-8.4513483406577217E-2</v>
      </c>
      <c r="FU13" s="51">
        <f t="shared" si="15"/>
        <v>3.8779827443811324E-2</v>
      </c>
      <c r="FV13" s="51">
        <f t="shared" si="15"/>
        <v>6.0178503590584194E-2</v>
      </c>
      <c r="FW13" s="51">
        <f t="shared" si="15"/>
        <v>-4.2279354348360929E-3</v>
      </c>
      <c r="FX13" s="51">
        <f t="shared" si="15"/>
        <v>0.11923509561304839</v>
      </c>
      <c r="FY13" s="51">
        <f t="shared" si="15"/>
        <v>-3.1155778894472425E-2</v>
      </c>
      <c r="FZ13" s="51">
        <f t="shared" si="15"/>
        <v>3.1120331950207593E-3</v>
      </c>
      <c r="GA13" s="51">
        <f t="shared" si="15"/>
        <v>-5.0641158221302975E-2</v>
      </c>
      <c r="GB13" s="51">
        <f t="shared" si="15"/>
        <v>-8.9289021055956708E-2</v>
      </c>
      <c r="GC13" s="51">
        <f t="shared" si="15"/>
        <v>7.8869937564289561E-2</v>
      </c>
      <c r="GD13" s="51">
        <f t="shared" ref="GD13:HI24" si="16">(BW13-BV13)/BV13</f>
        <v>0.27605321507760527</v>
      </c>
      <c r="GE13" s="51">
        <f t="shared" si="16"/>
        <v>7.0373588184187638E-2</v>
      </c>
      <c r="GF13" s="51">
        <f t="shared" si="16"/>
        <v>6.5746753246753234E-2</v>
      </c>
      <c r="GG13" s="51">
        <f t="shared" si="16"/>
        <v>1.5232292460015336E-2</v>
      </c>
      <c r="GH13" s="51">
        <f t="shared" si="16"/>
        <v>1.8754688672167945E-2</v>
      </c>
      <c r="GI13" s="51">
        <f t="shared" si="16"/>
        <v>4.5014727540500801E-2</v>
      </c>
      <c r="GJ13" s="51">
        <f t="shared" si="16"/>
        <v>6.68014910543787E-3</v>
      </c>
      <c r="GK13" s="51">
        <f t="shared" si="16"/>
        <v>7.0208104381181635E-2</v>
      </c>
      <c r="GL13" s="51">
        <f t="shared" si="16"/>
        <v>0.15223917692996974</v>
      </c>
      <c r="GM13" s="51">
        <f t="shared" si="16"/>
        <v>-6.4489944200673166E-2</v>
      </c>
      <c r="GN13" s="51">
        <f t="shared" si="16"/>
        <v>0.11098503695253817</v>
      </c>
      <c r="GO13" s="51">
        <f t="shared" si="16"/>
        <v>3.0251724495758997E-2</v>
      </c>
      <c r="GP13" s="51">
        <f t="shared" si="16"/>
        <v>4.3497145061456653E-2</v>
      </c>
      <c r="GQ13" s="51">
        <f t="shared" si="16"/>
        <v>2.3596515600738222E-2</v>
      </c>
      <c r="GR13" s="51">
        <f t="shared" si="16"/>
        <v>7.5411535630544424E-2</v>
      </c>
      <c r="GS13" s="51">
        <f t="shared" si="16"/>
        <v>-0.21597718447712677</v>
      </c>
      <c r="GT13" s="51">
        <f t="shared" si="16"/>
        <v>1.0094930648647294E-2</v>
      </c>
      <c r="GU13" s="51">
        <f t="shared" si="16"/>
        <v>0.14211039488651736</v>
      </c>
      <c r="GV13" s="51">
        <f t="shared" si="16"/>
        <v>0.12683487870236432</v>
      </c>
      <c r="GW13" s="51">
        <f t="shared" si="16"/>
        <v>9.606986899563328E-3</v>
      </c>
      <c r="GX13" s="51">
        <f t="shared" si="16"/>
        <v>0.24048442906574405</v>
      </c>
      <c r="GY13" s="51">
        <f t="shared" si="16"/>
        <v>-8.5034699467325378E-2</v>
      </c>
      <c r="GZ13" s="51">
        <f t="shared" si="16"/>
        <v>0.10089898164387837</v>
      </c>
      <c r="HA13" s="51">
        <f t="shared" si="16"/>
        <v>-7.4460542668635124E-2</v>
      </c>
      <c r="HB13" s="51">
        <f t="shared" si="16"/>
        <v>3.1722571691209574E-2</v>
      </c>
      <c r="HC13" s="51">
        <f t="shared" si="16"/>
        <v>4.1141838891703426E-2</v>
      </c>
      <c r="HD13" s="51">
        <f t="shared" si="16"/>
        <v>-0.84807705215115115</v>
      </c>
      <c r="HE13" s="51">
        <f t="shared" si="16"/>
        <v>4.9802297327148226</v>
      </c>
      <c r="HF13" s="51">
        <f t="shared" si="16"/>
        <v>1.895835257179803E-2</v>
      </c>
      <c r="HG13" s="51">
        <f t="shared" si="16"/>
        <v>-0.27419954142990494</v>
      </c>
      <c r="HH13" s="51">
        <f t="shared" si="16"/>
        <v>0.43886023948955505</v>
      </c>
      <c r="HI13" s="51">
        <f t="shared" si="16"/>
        <v>2.0158980856344492E-2</v>
      </c>
      <c r="HJ13" s="51">
        <f t="shared" si="1"/>
        <v>-9.1589611847869554E-2</v>
      </c>
      <c r="HK13" s="51">
        <f t="shared" si="1"/>
        <v>7.8340668601929078E-2</v>
      </c>
      <c r="HL13" s="51">
        <f t="shared" si="1"/>
        <v>1.7662996283302541E-2</v>
      </c>
      <c r="HM13" s="51">
        <f t="shared" si="1"/>
        <v>-0.12478798012065014</v>
      </c>
      <c r="HN13" s="51"/>
      <c r="HP13" s="51">
        <f t="shared" si="2"/>
        <v>0.19709859754501671</v>
      </c>
      <c r="HQ13" s="51">
        <f t="shared" si="3"/>
        <v>0.1624636626542636</v>
      </c>
      <c r="HR13" s="51">
        <f t="shared" si="4"/>
        <v>0.17736201814205238</v>
      </c>
      <c r="HS13" s="103">
        <f t="shared" si="5"/>
        <v>6.2962628418668717E-2</v>
      </c>
      <c r="HT13" s="79">
        <f t="shared" si="6"/>
        <v>3.0251724495758997E-2</v>
      </c>
      <c r="HU13" s="79">
        <f t="shared" si="7"/>
        <v>3.1722571691209574E-2</v>
      </c>
      <c r="HW13" s="104" t="s">
        <v>25</v>
      </c>
      <c r="HX13" s="16">
        <f>HU13</f>
        <v>3.1722571691209574E-2</v>
      </c>
      <c r="HY13" s="17" t="s">
        <v>108</v>
      </c>
    </row>
    <row r="14" spans="1:233" ht="15" customHeight="1" x14ac:dyDescent="0.2">
      <c r="A14" s="5" t="s">
        <v>120</v>
      </c>
      <c r="B14" s="111" t="s">
        <v>223</v>
      </c>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c r="BN14" s="102"/>
      <c r="BO14" s="102"/>
      <c r="BP14" s="102"/>
      <c r="BQ14" s="102"/>
      <c r="BR14" s="102"/>
      <c r="BS14" s="102"/>
      <c r="BT14" s="102"/>
      <c r="BU14" s="102"/>
      <c r="BV14" s="102"/>
      <c r="BW14" s="102"/>
      <c r="BX14" s="102"/>
      <c r="BY14" s="102"/>
      <c r="BZ14" s="102"/>
      <c r="CA14" s="102"/>
      <c r="CB14" s="112">
        <v>983000000</v>
      </c>
      <c r="CC14" s="112">
        <v>956000000</v>
      </c>
      <c r="CD14" s="112">
        <v>925000000</v>
      </c>
      <c r="CE14" s="112">
        <v>953000000</v>
      </c>
      <c r="CF14" s="112">
        <v>992000000</v>
      </c>
      <c r="CG14" s="112">
        <v>1030000000</v>
      </c>
      <c r="CH14" s="112">
        <v>1020000000</v>
      </c>
      <c r="CI14" s="112">
        <v>1070000000</v>
      </c>
      <c r="CJ14" s="112">
        <v>1050000000</v>
      </c>
      <c r="CK14" s="112">
        <v>1020000000</v>
      </c>
      <c r="CL14" s="112">
        <v>1080000000</v>
      </c>
      <c r="CM14" s="112">
        <v>1050000000</v>
      </c>
      <c r="CN14" s="112">
        <v>1100000000</v>
      </c>
      <c r="CO14" s="112">
        <v>1210000000</v>
      </c>
      <c r="CP14" s="112">
        <v>1360000000</v>
      </c>
      <c r="CQ14" s="112">
        <v>1550000000</v>
      </c>
      <c r="CR14" s="112">
        <v>1830000000</v>
      </c>
      <c r="CS14" s="112">
        <v>2040000000</v>
      </c>
      <c r="CT14" s="112">
        <v>2200000000</v>
      </c>
      <c r="CU14" s="112">
        <v>2220000000</v>
      </c>
      <c r="CV14" s="112">
        <v>2590000000</v>
      </c>
      <c r="CW14" s="112">
        <v>2940000000</v>
      </c>
      <c r="CX14" s="113">
        <v>2070000000</v>
      </c>
      <c r="CY14" s="113">
        <v>2200000000</v>
      </c>
      <c r="CZ14" s="113">
        <v>2340000000</v>
      </c>
      <c r="DA14" s="113">
        <v>2320000000</v>
      </c>
      <c r="DB14" s="113">
        <v>2350000000</v>
      </c>
      <c r="DC14" s="114">
        <v>2440000000</v>
      </c>
      <c r="DD14" s="114">
        <v>2460000000</v>
      </c>
      <c r="DE14" s="114">
        <v>2450000000</v>
      </c>
      <c r="DF14" s="114">
        <v>2470000000</v>
      </c>
      <c r="DG14" s="114">
        <v>2680000000</v>
      </c>
      <c r="DH14" s="115"/>
      <c r="DI14" s="116"/>
      <c r="DJ14" s="117"/>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1">
        <f t="shared" si="16"/>
        <v>-2.7466937945066123E-2</v>
      </c>
      <c r="GK14" s="51">
        <f t="shared" si="16"/>
        <v>-3.2426778242677826E-2</v>
      </c>
      <c r="GL14" s="51">
        <f t="shared" si="16"/>
        <v>3.027027027027027E-2</v>
      </c>
      <c r="GM14" s="51">
        <f t="shared" si="16"/>
        <v>4.0923399790136414E-2</v>
      </c>
      <c r="GN14" s="51">
        <f t="shared" si="16"/>
        <v>3.8306451612903226E-2</v>
      </c>
      <c r="GO14" s="51">
        <f t="shared" si="16"/>
        <v>-9.7087378640776691E-3</v>
      </c>
      <c r="GP14" s="51">
        <f t="shared" si="16"/>
        <v>4.9019607843137254E-2</v>
      </c>
      <c r="GQ14" s="51">
        <f t="shared" si="16"/>
        <v>-1.8691588785046728E-2</v>
      </c>
      <c r="GR14" s="51">
        <f t="shared" si="16"/>
        <v>-2.8571428571428571E-2</v>
      </c>
      <c r="GS14" s="51">
        <f t="shared" si="16"/>
        <v>5.8823529411764705E-2</v>
      </c>
      <c r="GT14" s="51">
        <f t="shared" si="16"/>
        <v>-2.7777777777777776E-2</v>
      </c>
      <c r="GU14" s="51">
        <f t="shared" si="16"/>
        <v>4.7619047619047616E-2</v>
      </c>
      <c r="GV14" s="51">
        <f t="shared" si="16"/>
        <v>0.1</v>
      </c>
      <c r="GW14" s="51">
        <f t="shared" si="16"/>
        <v>0.12396694214876033</v>
      </c>
      <c r="GX14" s="51">
        <f t="shared" si="16"/>
        <v>0.13970588235294118</v>
      </c>
      <c r="GY14" s="51">
        <f t="shared" si="16"/>
        <v>0.18064516129032257</v>
      </c>
      <c r="GZ14" s="51">
        <f t="shared" si="16"/>
        <v>0.11475409836065574</v>
      </c>
      <c r="HA14" s="51">
        <f t="shared" si="16"/>
        <v>7.8431372549019607E-2</v>
      </c>
      <c r="HB14" s="51">
        <f t="shared" si="16"/>
        <v>9.0909090909090905E-3</v>
      </c>
      <c r="HC14" s="51">
        <f t="shared" si="16"/>
        <v>0.16666666666666666</v>
      </c>
      <c r="HD14" s="51">
        <f t="shared" si="16"/>
        <v>0.13513513513513514</v>
      </c>
      <c r="HE14" s="51">
        <f t="shared" si="16"/>
        <v>-0.29591836734693877</v>
      </c>
      <c r="HF14" s="51">
        <f t="shared" si="16"/>
        <v>6.280193236714976E-2</v>
      </c>
      <c r="HG14" s="51">
        <f t="shared" si="16"/>
        <v>6.363636363636363E-2</v>
      </c>
      <c r="HH14" s="51">
        <f t="shared" si="16"/>
        <v>-8.5470085470085479E-3</v>
      </c>
      <c r="HI14" s="51">
        <f t="shared" si="16"/>
        <v>1.2931034482758621E-2</v>
      </c>
      <c r="HJ14" s="51">
        <f t="shared" si="1"/>
        <v>3.8297872340425532E-2</v>
      </c>
      <c r="HK14" s="51">
        <f t="shared" si="1"/>
        <v>8.1967213114754103E-3</v>
      </c>
      <c r="HL14" s="51">
        <f t="shared" si="1"/>
        <v>-4.0650406504065045E-3</v>
      </c>
      <c r="HM14" s="51">
        <f t="shared" si="1"/>
        <v>8.1632653061224497E-3</v>
      </c>
      <c r="HN14" s="51">
        <f t="shared" si="1"/>
        <v>8.5020242914979755E-2</v>
      </c>
      <c r="HP14" s="51">
        <f t="shared" si="2"/>
        <v>3.6749427121629555E-2</v>
      </c>
      <c r="HQ14" s="51">
        <f t="shared" si="3"/>
        <v>3.6749427121629555E-2</v>
      </c>
      <c r="HR14" s="51">
        <f t="shared" si="4"/>
        <v>3.9142552279820698E-2</v>
      </c>
      <c r="HS14" s="103">
        <f t="shared" si="5"/>
        <v>3.8306451612903226E-2</v>
      </c>
      <c r="HT14" s="79">
        <f t="shared" si="6"/>
        <v>3.8306451612903226E-2</v>
      </c>
      <c r="HU14" s="79">
        <f t="shared" si="7"/>
        <v>4.0923399790136414E-2</v>
      </c>
      <c r="HW14" s="118" t="s">
        <v>26</v>
      </c>
      <c r="HX14" s="16">
        <v>3.8306451612903199E-2</v>
      </c>
      <c r="HY14" s="17" t="s">
        <v>105</v>
      </c>
    </row>
    <row r="15" spans="1:233" ht="15" customHeight="1" x14ac:dyDescent="0.2">
      <c r="A15" s="48" t="s">
        <v>120</v>
      </c>
      <c r="B15" s="119" t="s">
        <v>27</v>
      </c>
      <c r="C15" s="102"/>
      <c r="D15" s="102"/>
      <c r="E15" s="102"/>
      <c r="F15" s="102"/>
      <c r="G15" s="102"/>
      <c r="H15" s="102"/>
      <c r="I15" s="102"/>
      <c r="J15" s="102"/>
      <c r="K15" s="102"/>
      <c r="L15" s="102"/>
      <c r="M15" s="102"/>
      <c r="N15" s="102"/>
      <c r="O15" s="102"/>
      <c r="P15" s="102"/>
      <c r="Q15" s="102"/>
      <c r="R15" s="102"/>
      <c r="S15" s="102"/>
      <c r="T15" s="102"/>
      <c r="U15" s="102"/>
      <c r="V15" s="102"/>
      <c r="W15" s="102"/>
      <c r="X15" s="102"/>
      <c r="Y15" s="102">
        <v>272400</v>
      </c>
      <c r="Z15" s="102">
        <v>247430</v>
      </c>
      <c r="AA15" s="102">
        <v>222460</v>
      </c>
      <c r="AB15" s="102">
        <v>197490</v>
      </c>
      <c r="AC15" s="102">
        <v>172520</v>
      </c>
      <c r="AD15" s="102">
        <v>257872</v>
      </c>
      <c r="AE15" s="102">
        <v>343678</v>
      </c>
      <c r="AF15" s="102">
        <v>429484</v>
      </c>
      <c r="AG15" s="102">
        <v>515290</v>
      </c>
      <c r="AH15" s="102">
        <v>513474</v>
      </c>
      <c r="AI15" s="102">
        <v>512112</v>
      </c>
      <c r="AJ15" s="102">
        <v>511204</v>
      </c>
      <c r="AK15" s="102">
        <v>509388</v>
      </c>
      <c r="AL15" s="102">
        <v>499400</v>
      </c>
      <c r="AM15" s="102">
        <v>454000</v>
      </c>
      <c r="AN15" s="102">
        <v>452320.2</v>
      </c>
      <c r="AO15" s="102">
        <v>477154</v>
      </c>
      <c r="AP15" s="102">
        <v>528183.6</v>
      </c>
      <c r="AQ15" s="102">
        <v>673690.6</v>
      </c>
      <c r="AR15" s="102">
        <v>629516.4</v>
      </c>
      <c r="AS15" s="102">
        <v>732075</v>
      </c>
      <c r="AT15" s="102">
        <v>871997.8</v>
      </c>
      <c r="AU15" s="102">
        <v>880760</v>
      </c>
      <c r="AV15" s="102">
        <v>681000</v>
      </c>
      <c r="AW15" s="102">
        <v>780880</v>
      </c>
      <c r="AX15" s="102">
        <v>812660</v>
      </c>
      <c r="AY15" s="102">
        <v>953400</v>
      </c>
      <c r="AZ15" s="102">
        <v>948860</v>
      </c>
      <c r="BA15" s="102">
        <v>921620</v>
      </c>
      <c r="BB15" s="102">
        <v>953400</v>
      </c>
      <c r="BC15" s="102">
        <v>771800</v>
      </c>
      <c r="BD15" s="102">
        <v>862600</v>
      </c>
      <c r="BE15" s="102">
        <v>953400</v>
      </c>
      <c r="BF15" s="102">
        <v>953400</v>
      </c>
      <c r="BG15" s="102">
        <v>1225800</v>
      </c>
      <c r="BH15" s="102">
        <v>1149000</v>
      </c>
      <c r="BI15" s="102">
        <v>1073000</v>
      </c>
      <c r="BJ15" s="102">
        <v>1094000</v>
      </c>
      <c r="BK15" s="102">
        <v>1115000</v>
      </c>
      <c r="BL15" s="102">
        <v>1136000</v>
      </c>
      <c r="BM15" s="102">
        <v>1156000</v>
      </c>
      <c r="BN15" s="102">
        <v>1204000</v>
      </c>
      <c r="BO15" s="102">
        <v>1252000</v>
      </c>
      <c r="BP15" s="102">
        <v>1300000</v>
      </c>
      <c r="BQ15" s="102">
        <v>1348000</v>
      </c>
      <c r="BR15" s="102">
        <v>1361000</v>
      </c>
      <c r="BS15" s="102">
        <v>1374000</v>
      </c>
      <c r="BT15" s="102">
        <v>1387000</v>
      </c>
      <c r="BU15" s="102">
        <v>1400000</v>
      </c>
      <c r="BV15" s="102">
        <v>1424000</v>
      </c>
      <c r="BW15" s="102">
        <v>1447000</v>
      </c>
      <c r="BX15" s="102">
        <v>1470000</v>
      </c>
      <c r="BY15" s="102">
        <v>1493000</v>
      </c>
      <c r="BZ15" s="102">
        <v>1568000</v>
      </c>
      <c r="CA15" s="102">
        <v>1642000</v>
      </c>
      <c r="CB15" s="102">
        <v>1790000</v>
      </c>
      <c r="CC15" s="102">
        <v>1630000</v>
      </c>
      <c r="CD15" s="102">
        <v>1730000</v>
      </c>
      <c r="CE15" s="102">
        <v>1760000</v>
      </c>
      <c r="CF15" s="102">
        <v>1880000</v>
      </c>
      <c r="CG15" s="102">
        <v>2070000</v>
      </c>
      <c r="CH15" s="102">
        <v>2150000</v>
      </c>
      <c r="CI15" s="102">
        <v>1640000</v>
      </c>
      <c r="CJ15" s="35">
        <v>1450000</v>
      </c>
      <c r="CK15" s="35">
        <v>1430000</v>
      </c>
      <c r="CL15" s="35">
        <v>1410000</v>
      </c>
      <c r="CM15" s="35">
        <v>1580000</v>
      </c>
      <c r="CN15" s="35">
        <v>1510000</v>
      </c>
      <c r="CO15" s="102">
        <v>1430000</v>
      </c>
      <c r="CP15" s="102">
        <v>1330000</v>
      </c>
      <c r="CQ15" s="102">
        <v>1390000</v>
      </c>
      <c r="CR15" s="102">
        <v>1540000</v>
      </c>
      <c r="CS15" s="102">
        <v>1560000</v>
      </c>
      <c r="CT15" s="102">
        <v>1510000</v>
      </c>
      <c r="CU15" s="102">
        <v>2280000</v>
      </c>
      <c r="CV15" s="102">
        <v>2150000</v>
      </c>
      <c r="CW15" s="102">
        <v>1980000</v>
      </c>
      <c r="CX15" s="102">
        <v>2237000</v>
      </c>
      <c r="CY15" s="102">
        <v>2170000</v>
      </c>
      <c r="CZ15" s="102">
        <v>2250000</v>
      </c>
      <c r="DA15" s="102">
        <v>2190000</v>
      </c>
      <c r="DB15" s="102">
        <v>2250000</v>
      </c>
      <c r="DC15" s="102">
        <v>2710000</v>
      </c>
      <c r="DD15" s="102">
        <v>2810000</v>
      </c>
      <c r="DE15" s="102">
        <v>2880000</v>
      </c>
      <c r="DF15" s="35">
        <v>3120000</v>
      </c>
      <c r="DG15" s="102">
        <v>3000000</v>
      </c>
      <c r="DH15" s="5"/>
      <c r="DJ15" s="5"/>
      <c r="DK15" s="5"/>
      <c r="DL15" s="5"/>
      <c r="DM15" s="5"/>
      <c r="DN15" s="5"/>
      <c r="DO15" s="5"/>
      <c r="DP15" s="5"/>
      <c r="DQ15" s="5"/>
      <c r="DR15" s="5"/>
      <c r="DS15" s="5"/>
      <c r="DT15" s="5"/>
      <c r="DU15" s="5"/>
      <c r="DV15" s="5"/>
      <c r="DW15" s="5"/>
      <c r="DX15" s="5"/>
      <c r="DY15" s="5"/>
      <c r="DZ15" s="5"/>
      <c r="EA15" s="5"/>
      <c r="EB15" s="5"/>
      <c r="EC15" s="5"/>
      <c r="ED15" s="5"/>
      <c r="EE15" s="5"/>
      <c r="EF15" s="5"/>
      <c r="EG15" s="51">
        <f t="shared" ref="EG15:GI17" si="17">(Z15-Y15)/Y15</f>
        <v>-9.166666666666666E-2</v>
      </c>
      <c r="EH15" s="51">
        <f t="shared" si="17"/>
        <v>-0.10091743119266056</v>
      </c>
      <c r="EI15" s="51">
        <f t="shared" si="17"/>
        <v>-0.11224489795918367</v>
      </c>
      <c r="EJ15" s="51">
        <f t="shared" si="17"/>
        <v>-0.12643678160919541</v>
      </c>
      <c r="EK15" s="51">
        <f t="shared" si="17"/>
        <v>0.49473684210526314</v>
      </c>
      <c r="EL15" s="51">
        <f t="shared" si="17"/>
        <v>0.33274647887323944</v>
      </c>
      <c r="EM15" s="51">
        <f t="shared" si="17"/>
        <v>0.24966974900924702</v>
      </c>
      <c r="EN15" s="51">
        <f t="shared" si="17"/>
        <v>0.19978858350951373</v>
      </c>
      <c r="EO15" s="51">
        <f t="shared" si="17"/>
        <v>-3.524229074889868E-3</v>
      </c>
      <c r="EP15" s="51">
        <f t="shared" si="17"/>
        <v>-2.6525198938992041E-3</v>
      </c>
      <c r="EQ15" s="51">
        <f t="shared" si="17"/>
        <v>-1.7730496453900709E-3</v>
      </c>
      <c r="ER15" s="51">
        <f t="shared" si="17"/>
        <v>-3.552397868561279E-3</v>
      </c>
      <c r="ES15" s="51">
        <f t="shared" si="17"/>
        <v>-1.9607843137254902E-2</v>
      </c>
      <c r="ET15" s="51">
        <f t="shared" si="17"/>
        <v>-9.0909090909090912E-2</v>
      </c>
      <c r="EU15" s="51">
        <f t="shared" si="17"/>
        <v>-3.6999999999999741E-3</v>
      </c>
      <c r="EV15" s="51">
        <f t="shared" si="17"/>
        <v>5.4903141624008805E-2</v>
      </c>
      <c r="EW15" s="51">
        <f t="shared" si="17"/>
        <v>0.10694576593720262</v>
      </c>
      <c r="EX15" s="51">
        <f t="shared" si="17"/>
        <v>0.27548564552174659</v>
      </c>
      <c r="EY15" s="51">
        <f t="shared" si="17"/>
        <v>-6.5570456230204119E-2</v>
      </c>
      <c r="EZ15" s="51">
        <f t="shared" si="17"/>
        <v>0.16291648636953696</v>
      </c>
      <c r="FA15" s="51">
        <f t="shared" si="17"/>
        <v>0.19113178294573649</v>
      </c>
      <c r="FB15" s="51">
        <f t="shared" si="17"/>
        <v>1.0048419846930752E-2</v>
      </c>
      <c r="FC15" s="51">
        <f t="shared" si="17"/>
        <v>-0.22680412371134021</v>
      </c>
      <c r="FD15" s="51">
        <f t="shared" si="17"/>
        <v>0.14666666666666667</v>
      </c>
      <c r="FE15" s="51">
        <f t="shared" si="17"/>
        <v>4.0697674418604654E-2</v>
      </c>
      <c r="FF15" s="51">
        <f t="shared" si="17"/>
        <v>0.17318435754189945</v>
      </c>
      <c r="FG15" s="51">
        <f t="shared" si="17"/>
        <v>-4.7619047619047623E-3</v>
      </c>
      <c r="FH15" s="51">
        <f t="shared" si="17"/>
        <v>-2.8708133971291867E-2</v>
      </c>
      <c r="FI15" s="51">
        <f t="shared" si="17"/>
        <v>3.4482758620689655E-2</v>
      </c>
      <c r="FJ15" s="51">
        <f t="shared" si="17"/>
        <v>-0.19047619047619047</v>
      </c>
      <c r="FK15" s="51">
        <f t="shared" si="17"/>
        <v>0.11764705882352941</v>
      </c>
      <c r="FL15" s="51">
        <f t="shared" si="17"/>
        <v>0.10526315789473684</v>
      </c>
      <c r="FM15" s="51">
        <f t="shared" si="17"/>
        <v>0</v>
      </c>
      <c r="FN15" s="51">
        <f t="shared" si="17"/>
        <v>0.2857142857142857</v>
      </c>
      <c r="FO15" s="51">
        <f t="shared" si="17"/>
        <v>-6.2652961331375434E-2</v>
      </c>
      <c r="FP15" s="51">
        <f t="shared" si="17"/>
        <v>-6.6144473455178418E-2</v>
      </c>
      <c r="FQ15" s="51">
        <f t="shared" si="17"/>
        <v>1.9571295433364399E-2</v>
      </c>
      <c r="FR15" s="51">
        <f t="shared" si="17"/>
        <v>1.9195612431444242E-2</v>
      </c>
      <c r="FS15" s="51">
        <f t="shared" si="17"/>
        <v>1.883408071748879E-2</v>
      </c>
      <c r="FT15" s="51">
        <f t="shared" si="17"/>
        <v>1.7605633802816902E-2</v>
      </c>
      <c r="FU15" s="51">
        <f t="shared" si="17"/>
        <v>4.1522491349480967E-2</v>
      </c>
      <c r="FV15" s="51">
        <f t="shared" si="17"/>
        <v>3.9867109634551492E-2</v>
      </c>
      <c r="FW15" s="51">
        <f t="shared" si="17"/>
        <v>3.8338658146964855E-2</v>
      </c>
      <c r="FX15" s="51">
        <f t="shared" si="17"/>
        <v>3.6923076923076927E-2</v>
      </c>
      <c r="FY15" s="51">
        <f t="shared" si="17"/>
        <v>9.6439169139465875E-3</v>
      </c>
      <c r="FZ15" s="51">
        <f t="shared" si="17"/>
        <v>9.5518001469507719E-3</v>
      </c>
      <c r="GA15" s="51">
        <f t="shared" si="17"/>
        <v>9.4614264919941782E-3</v>
      </c>
      <c r="GB15" s="51">
        <f t="shared" si="17"/>
        <v>9.372746935832732E-3</v>
      </c>
      <c r="GC15" s="51">
        <f t="shared" si="17"/>
        <v>1.7142857142857144E-2</v>
      </c>
      <c r="GD15" s="51">
        <f t="shared" si="17"/>
        <v>1.6151685393258428E-2</v>
      </c>
      <c r="GE15" s="51">
        <f t="shared" si="17"/>
        <v>1.5894955079474776E-2</v>
      </c>
      <c r="GF15" s="51">
        <f t="shared" si="17"/>
        <v>1.5646258503401362E-2</v>
      </c>
      <c r="GG15" s="51">
        <f t="shared" si="17"/>
        <v>5.0234427327528468E-2</v>
      </c>
      <c r="GH15" s="51">
        <f t="shared" si="17"/>
        <v>4.7193877551020405E-2</v>
      </c>
      <c r="GI15" s="51">
        <f t="shared" si="17"/>
        <v>9.0133982947624841E-2</v>
      </c>
      <c r="GJ15" s="51">
        <f t="shared" si="16"/>
        <v>-8.9385474860335198E-2</v>
      </c>
      <c r="GK15" s="51">
        <f t="shared" si="16"/>
        <v>6.1349693251533742E-2</v>
      </c>
      <c r="GL15" s="51">
        <f t="shared" si="16"/>
        <v>1.7341040462427744E-2</v>
      </c>
      <c r="GM15" s="51">
        <f t="shared" si="16"/>
        <v>6.8181818181818177E-2</v>
      </c>
      <c r="GN15" s="51">
        <f t="shared" si="16"/>
        <v>0.10106382978723404</v>
      </c>
      <c r="GO15" s="51">
        <f t="shared" si="16"/>
        <v>3.864734299516908E-2</v>
      </c>
      <c r="GP15" s="51">
        <f t="shared" si="16"/>
        <v>-0.23720930232558141</v>
      </c>
      <c r="GQ15" s="51">
        <f t="shared" si="16"/>
        <v>-0.11585365853658537</v>
      </c>
      <c r="GR15" s="51">
        <f t="shared" si="16"/>
        <v>-1.3793103448275862E-2</v>
      </c>
      <c r="GS15" s="51">
        <f t="shared" si="16"/>
        <v>-1.3986013986013986E-2</v>
      </c>
      <c r="GT15" s="51">
        <f t="shared" si="16"/>
        <v>0.12056737588652482</v>
      </c>
      <c r="GU15" s="51">
        <f t="shared" si="16"/>
        <v>-4.4303797468354431E-2</v>
      </c>
      <c r="GV15" s="51">
        <f t="shared" si="16"/>
        <v>-5.2980132450331126E-2</v>
      </c>
      <c r="GW15" s="51">
        <f t="shared" si="16"/>
        <v>-6.9930069930069935E-2</v>
      </c>
      <c r="GX15" s="51">
        <f t="shared" si="16"/>
        <v>4.5112781954887216E-2</v>
      </c>
      <c r="GY15" s="51">
        <f t="shared" si="16"/>
        <v>0.1079136690647482</v>
      </c>
      <c r="GZ15" s="51">
        <f t="shared" si="16"/>
        <v>1.2987012987012988E-2</v>
      </c>
      <c r="HA15" s="51">
        <f t="shared" si="16"/>
        <v>-3.2051282051282048E-2</v>
      </c>
      <c r="HB15" s="51">
        <f t="shared" si="16"/>
        <v>0.50993377483443714</v>
      </c>
      <c r="HC15" s="51">
        <f t="shared" si="16"/>
        <v>-5.701754385964912E-2</v>
      </c>
      <c r="HD15" s="51">
        <f t="shared" si="1"/>
        <v>-7.9069767441860464E-2</v>
      </c>
      <c r="HE15" s="51">
        <f t="shared" si="1"/>
        <v>0.1297979797979798</v>
      </c>
      <c r="HF15" s="51">
        <f t="shared" si="1"/>
        <v>-2.9950827000447027E-2</v>
      </c>
      <c r="HG15" s="51">
        <f t="shared" si="1"/>
        <v>3.6866359447004608E-2</v>
      </c>
      <c r="HH15" s="51">
        <f t="shared" si="1"/>
        <v>-2.6666666666666668E-2</v>
      </c>
      <c r="HI15" s="51">
        <f t="shared" si="1"/>
        <v>2.7397260273972601E-2</v>
      </c>
      <c r="HJ15" s="51">
        <f t="shared" si="1"/>
        <v>0.20444444444444446</v>
      </c>
      <c r="HK15" s="51">
        <f t="shared" si="1"/>
        <v>3.6900369003690037E-2</v>
      </c>
      <c r="HL15" s="51">
        <f t="shared" si="1"/>
        <v>2.491103202846975E-2</v>
      </c>
      <c r="HM15" s="51">
        <f t="shared" si="1"/>
        <v>8.3333333333333329E-2</v>
      </c>
      <c r="HN15" s="51">
        <f t="shared" si="1"/>
        <v>-3.8461538461538464E-2</v>
      </c>
      <c r="HP15" s="51">
        <f t="shared" si="2"/>
        <v>3.5212808554062044E-2</v>
      </c>
      <c r="HQ15" s="51">
        <f t="shared" si="3"/>
        <v>2.5506997568603793E-2</v>
      </c>
      <c r="HR15" s="51">
        <f t="shared" si="4"/>
        <v>2.3599318561117275E-2</v>
      </c>
      <c r="HS15" s="103">
        <f t="shared" si="5"/>
        <v>1.7241948802642446E-2</v>
      </c>
      <c r="HT15" s="79">
        <f t="shared" si="6"/>
        <v>2.1126036245448745E-2</v>
      </c>
      <c r="HU15" s="120">
        <f t="shared" si="7"/>
        <v>1.5164026724720366E-2</v>
      </c>
      <c r="HW15" s="121" t="s">
        <v>27</v>
      </c>
      <c r="HX15" s="16">
        <v>1.68396386653079E-2</v>
      </c>
      <c r="HY15" s="17" t="s">
        <v>105</v>
      </c>
    </row>
    <row r="16" spans="1:233" ht="15" customHeight="1" x14ac:dyDescent="0.2">
      <c r="A16" s="5" t="s">
        <v>106</v>
      </c>
      <c r="B16" s="48" t="s">
        <v>28</v>
      </c>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v>6632.71741861793</v>
      </c>
      <c r="BN16" s="102">
        <v>6188.0706308129102</v>
      </c>
      <c r="BO16" s="102">
        <v>7876.1749608731998</v>
      </c>
      <c r="BP16" s="102">
        <v>8517.7655058579094</v>
      </c>
      <c r="BQ16" s="102">
        <v>9589.1950270981397</v>
      </c>
      <c r="BR16" s="102">
        <v>8781.52799701605</v>
      </c>
      <c r="BS16" s="102">
        <v>8959.0978412050499</v>
      </c>
      <c r="BT16" s="102">
        <v>8373.77871957569</v>
      </c>
      <c r="BU16" s="102">
        <v>10174.832539442399</v>
      </c>
      <c r="BV16" s="102">
        <v>13382.0424948112</v>
      </c>
      <c r="BW16" s="102">
        <v>12696.850669241399</v>
      </c>
      <c r="BX16" s="102">
        <v>11730.6732395741</v>
      </c>
      <c r="BY16" s="102">
        <v>12954.3827128514</v>
      </c>
      <c r="BZ16" s="102">
        <v>11765.2347477898</v>
      </c>
      <c r="CA16" s="102">
        <v>15371.7343717067</v>
      </c>
      <c r="CB16" s="102">
        <v>16312.2692407707</v>
      </c>
      <c r="CC16" s="102">
        <v>12713.7266561496</v>
      </c>
      <c r="CD16" s="102">
        <v>13058.930405470001</v>
      </c>
      <c r="CE16" s="102">
        <v>13930.166947093199</v>
      </c>
      <c r="CF16" s="102">
        <v>13806.2791928802</v>
      </c>
      <c r="CG16" s="102">
        <v>17891.560175938001</v>
      </c>
      <c r="CH16" s="102">
        <v>18568.112732937901</v>
      </c>
      <c r="CI16" s="102">
        <v>15137.629199700001</v>
      </c>
      <c r="CJ16" s="102">
        <v>16070.955256175001</v>
      </c>
      <c r="CK16" s="102">
        <v>16304.9076279244</v>
      </c>
      <c r="CL16" s="102">
        <v>17155.482624477299</v>
      </c>
      <c r="CM16" s="102">
        <v>18874.086465732598</v>
      </c>
      <c r="CN16" s="102">
        <v>20494.6321061038</v>
      </c>
      <c r="CO16" s="102">
        <v>19964.320565522401</v>
      </c>
      <c r="CP16" s="102">
        <v>21490.6476230841</v>
      </c>
      <c r="CQ16" s="102">
        <v>25482.668606196901</v>
      </c>
      <c r="CR16" s="102">
        <v>28661.2780540159</v>
      </c>
      <c r="CS16" s="102">
        <v>26062.9915345892</v>
      </c>
      <c r="CT16" s="102">
        <v>26679.026407063498</v>
      </c>
      <c r="CU16" s="102">
        <v>27484.5898755667</v>
      </c>
      <c r="CV16" s="102">
        <v>25285.466828046901</v>
      </c>
      <c r="CW16" s="102">
        <v>22827.2201244149</v>
      </c>
      <c r="CX16" s="102">
        <v>22448.759296754601</v>
      </c>
      <c r="CY16" s="102">
        <v>21455.1956611364</v>
      </c>
      <c r="CZ16" s="102">
        <v>31705.708241001099</v>
      </c>
      <c r="DA16" s="102">
        <v>32736.037733190798</v>
      </c>
      <c r="DB16" s="102">
        <v>34128.085766357799</v>
      </c>
      <c r="DC16" s="102">
        <v>37807.565504720696</v>
      </c>
      <c r="DD16" s="102">
        <v>53186.795786374998</v>
      </c>
      <c r="DE16" s="102">
        <v>53745.631434377603</v>
      </c>
      <c r="DF16" s="35">
        <v>53682.004708007902</v>
      </c>
      <c r="DG16" s="102"/>
      <c r="DH16" s="5"/>
      <c r="DJ16" s="5"/>
      <c r="DK16" s="51"/>
      <c r="DL16" s="51"/>
      <c r="DM16" s="51"/>
      <c r="DN16" s="51"/>
      <c r="DO16" s="51"/>
      <c r="DP16" s="51"/>
      <c r="DQ16" s="51"/>
      <c r="DR16" s="51"/>
      <c r="DS16" s="51"/>
      <c r="DT16" s="51"/>
      <c r="DU16" s="51"/>
      <c r="DV16" s="51"/>
      <c r="DW16" s="51"/>
      <c r="DX16" s="51"/>
      <c r="DY16" s="51"/>
      <c r="DZ16" s="51"/>
      <c r="EA16" s="51"/>
      <c r="EB16" s="51"/>
      <c r="EC16" s="51"/>
      <c r="ED16" s="51"/>
      <c r="EE16" s="51"/>
      <c r="EF16" s="51"/>
      <c r="EG16" s="51"/>
      <c r="EH16" s="51"/>
      <c r="EI16" s="51"/>
      <c r="EJ16" s="51"/>
      <c r="EK16" s="51"/>
      <c r="EL16" s="51"/>
      <c r="EM16" s="51"/>
      <c r="EN16" s="51"/>
      <c r="EO16" s="51"/>
      <c r="EP16" s="51"/>
      <c r="EQ16" s="51"/>
      <c r="ER16" s="51"/>
      <c r="ES16" s="51"/>
      <c r="ET16" s="51"/>
      <c r="EU16" s="51"/>
      <c r="EV16" s="51"/>
      <c r="EW16" s="51"/>
      <c r="EX16" s="51"/>
      <c r="EY16" s="51"/>
      <c r="EZ16" s="51"/>
      <c r="FA16" s="51"/>
      <c r="FB16" s="51"/>
      <c r="FC16" s="51"/>
      <c r="FD16" s="51"/>
      <c r="FE16" s="51"/>
      <c r="FF16" s="51"/>
      <c r="FG16" s="51"/>
      <c r="FH16" s="51"/>
      <c r="FI16" s="51"/>
      <c r="FJ16" s="51"/>
      <c r="FK16" s="51"/>
      <c r="FL16" s="51"/>
      <c r="FM16" s="51"/>
      <c r="FN16" s="51"/>
      <c r="FO16" s="51"/>
      <c r="FP16" s="51"/>
      <c r="FQ16" s="51"/>
      <c r="FR16" s="51"/>
      <c r="FS16" s="51"/>
      <c r="FT16" s="51"/>
      <c r="FU16" s="51">
        <f t="shared" si="17"/>
        <v>-6.7038403680051789E-2</v>
      </c>
      <c r="FV16" s="51">
        <f t="shared" si="17"/>
        <v>0.27279978377340014</v>
      </c>
      <c r="FW16" s="51">
        <f t="shared" si="17"/>
        <v>8.1459661342208056E-2</v>
      </c>
      <c r="FX16" s="51">
        <f t="shared" si="17"/>
        <v>0.1257876282815461</v>
      </c>
      <c r="FY16" s="51">
        <f t="shared" si="17"/>
        <v>-8.4226781059275641E-2</v>
      </c>
      <c r="FZ16" s="51">
        <f t="shared" si="17"/>
        <v>2.0220836766601198E-2</v>
      </c>
      <c r="GA16" s="51">
        <f t="shared" si="17"/>
        <v>-6.5332372969221994E-2</v>
      </c>
      <c r="GB16" s="51">
        <f t="shared" si="17"/>
        <v>0.2150825666859717</v>
      </c>
      <c r="GC16" s="51">
        <f t="shared" si="17"/>
        <v>0.31521009735896466</v>
      </c>
      <c r="GD16" s="51">
        <f t="shared" si="17"/>
        <v>-5.120233520671294E-2</v>
      </c>
      <c r="GE16" s="51">
        <f t="shared" si="17"/>
        <v>-7.6095833119302625E-2</v>
      </c>
      <c r="GF16" s="51">
        <f t="shared" si="17"/>
        <v>0.10431707100569863</v>
      </c>
      <c r="GG16" s="51">
        <f t="shared" si="17"/>
        <v>-9.1795031181370418E-2</v>
      </c>
      <c r="GH16" s="51">
        <f t="shared" si="17"/>
        <v>0.30653868802697809</v>
      </c>
      <c r="GI16" s="51">
        <f t="shared" si="17"/>
        <v>6.1185995432965198E-2</v>
      </c>
      <c r="GJ16" s="51">
        <f t="shared" si="16"/>
        <v>-0.22060343239228444</v>
      </c>
      <c r="GK16" s="51">
        <f t="shared" si="16"/>
        <v>2.7152050587262423E-2</v>
      </c>
      <c r="GL16" s="51">
        <f t="shared" si="16"/>
        <v>6.6715765730573418E-2</v>
      </c>
      <c r="GM16" s="51">
        <f t="shared" si="16"/>
        <v>-8.8934866813531639E-3</v>
      </c>
      <c r="GN16" s="51">
        <f t="shared" si="16"/>
        <v>0.29590021511114678</v>
      </c>
      <c r="GO16" s="51">
        <f t="shared" si="16"/>
        <v>3.7814061509838744E-2</v>
      </c>
      <c r="GP16" s="51">
        <f t="shared" si="16"/>
        <v>-0.18475133055135859</v>
      </c>
      <c r="GQ16" s="51">
        <f t="shared" si="16"/>
        <v>6.1656025799171815E-2</v>
      </c>
      <c r="GR16" s="51">
        <f t="shared" si="16"/>
        <v>1.4557465192338647E-2</v>
      </c>
      <c r="GS16" s="51">
        <f t="shared" si="16"/>
        <v>5.2166808666623328E-2</v>
      </c>
      <c r="GT16" s="51">
        <f t="shared" si="16"/>
        <v>0.10017811092083234</v>
      </c>
      <c r="GU16" s="51">
        <f t="shared" si="16"/>
        <v>8.5860878263614535E-2</v>
      </c>
      <c r="GV16" s="51">
        <f t="shared" si="16"/>
        <v>-2.5875631132869132E-2</v>
      </c>
      <c r="GW16" s="51">
        <f t="shared" si="16"/>
        <v>7.6452742408755242E-2</v>
      </c>
      <c r="GX16" s="51">
        <f t="shared" si="16"/>
        <v>0.1857561974458502</v>
      </c>
      <c r="GY16" s="51">
        <f t="shared" si="16"/>
        <v>0.12473612936464674</v>
      </c>
      <c r="GZ16" s="51">
        <f t="shared" si="16"/>
        <v>-9.0654942690618731E-2</v>
      </c>
      <c r="HA16" s="51">
        <f t="shared" si="16"/>
        <v>2.3636383860875465E-2</v>
      </c>
      <c r="HB16" s="51">
        <f t="shared" si="16"/>
        <v>3.019463514942667E-2</v>
      </c>
      <c r="HC16" s="51">
        <f t="shared" si="16"/>
        <v>-8.0012947527180647E-2</v>
      </c>
      <c r="HD16" s="51">
        <f t="shared" si="16"/>
        <v>-9.7219747626145811E-2</v>
      </c>
      <c r="HE16" s="51">
        <f t="shared" si="16"/>
        <v>-1.6579365581861447E-2</v>
      </c>
      <c r="HF16" s="51">
        <f t="shared" si="16"/>
        <v>-4.4259178090160153E-2</v>
      </c>
      <c r="HG16" s="51">
        <f t="shared" si="16"/>
        <v>0.47776364950296463</v>
      </c>
      <c r="HH16" s="51">
        <f t="shared" si="16"/>
        <v>3.2496655944663645E-2</v>
      </c>
      <c r="HI16" s="51">
        <f t="shared" si="1"/>
        <v>4.2523412409059345E-2</v>
      </c>
      <c r="HJ16" s="51">
        <f t="shared" si="1"/>
        <v>0.10781383296891478</v>
      </c>
      <c r="HK16" s="51">
        <f t="shared" si="1"/>
        <v>0.40677652941536352</v>
      </c>
      <c r="HL16" s="51">
        <f t="shared" si="1"/>
        <v>1.0507037315185725E-2</v>
      </c>
      <c r="HM16" s="51">
        <f t="shared" si="1"/>
        <v>-1.1838492668448401E-3</v>
      </c>
      <c r="HN16" s="51"/>
      <c r="HP16" s="51">
        <f t="shared" si="2"/>
        <v>5.6834138832996206E-2</v>
      </c>
      <c r="HQ16" s="51">
        <f t="shared" si="3"/>
        <v>5.005840875675472E-2</v>
      </c>
      <c r="HR16" s="51">
        <f t="shared" si="4"/>
        <v>5.3189223565898461E-2</v>
      </c>
      <c r="HS16" s="103">
        <f t="shared" si="5"/>
        <v>3.2496655944663645E-2</v>
      </c>
      <c r="HT16" s="79">
        <f t="shared" si="6"/>
        <v>3.2496655944663645E-2</v>
      </c>
      <c r="HU16" s="79">
        <f t="shared" si="7"/>
        <v>3.7814061509838744E-2</v>
      </c>
      <c r="HW16" s="104" t="s">
        <v>28</v>
      </c>
      <c r="HX16" s="16">
        <f>HU16</f>
        <v>3.7814061509838744E-2</v>
      </c>
      <c r="HY16" s="17" t="s">
        <v>108</v>
      </c>
    </row>
    <row r="17" spans="1:234" s="123" customFormat="1" ht="15" customHeight="1" x14ac:dyDescent="0.2">
      <c r="A17" s="5" t="s">
        <v>106</v>
      </c>
      <c r="B17" s="119" t="s">
        <v>29</v>
      </c>
      <c r="BM17" s="102">
        <v>6000</v>
      </c>
      <c r="BN17" s="102">
        <v>6000</v>
      </c>
      <c r="BO17" s="102">
        <v>5500</v>
      </c>
      <c r="BP17" s="102">
        <v>5700</v>
      </c>
      <c r="BQ17" s="102">
        <v>5600</v>
      </c>
      <c r="BR17" s="102">
        <v>6900</v>
      </c>
      <c r="BS17" s="102">
        <v>6800</v>
      </c>
      <c r="BT17" s="102">
        <v>5200</v>
      </c>
      <c r="BU17" s="102">
        <v>6400</v>
      </c>
      <c r="BV17" s="102">
        <v>7400</v>
      </c>
      <c r="BW17" s="102">
        <v>7600</v>
      </c>
      <c r="BX17" s="102">
        <v>7200</v>
      </c>
      <c r="BY17" s="102">
        <v>7400</v>
      </c>
      <c r="BZ17" s="102">
        <v>7900</v>
      </c>
      <c r="CA17" s="102">
        <v>8600</v>
      </c>
      <c r="CB17" s="102">
        <v>5400</v>
      </c>
      <c r="CC17" s="102">
        <v>5000</v>
      </c>
      <c r="CD17" s="102">
        <v>5700</v>
      </c>
      <c r="CE17" s="102">
        <v>5900</v>
      </c>
      <c r="CF17" s="102">
        <v>6100</v>
      </c>
      <c r="CG17" s="102">
        <v>6300</v>
      </c>
      <c r="CH17" s="102">
        <v>11000</v>
      </c>
      <c r="CI17" s="102">
        <v>14000</v>
      </c>
      <c r="CJ17" s="35">
        <v>15000</v>
      </c>
      <c r="CK17" s="35">
        <v>14000</v>
      </c>
      <c r="CL17" s="35">
        <v>14000</v>
      </c>
      <c r="CM17" s="35">
        <v>15100</v>
      </c>
      <c r="CN17" s="35">
        <v>14200</v>
      </c>
      <c r="CO17" s="102">
        <v>15100</v>
      </c>
      <c r="CP17" s="102">
        <v>20200</v>
      </c>
      <c r="CQ17" s="102">
        <v>20600</v>
      </c>
      <c r="CR17" s="102">
        <v>23500</v>
      </c>
      <c r="CS17" s="102">
        <v>25800</v>
      </c>
      <c r="CT17" s="102">
        <v>25400</v>
      </c>
      <c r="CU17" s="102">
        <v>18800</v>
      </c>
      <c r="CV17" s="102">
        <v>28100</v>
      </c>
      <c r="CW17" s="102">
        <v>34100</v>
      </c>
      <c r="CX17" s="102">
        <v>35000</v>
      </c>
      <c r="CY17" s="102">
        <v>34000</v>
      </c>
      <c r="CZ17" s="102">
        <v>31700</v>
      </c>
      <c r="DA17" s="102">
        <v>31500</v>
      </c>
      <c r="DB17" s="102">
        <v>38000</v>
      </c>
      <c r="DC17" s="102">
        <v>69000</v>
      </c>
      <c r="DD17" s="102">
        <v>95000</v>
      </c>
      <c r="DE17" s="102">
        <v>86000</v>
      </c>
      <c r="DF17" s="35">
        <v>82500</v>
      </c>
      <c r="DG17" s="35">
        <v>100000</v>
      </c>
      <c r="DT17" s="37"/>
      <c r="DW17" s="37"/>
      <c r="EG17" s="52"/>
      <c r="FT17" s="52"/>
      <c r="FU17" s="52">
        <f t="shared" si="17"/>
        <v>0</v>
      </c>
      <c r="FV17" s="52">
        <f t="shared" si="17"/>
        <v>-8.3333333333333329E-2</v>
      </c>
      <c r="FW17" s="52">
        <f t="shared" si="17"/>
        <v>3.6363636363636362E-2</v>
      </c>
      <c r="FX17" s="52">
        <f t="shared" si="17"/>
        <v>-1.7543859649122806E-2</v>
      </c>
      <c r="FY17" s="52">
        <f t="shared" si="17"/>
        <v>0.23214285714285715</v>
      </c>
      <c r="FZ17" s="52">
        <f t="shared" si="17"/>
        <v>-1.4492753623188406E-2</v>
      </c>
      <c r="GA17" s="52">
        <f t="shared" si="17"/>
        <v>-0.23529411764705882</v>
      </c>
      <c r="GB17" s="52">
        <f t="shared" si="17"/>
        <v>0.23076923076923078</v>
      </c>
      <c r="GC17" s="52">
        <f t="shared" si="17"/>
        <v>0.15625</v>
      </c>
      <c r="GD17" s="52">
        <f t="shared" si="17"/>
        <v>2.7027027027027029E-2</v>
      </c>
      <c r="GE17" s="52">
        <f t="shared" si="16"/>
        <v>-5.2631578947368418E-2</v>
      </c>
      <c r="GF17" s="52">
        <f t="shared" si="16"/>
        <v>2.7777777777777776E-2</v>
      </c>
      <c r="GG17" s="52">
        <f t="shared" si="16"/>
        <v>6.7567567567567571E-2</v>
      </c>
      <c r="GH17" s="52">
        <f t="shared" si="16"/>
        <v>8.8607594936708861E-2</v>
      </c>
      <c r="GI17" s="52">
        <f t="shared" si="16"/>
        <v>-0.37209302325581395</v>
      </c>
      <c r="GJ17" s="52">
        <f t="shared" si="16"/>
        <v>-7.407407407407407E-2</v>
      </c>
      <c r="GK17" s="52">
        <f t="shared" si="16"/>
        <v>0.14000000000000001</v>
      </c>
      <c r="GL17" s="52">
        <f t="shared" si="16"/>
        <v>3.5087719298245612E-2</v>
      </c>
      <c r="GM17" s="52">
        <f t="shared" si="16"/>
        <v>3.3898305084745763E-2</v>
      </c>
      <c r="GN17" s="52">
        <f t="shared" si="16"/>
        <v>3.2786885245901641E-2</v>
      </c>
      <c r="GO17" s="52">
        <f t="shared" si="16"/>
        <v>0.74603174603174605</v>
      </c>
      <c r="GP17" s="52">
        <f t="shared" si="16"/>
        <v>0.27272727272727271</v>
      </c>
      <c r="GQ17" s="52">
        <f t="shared" si="16"/>
        <v>7.1428571428571425E-2</v>
      </c>
      <c r="GR17" s="52">
        <f t="shared" si="16"/>
        <v>-6.6666666666666666E-2</v>
      </c>
      <c r="GS17" s="52">
        <f t="shared" si="16"/>
        <v>0</v>
      </c>
      <c r="GT17" s="52">
        <f t="shared" si="16"/>
        <v>7.857142857142857E-2</v>
      </c>
      <c r="GU17" s="52">
        <f t="shared" si="16"/>
        <v>-5.9602649006622516E-2</v>
      </c>
      <c r="GV17" s="52">
        <f t="shared" si="16"/>
        <v>6.3380281690140844E-2</v>
      </c>
      <c r="GW17" s="52">
        <f t="shared" si="16"/>
        <v>0.33774834437086093</v>
      </c>
      <c r="GX17" s="52">
        <f t="shared" si="16"/>
        <v>1.9801980198019802E-2</v>
      </c>
      <c r="GY17" s="52">
        <f t="shared" si="16"/>
        <v>0.14077669902912621</v>
      </c>
      <c r="GZ17" s="52">
        <f t="shared" si="16"/>
        <v>9.7872340425531917E-2</v>
      </c>
      <c r="HA17" s="52">
        <f t="shared" si="16"/>
        <v>-1.5503875968992248E-2</v>
      </c>
      <c r="HB17" s="52">
        <f t="shared" si="16"/>
        <v>-0.25984251968503935</v>
      </c>
      <c r="HC17" s="52">
        <f t="shared" si="16"/>
        <v>0.49468085106382981</v>
      </c>
      <c r="HD17" s="52">
        <f t="shared" si="16"/>
        <v>0.21352313167259787</v>
      </c>
      <c r="HE17" s="52">
        <f t="shared" si="16"/>
        <v>2.6392961876832845E-2</v>
      </c>
      <c r="HF17" s="52">
        <f t="shared" si="16"/>
        <v>-2.8571428571428571E-2</v>
      </c>
      <c r="HG17" s="52">
        <f t="shared" si="16"/>
        <v>-6.7647058823529407E-2</v>
      </c>
      <c r="HH17" s="52">
        <f t="shared" si="16"/>
        <v>-6.3091482649842269E-3</v>
      </c>
      <c r="HI17" s="52">
        <f t="shared" si="1"/>
        <v>0.20634920634920634</v>
      </c>
      <c r="HJ17" s="52">
        <f t="shared" si="1"/>
        <v>0.81578947368421051</v>
      </c>
      <c r="HK17" s="52">
        <f t="shared" si="1"/>
        <v>0.37681159420289856</v>
      </c>
      <c r="HL17" s="52">
        <f t="shared" si="1"/>
        <v>-9.4736842105263161E-2</v>
      </c>
      <c r="HM17" s="52">
        <f t="shared" si="1"/>
        <v>-4.0697674418604654E-2</v>
      </c>
      <c r="HN17" s="52">
        <f>(DG17-DF17)/DF17</f>
        <v>0.21212121212121213</v>
      </c>
      <c r="HP17" s="51">
        <f t="shared" si="2"/>
        <v>8.2461849839480308E-2</v>
      </c>
      <c r="HQ17" s="51">
        <f t="shared" si="3"/>
        <v>0.10406359513223003</v>
      </c>
      <c r="HR17" s="51">
        <f t="shared" si="4"/>
        <v>0.11551565202517429</v>
      </c>
      <c r="HS17" s="120">
        <f t="shared" si="5"/>
        <v>3.3342595165323702E-2</v>
      </c>
      <c r="HT17" s="79">
        <f t="shared" si="6"/>
        <v>3.4493012191495684E-2</v>
      </c>
      <c r="HU17" s="122">
        <f t="shared" si="7"/>
        <v>4.9234000494193228E-2</v>
      </c>
      <c r="HW17" s="121" t="s">
        <v>29</v>
      </c>
      <c r="HX17" s="33">
        <v>4.92340004941932E-2</v>
      </c>
      <c r="HY17" s="186" t="s">
        <v>108</v>
      </c>
    </row>
    <row r="18" spans="1:234" ht="15" customHeight="1" x14ac:dyDescent="0.2">
      <c r="A18" s="5" t="s">
        <v>120</v>
      </c>
      <c r="B18" s="48" t="s">
        <v>30</v>
      </c>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c r="BU18" s="102"/>
      <c r="BV18" s="102"/>
      <c r="BW18" s="102"/>
      <c r="BX18" s="102"/>
      <c r="BY18" s="102"/>
      <c r="BZ18" s="102"/>
      <c r="CA18" s="102"/>
      <c r="CB18" s="102"/>
      <c r="CC18" s="102">
        <v>342000</v>
      </c>
      <c r="CD18" s="102">
        <v>295000</v>
      </c>
      <c r="CE18" s="102">
        <v>269000</v>
      </c>
      <c r="CF18" s="102">
        <v>284000</v>
      </c>
      <c r="CG18" s="102">
        <v>339000</v>
      </c>
      <c r="CH18" s="102">
        <v>378000</v>
      </c>
      <c r="CI18" s="102">
        <v>383000</v>
      </c>
      <c r="CJ18" s="102">
        <v>397000</v>
      </c>
      <c r="CK18" s="102">
        <v>342000</v>
      </c>
      <c r="CL18" s="102">
        <v>368000</v>
      </c>
      <c r="CM18" s="102">
        <v>420000</v>
      </c>
      <c r="CN18" s="102">
        <v>440000</v>
      </c>
      <c r="CO18" s="102">
        <v>485000</v>
      </c>
      <c r="CP18" s="102">
        <v>595000</v>
      </c>
      <c r="CQ18" s="102">
        <v>626000</v>
      </c>
      <c r="CR18" s="102">
        <v>675000</v>
      </c>
      <c r="CS18" s="102">
        <v>751000</v>
      </c>
      <c r="CT18" s="102">
        <v>670000</v>
      </c>
      <c r="CU18" s="102">
        <v>598000</v>
      </c>
      <c r="CV18" s="102">
        <v>757000</v>
      </c>
      <c r="CW18" s="102">
        <v>806000</v>
      </c>
      <c r="CX18" s="102">
        <v>840000</v>
      </c>
      <c r="CY18" s="102">
        <v>909000</v>
      </c>
      <c r="CZ18" s="102">
        <v>1000000</v>
      </c>
      <c r="DA18" s="102">
        <v>972000</v>
      </c>
      <c r="DB18" s="102">
        <v>993000</v>
      </c>
      <c r="DC18" s="102">
        <v>1050000</v>
      </c>
      <c r="DD18" s="102">
        <v>1000000</v>
      </c>
      <c r="DE18" s="102">
        <v>1060000</v>
      </c>
      <c r="DF18" s="35">
        <v>1000000</v>
      </c>
      <c r="DG18" s="102">
        <v>1070000</v>
      </c>
      <c r="DH18" s="5">
        <v>1000000</v>
      </c>
      <c r="DJ18" s="5"/>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51"/>
      <c r="EJ18" s="51"/>
      <c r="EK18" s="51"/>
      <c r="EL18" s="51"/>
      <c r="EM18" s="51"/>
      <c r="EN18" s="51"/>
      <c r="EO18" s="51"/>
      <c r="EP18" s="51"/>
      <c r="EQ18" s="51"/>
      <c r="ER18" s="51"/>
      <c r="ES18" s="51"/>
      <c r="ET18" s="51"/>
      <c r="EU18" s="51"/>
      <c r="EV18" s="51"/>
      <c r="EW18" s="51"/>
      <c r="EX18" s="51"/>
      <c r="EY18" s="51"/>
      <c r="EZ18" s="51"/>
      <c r="FA18" s="51"/>
      <c r="FB18" s="51"/>
      <c r="FC18" s="51"/>
      <c r="FD18" s="51"/>
      <c r="FE18" s="51"/>
      <c r="FF18" s="51"/>
      <c r="FG18" s="51"/>
      <c r="FH18" s="51"/>
      <c r="FI18" s="51"/>
      <c r="FJ18" s="51"/>
      <c r="FK18" s="51"/>
      <c r="FL18" s="51"/>
      <c r="FM18" s="51"/>
      <c r="FN18" s="51"/>
      <c r="FO18" s="51"/>
      <c r="FP18" s="51"/>
      <c r="FQ18" s="51"/>
      <c r="FR18" s="51"/>
      <c r="FS18" s="51"/>
      <c r="FT18" s="51"/>
      <c r="FU18" s="51"/>
      <c r="FV18" s="51"/>
      <c r="FW18" s="51"/>
      <c r="FX18" s="51"/>
      <c r="FY18" s="51"/>
      <c r="FZ18" s="51"/>
      <c r="GA18" s="51"/>
      <c r="GB18" s="51"/>
      <c r="GC18" s="51"/>
      <c r="GD18" s="51"/>
      <c r="GE18" s="51"/>
      <c r="GF18" s="51"/>
      <c r="GG18" s="51"/>
      <c r="GH18" s="51"/>
      <c r="GI18" s="51"/>
      <c r="GJ18" s="51"/>
      <c r="GK18" s="51">
        <f t="shared" si="16"/>
        <v>-0.13742690058479531</v>
      </c>
      <c r="GL18" s="51">
        <f t="shared" si="16"/>
        <v>-8.8135593220338981E-2</v>
      </c>
      <c r="GM18" s="51">
        <f t="shared" si="16"/>
        <v>5.5762081784386616E-2</v>
      </c>
      <c r="GN18" s="51">
        <f t="shared" si="16"/>
        <v>0.19366197183098591</v>
      </c>
      <c r="GO18" s="51">
        <f t="shared" si="16"/>
        <v>0.11504424778761062</v>
      </c>
      <c r="GP18" s="51">
        <f t="shared" si="16"/>
        <v>1.3227513227513227E-2</v>
      </c>
      <c r="GQ18" s="51">
        <f t="shared" si="16"/>
        <v>3.6553524804177548E-2</v>
      </c>
      <c r="GR18" s="51">
        <f t="shared" si="16"/>
        <v>-0.1385390428211587</v>
      </c>
      <c r="GS18" s="51">
        <f t="shared" si="16"/>
        <v>7.6023391812865493E-2</v>
      </c>
      <c r="GT18" s="51">
        <f t="shared" si="16"/>
        <v>0.14130434782608695</v>
      </c>
      <c r="GU18" s="51">
        <f t="shared" si="16"/>
        <v>4.7619047619047616E-2</v>
      </c>
      <c r="GV18" s="51">
        <f t="shared" si="16"/>
        <v>0.10227272727272728</v>
      </c>
      <c r="GW18" s="51">
        <f t="shared" si="16"/>
        <v>0.22680412371134021</v>
      </c>
      <c r="GX18" s="51">
        <f t="shared" si="16"/>
        <v>5.2100840336134456E-2</v>
      </c>
      <c r="GY18" s="51">
        <f t="shared" si="16"/>
        <v>7.8274760383386585E-2</v>
      </c>
      <c r="GZ18" s="51">
        <f t="shared" si="16"/>
        <v>0.11259259259259259</v>
      </c>
      <c r="HA18" s="51">
        <f t="shared" si="16"/>
        <v>-0.10785619174434088</v>
      </c>
      <c r="HB18" s="51">
        <f t="shared" si="16"/>
        <v>-0.10746268656716418</v>
      </c>
      <c r="HC18" s="51">
        <f t="shared" si="16"/>
        <v>0.26588628762541805</v>
      </c>
      <c r="HD18" s="51">
        <f t="shared" si="16"/>
        <v>6.4729194187582564E-2</v>
      </c>
      <c r="HE18" s="51">
        <f t="shared" si="16"/>
        <v>4.2183622828784122E-2</v>
      </c>
      <c r="HF18" s="51">
        <f t="shared" si="16"/>
        <v>8.2142857142857142E-2</v>
      </c>
      <c r="HG18" s="51">
        <f t="shared" si="16"/>
        <v>0.1001100110011001</v>
      </c>
      <c r="HH18" s="51">
        <f t="shared" si="16"/>
        <v>-2.8000000000000001E-2</v>
      </c>
      <c r="HI18" s="51">
        <f t="shared" si="16"/>
        <v>2.1604938271604937E-2</v>
      </c>
      <c r="HJ18" s="51">
        <f t="shared" si="1"/>
        <v>5.7401812688821753E-2</v>
      </c>
      <c r="HK18" s="51">
        <f t="shared" si="1"/>
        <v>-4.7619047619047616E-2</v>
      </c>
      <c r="HL18" s="51">
        <f t="shared" si="1"/>
        <v>0.06</v>
      </c>
      <c r="HM18" s="51">
        <f t="shared" si="1"/>
        <v>-5.6603773584905662E-2</v>
      </c>
      <c r="HN18" s="51">
        <f>(DG18-DF18)/DF18</f>
        <v>7.0000000000000007E-2</v>
      </c>
      <c r="HP18" s="51">
        <f t="shared" si="2"/>
        <v>4.3455221953109087E-2</v>
      </c>
      <c r="HQ18" s="51">
        <f t="shared" si="3"/>
        <v>4.3455221953109087E-2</v>
      </c>
      <c r="HR18" s="51">
        <f t="shared" si="4"/>
        <v>4.6437872577792076E-2</v>
      </c>
      <c r="HS18" s="103">
        <f t="shared" si="5"/>
        <v>5.6581947236604188E-2</v>
      </c>
      <c r="HT18" s="79">
        <f t="shared" si="6"/>
        <v>5.6581947236604188E-2</v>
      </c>
      <c r="HU18" s="79">
        <f t="shared" si="7"/>
        <v>5.6581947236604188E-2</v>
      </c>
      <c r="HW18" s="104" t="s">
        <v>30</v>
      </c>
      <c r="HX18" s="16">
        <f>HU18</f>
        <v>5.6581947236604188E-2</v>
      </c>
      <c r="HY18" s="17" t="s">
        <v>108</v>
      </c>
      <c r="HZ18" t="s">
        <v>242</v>
      </c>
    </row>
    <row r="19" spans="1:234" ht="15" customHeight="1" x14ac:dyDescent="0.2">
      <c r="A19" s="5" t="s">
        <v>106</v>
      </c>
      <c r="B19" s="48" t="s">
        <v>31</v>
      </c>
      <c r="C19" s="102"/>
      <c r="D19" s="102"/>
      <c r="E19" s="102"/>
      <c r="F19" s="102"/>
      <c r="G19" s="102"/>
      <c r="H19" s="102"/>
      <c r="I19" s="35"/>
      <c r="J19" s="35">
        <v>678160</v>
      </c>
      <c r="K19" s="35">
        <v>470400</v>
      </c>
      <c r="L19" s="35">
        <v>513520</v>
      </c>
      <c r="M19" s="35">
        <v>717360</v>
      </c>
      <c r="N19" s="35">
        <v>854560</v>
      </c>
      <c r="O19" s="35">
        <v>1093680</v>
      </c>
      <c r="P19" s="35">
        <v>1411200</v>
      </c>
      <c r="Q19" s="35">
        <v>1254400</v>
      </c>
      <c r="R19" s="35">
        <v>1136800</v>
      </c>
      <c r="S19" s="35">
        <v>1411200</v>
      </c>
      <c r="T19" s="35">
        <v>1411200</v>
      </c>
      <c r="U19" s="35">
        <v>1230880</v>
      </c>
      <c r="V19" s="35">
        <v>1050560</v>
      </c>
      <c r="W19" s="35">
        <v>689920</v>
      </c>
      <c r="X19" s="35">
        <v>1176000</v>
      </c>
      <c r="Y19" s="35">
        <v>1607200</v>
      </c>
      <c r="Z19" s="35">
        <v>2077600</v>
      </c>
      <c r="AA19" s="35">
        <v>2052904</v>
      </c>
      <c r="AB19" s="35">
        <v>2028208</v>
      </c>
      <c r="AC19" s="35">
        <v>1999200</v>
      </c>
      <c r="AD19" s="35">
        <v>2234400</v>
      </c>
      <c r="AE19" s="35">
        <v>2234400</v>
      </c>
      <c r="AF19" s="35">
        <v>1920800</v>
      </c>
      <c r="AG19" s="35">
        <v>1489600</v>
      </c>
      <c r="AH19" s="35">
        <v>1332800</v>
      </c>
      <c r="AI19" s="35">
        <v>1583680</v>
      </c>
      <c r="AJ19" s="35">
        <v>1724800</v>
      </c>
      <c r="AK19" s="35">
        <v>1771840</v>
      </c>
      <c r="AL19" s="35">
        <v>2014880</v>
      </c>
      <c r="AM19" s="35">
        <v>2446080</v>
      </c>
      <c r="AN19" s="35">
        <v>2940000</v>
      </c>
      <c r="AO19" s="35">
        <v>3567200</v>
      </c>
      <c r="AP19" s="35">
        <v>4100320</v>
      </c>
      <c r="AQ19" s="35">
        <v>4523680</v>
      </c>
      <c r="AR19" s="35">
        <v>4174800</v>
      </c>
      <c r="AS19" s="35">
        <v>4390400</v>
      </c>
      <c r="AT19" s="35">
        <v>4782400</v>
      </c>
      <c r="AU19" s="35">
        <v>5252800</v>
      </c>
      <c r="AV19" s="35">
        <v>4900000</v>
      </c>
      <c r="AW19" s="35">
        <v>5174400</v>
      </c>
      <c r="AX19" s="35">
        <v>5448800</v>
      </c>
      <c r="AY19" s="35">
        <v>5409600</v>
      </c>
      <c r="AZ19" s="35">
        <v>5684000</v>
      </c>
      <c r="BA19" s="35">
        <v>5919200</v>
      </c>
      <c r="BB19" s="35">
        <v>6350400</v>
      </c>
      <c r="BC19" s="35">
        <v>7056000</v>
      </c>
      <c r="BD19" s="35">
        <v>7330400</v>
      </c>
      <c r="BE19" s="35">
        <v>7056000</v>
      </c>
      <c r="BF19" s="35">
        <v>7056000</v>
      </c>
      <c r="BG19" s="35">
        <v>7056000</v>
      </c>
      <c r="BH19" s="35">
        <v>6895000</v>
      </c>
      <c r="BI19" s="35">
        <v>7595000</v>
      </c>
      <c r="BJ19" s="35">
        <v>7560000</v>
      </c>
      <c r="BK19" s="35">
        <v>8085000</v>
      </c>
      <c r="BL19" s="35">
        <v>8400000</v>
      </c>
      <c r="BM19" s="35">
        <v>8750000</v>
      </c>
      <c r="BN19" s="35">
        <v>8750000</v>
      </c>
      <c r="BO19" s="35">
        <v>8260000</v>
      </c>
      <c r="BP19" s="35">
        <v>7980000</v>
      </c>
      <c r="BQ19" s="35">
        <v>8540000</v>
      </c>
      <c r="BR19" s="35">
        <v>9485000</v>
      </c>
      <c r="BS19" s="35">
        <v>8470000</v>
      </c>
      <c r="BT19" s="35">
        <v>8645000</v>
      </c>
      <c r="BU19" s="35">
        <v>7700000</v>
      </c>
      <c r="BV19" s="35">
        <v>8120000</v>
      </c>
      <c r="BW19" s="35">
        <v>8925000</v>
      </c>
      <c r="BX19" s="35">
        <v>8750000</v>
      </c>
      <c r="BY19" s="35">
        <v>8295000</v>
      </c>
      <c r="BZ19" s="35">
        <v>8365000</v>
      </c>
      <c r="CA19" s="35">
        <v>8645000</v>
      </c>
      <c r="CB19" s="35">
        <v>9137800</v>
      </c>
      <c r="CC19" s="35">
        <v>8027950</v>
      </c>
      <c r="CD19" s="35">
        <v>7562800</v>
      </c>
      <c r="CE19" s="35">
        <v>7420000</v>
      </c>
      <c r="CF19" s="102">
        <v>7190000</v>
      </c>
      <c r="CG19" s="102">
        <v>7580000</v>
      </c>
      <c r="CH19" s="102">
        <v>7730000</v>
      </c>
      <c r="CI19" s="102">
        <v>7680000</v>
      </c>
      <c r="CJ19" s="35">
        <v>7040000</v>
      </c>
      <c r="CK19" s="35">
        <v>6990000</v>
      </c>
      <c r="CL19" s="35">
        <v>7280000</v>
      </c>
      <c r="CM19" s="35">
        <v>7600000</v>
      </c>
      <c r="CN19" s="35">
        <v>8100000</v>
      </c>
      <c r="CO19" s="102">
        <v>8200000</v>
      </c>
      <c r="CP19" s="102">
        <v>9350000</v>
      </c>
      <c r="CQ19" s="102">
        <v>10500000</v>
      </c>
      <c r="CR19" s="102">
        <v>11900000</v>
      </c>
      <c r="CS19" s="102">
        <v>12600000</v>
      </c>
      <c r="CT19" s="102">
        <v>13300000</v>
      </c>
      <c r="CU19" s="102">
        <v>10800000</v>
      </c>
      <c r="CV19" s="102">
        <v>13900000</v>
      </c>
      <c r="CW19" s="102">
        <v>16000000</v>
      </c>
      <c r="CX19" s="102">
        <v>15800000</v>
      </c>
      <c r="CY19" s="102">
        <v>16900000</v>
      </c>
      <c r="CZ19" s="102">
        <v>17800000</v>
      </c>
      <c r="DA19" s="102">
        <v>17500000</v>
      </c>
      <c r="DB19" s="102">
        <v>15700000</v>
      </c>
      <c r="DC19" s="102">
        <v>17300000</v>
      </c>
      <c r="DD19" s="102">
        <v>18900000</v>
      </c>
      <c r="DE19" s="102">
        <v>19600000</v>
      </c>
      <c r="DF19" s="35">
        <v>18900000</v>
      </c>
      <c r="DG19" s="102">
        <v>20000000</v>
      </c>
      <c r="DH19" s="5"/>
      <c r="DJ19" s="5"/>
      <c r="DK19" s="5"/>
      <c r="DL19" s="5"/>
      <c r="DM19" s="5"/>
      <c r="DN19" s="5"/>
      <c r="DO19" s="5"/>
      <c r="DP19" s="5"/>
      <c r="DQ19" s="5"/>
      <c r="DR19" s="51">
        <f t="shared" ref="DR19:GC20" si="18">(K19-J19)/J19</f>
        <v>-0.30635838150289019</v>
      </c>
      <c r="DS19" s="51">
        <f t="shared" si="18"/>
        <v>9.166666666666666E-2</v>
      </c>
      <c r="DT19" s="51">
        <f t="shared" si="18"/>
        <v>0.39694656488549618</v>
      </c>
      <c r="DU19" s="51">
        <f t="shared" si="18"/>
        <v>0.19125683060109289</v>
      </c>
      <c r="DV19" s="51">
        <f t="shared" si="18"/>
        <v>0.27981651376146788</v>
      </c>
      <c r="DW19" s="51">
        <f t="shared" si="18"/>
        <v>0.29032258064516131</v>
      </c>
      <c r="DX19" s="51">
        <f t="shared" si="18"/>
        <v>-0.1111111111111111</v>
      </c>
      <c r="DY19" s="51">
        <f t="shared" si="18"/>
        <v>-9.375E-2</v>
      </c>
      <c r="DZ19" s="51">
        <f t="shared" si="18"/>
        <v>0.2413793103448276</v>
      </c>
      <c r="EA19" s="51">
        <f t="shared" si="18"/>
        <v>0</v>
      </c>
      <c r="EB19" s="51">
        <f t="shared" si="18"/>
        <v>-0.12777777777777777</v>
      </c>
      <c r="EC19" s="51">
        <f t="shared" si="18"/>
        <v>-0.1464968152866242</v>
      </c>
      <c r="ED19" s="51">
        <f t="shared" si="18"/>
        <v>-0.34328358208955223</v>
      </c>
      <c r="EE19" s="51">
        <f t="shared" si="18"/>
        <v>0.70454545454545459</v>
      </c>
      <c r="EF19" s="51">
        <f t="shared" si="18"/>
        <v>0.36666666666666664</v>
      </c>
      <c r="EG19" s="51">
        <f t="shared" si="18"/>
        <v>0.29268292682926828</v>
      </c>
      <c r="EH19" s="51">
        <f t="shared" si="18"/>
        <v>-1.1886792452830188E-2</v>
      </c>
      <c r="EI19" s="51">
        <f t="shared" si="18"/>
        <v>-1.202978804659156E-2</v>
      </c>
      <c r="EJ19" s="51">
        <f t="shared" si="18"/>
        <v>-1.4302280633938926E-2</v>
      </c>
      <c r="EK19" s="51">
        <f t="shared" si="18"/>
        <v>0.11764705882352941</v>
      </c>
      <c r="EL19" s="51">
        <f t="shared" si="18"/>
        <v>0</v>
      </c>
      <c r="EM19" s="51">
        <f t="shared" si="18"/>
        <v>-0.14035087719298245</v>
      </c>
      <c r="EN19" s="51">
        <f t="shared" si="18"/>
        <v>-0.22448979591836735</v>
      </c>
      <c r="EO19" s="51">
        <f t="shared" si="18"/>
        <v>-0.10526315789473684</v>
      </c>
      <c r="EP19" s="51">
        <f t="shared" si="18"/>
        <v>0.18823529411764706</v>
      </c>
      <c r="EQ19" s="51">
        <f t="shared" si="18"/>
        <v>8.9108910891089105E-2</v>
      </c>
      <c r="ER19" s="51">
        <f t="shared" si="18"/>
        <v>2.7272727272727271E-2</v>
      </c>
      <c r="ES19" s="51">
        <f t="shared" si="18"/>
        <v>0.13716814159292035</v>
      </c>
      <c r="ET19" s="51">
        <f t="shared" si="18"/>
        <v>0.2140077821011673</v>
      </c>
      <c r="EU19" s="51">
        <f t="shared" si="18"/>
        <v>0.20192307692307693</v>
      </c>
      <c r="EV19" s="51">
        <f t="shared" si="18"/>
        <v>0.21333333333333335</v>
      </c>
      <c r="EW19" s="51">
        <f t="shared" si="18"/>
        <v>0.14945054945054945</v>
      </c>
      <c r="EX19" s="51">
        <f t="shared" si="18"/>
        <v>0.10325047801147227</v>
      </c>
      <c r="EY19" s="51">
        <f t="shared" si="18"/>
        <v>-7.7123050259965339E-2</v>
      </c>
      <c r="EZ19" s="51">
        <f t="shared" si="18"/>
        <v>5.1643192488262914E-2</v>
      </c>
      <c r="FA19" s="51">
        <f t="shared" si="18"/>
        <v>8.9285714285714288E-2</v>
      </c>
      <c r="FB19" s="51">
        <f t="shared" si="18"/>
        <v>9.8360655737704916E-2</v>
      </c>
      <c r="FC19" s="51">
        <f t="shared" si="18"/>
        <v>-6.7164179104477612E-2</v>
      </c>
      <c r="FD19" s="51">
        <f t="shared" si="18"/>
        <v>5.6000000000000001E-2</v>
      </c>
      <c r="FE19" s="51">
        <f t="shared" si="18"/>
        <v>5.3030303030303032E-2</v>
      </c>
      <c r="FF19" s="51">
        <f t="shared" si="18"/>
        <v>-7.1942446043165471E-3</v>
      </c>
      <c r="FG19" s="51">
        <f t="shared" si="18"/>
        <v>5.0724637681159424E-2</v>
      </c>
      <c r="FH19" s="51">
        <f t="shared" si="18"/>
        <v>4.1379310344827586E-2</v>
      </c>
      <c r="FI19" s="51">
        <f t="shared" si="18"/>
        <v>7.2847682119205295E-2</v>
      </c>
      <c r="FJ19" s="51">
        <f t="shared" si="18"/>
        <v>0.1111111111111111</v>
      </c>
      <c r="FK19" s="51">
        <f t="shared" si="18"/>
        <v>3.888888888888889E-2</v>
      </c>
      <c r="FL19" s="51">
        <f t="shared" si="18"/>
        <v>-3.7433155080213901E-2</v>
      </c>
      <c r="FM19" s="51">
        <f t="shared" si="18"/>
        <v>0</v>
      </c>
      <c r="FN19" s="51">
        <f t="shared" si="18"/>
        <v>0</v>
      </c>
      <c r="FO19" s="51">
        <f t="shared" si="18"/>
        <v>-2.2817460317460316E-2</v>
      </c>
      <c r="FP19" s="51">
        <f t="shared" si="18"/>
        <v>0.10152284263959391</v>
      </c>
      <c r="FQ19" s="51">
        <f t="shared" si="18"/>
        <v>-4.608294930875576E-3</v>
      </c>
      <c r="FR19" s="51">
        <f t="shared" si="18"/>
        <v>6.9444444444444448E-2</v>
      </c>
      <c r="FS19" s="51">
        <f t="shared" si="18"/>
        <v>3.896103896103896E-2</v>
      </c>
      <c r="FT19" s="51">
        <f t="shared" si="18"/>
        <v>4.1666666666666664E-2</v>
      </c>
      <c r="FU19" s="51">
        <f t="shared" si="18"/>
        <v>0</v>
      </c>
      <c r="FV19" s="51">
        <f t="shared" si="18"/>
        <v>-5.6000000000000001E-2</v>
      </c>
      <c r="FW19" s="51">
        <f t="shared" si="18"/>
        <v>-3.3898305084745763E-2</v>
      </c>
      <c r="FX19" s="51">
        <f t="shared" si="18"/>
        <v>7.0175438596491224E-2</v>
      </c>
      <c r="FY19" s="51">
        <f t="shared" si="18"/>
        <v>0.11065573770491803</v>
      </c>
      <c r="FZ19" s="51">
        <f t="shared" si="18"/>
        <v>-0.1070110701107011</v>
      </c>
      <c r="GA19" s="51">
        <f t="shared" si="18"/>
        <v>2.0661157024793389E-2</v>
      </c>
      <c r="GB19" s="51">
        <f t="shared" si="18"/>
        <v>-0.10931174089068826</v>
      </c>
      <c r="GC19" s="51">
        <f t="shared" si="18"/>
        <v>5.4545454545454543E-2</v>
      </c>
      <c r="GD19" s="51">
        <f t="shared" ref="GB19:GJ22" si="19">(BW19-BV19)/BV19</f>
        <v>9.9137931034482762E-2</v>
      </c>
      <c r="GE19" s="51">
        <f t="shared" si="19"/>
        <v>-1.9607843137254902E-2</v>
      </c>
      <c r="GF19" s="51">
        <f t="shared" si="19"/>
        <v>-5.1999999999999998E-2</v>
      </c>
      <c r="GG19" s="51">
        <f t="shared" si="19"/>
        <v>8.4388185654008432E-3</v>
      </c>
      <c r="GH19" s="51">
        <f t="shared" si="19"/>
        <v>3.3472803347280332E-2</v>
      </c>
      <c r="GI19" s="51">
        <f t="shared" si="19"/>
        <v>5.7004048582995952E-2</v>
      </c>
      <c r="GJ19" s="51">
        <f t="shared" si="19"/>
        <v>-0.1214570246667688</v>
      </c>
      <c r="GK19" s="51">
        <f t="shared" si="16"/>
        <v>-5.7941317521907836E-2</v>
      </c>
      <c r="GL19" s="51">
        <f t="shared" si="16"/>
        <v>-1.888189559422436E-2</v>
      </c>
      <c r="GM19" s="51">
        <f t="shared" si="16"/>
        <v>-3.0997304582210242E-2</v>
      </c>
      <c r="GN19" s="51">
        <f t="shared" si="16"/>
        <v>5.4242002781641166E-2</v>
      </c>
      <c r="GO19" s="51">
        <f t="shared" si="16"/>
        <v>1.9788918205804751E-2</v>
      </c>
      <c r="GP19" s="51">
        <f t="shared" si="16"/>
        <v>-6.4683053040103496E-3</v>
      </c>
      <c r="GQ19" s="51">
        <f t="shared" si="16"/>
        <v>-8.3333333333333329E-2</v>
      </c>
      <c r="GR19" s="51">
        <f t="shared" si="16"/>
        <v>-7.102272727272727E-3</v>
      </c>
      <c r="GS19" s="51">
        <f t="shared" si="16"/>
        <v>4.1487839771101577E-2</v>
      </c>
      <c r="GT19" s="51">
        <f t="shared" si="16"/>
        <v>4.3956043956043959E-2</v>
      </c>
      <c r="GU19" s="51">
        <f t="shared" si="16"/>
        <v>6.5789473684210523E-2</v>
      </c>
      <c r="GV19" s="51">
        <f t="shared" si="16"/>
        <v>1.2345679012345678E-2</v>
      </c>
      <c r="GW19" s="51">
        <f t="shared" si="16"/>
        <v>0.1402439024390244</v>
      </c>
      <c r="GX19" s="51">
        <f t="shared" si="16"/>
        <v>0.12299465240641712</v>
      </c>
      <c r="GY19" s="51">
        <f t="shared" si="16"/>
        <v>0.13333333333333333</v>
      </c>
      <c r="GZ19" s="51">
        <f t="shared" si="16"/>
        <v>5.8823529411764705E-2</v>
      </c>
      <c r="HA19" s="51">
        <f t="shared" si="16"/>
        <v>5.5555555555555552E-2</v>
      </c>
      <c r="HB19" s="51">
        <f t="shared" si="16"/>
        <v>-0.18796992481203006</v>
      </c>
      <c r="HC19" s="51">
        <f t="shared" si="16"/>
        <v>0.28703703703703703</v>
      </c>
      <c r="HD19" s="51">
        <f t="shared" si="16"/>
        <v>0.15107913669064749</v>
      </c>
      <c r="HE19" s="51">
        <f t="shared" si="16"/>
        <v>-1.2500000000000001E-2</v>
      </c>
      <c r="HF19" s="51">
        <f t="shared" si="16"/>
        <v>6.9620253164556958E-2</v>
      </c>
      <c r="HG19" s="51">
        <f t="shared" si="16"/>
        <v>5.3254437869822487E-2</v>
      </c>
      <c r="HH19" s="51">
        <f t="shared" si="16"/>
        <v>-1.6853932584269662E-2</v>
      </c>
      <c r="HI19" s="51">
        <f t="shared" si="16"/>
        <v>-0.10285714285714286</v>
      </c>
      <c r="HJ19" s="51">
        <f t="shared" ref="HE19:HM32" si="20">(DC19-DB19)/DB19</f>
        <v>0.10191082802547771</v>
      </c>
      <c r="HK19" s="51">
        <f t="shared" si="20"/>
        <v>9.2485549132947972E-2</v>
      </c>
      <c r="HL19" s="51">
        <f t="shared" si="20"/>
        <v>3.7037037037037035E-2</v>
      </c>
      <c r="HM19" s="51">
        <f t="shared" si="20"/>
        <v>-3.5714285714285712E-2</v>
      </c>
      <c r="HN19" s="51">
        <f>(DG19-DF19)/DF19</f>
        <v>5.8201058201058198E-2</v>
      </c>
      <c r="HP19" s="51">
        <f t="shared" si="2"/>
        <v>4.3083946236184383E-2</v>
      </c>
      <c r="HQ19" s="51">
        <f t="shared" si="3"/>
        <v>3.0441049268792743E-2</v>
      </c>
      <c r="HR19" s="51">
        <f t="shared" si="4"/>
        <v>3.2426360842620544E-2</v>
      </c>
      <c r="HS19" s="79">
        <f t="shared" si="5"/>
        <v>4.1379310344827586E-2</v>
      </c>
      <c r="HT19" s="79">
        <f t="shared" si="6"/>
        <v>4.2721941863572768E-2</v>
      </c>
      <c r="HU19" s="103">
        <f t="shared" si="7"/>
        <v>4.8605240912933223E-2</v>
      </c>
      <c r="HW19" s="104" t="s">
        <v>31</v>
      </c>
      <c r="HX19" s="16">
        <v>4.8605240912933202E-2</v>
      </c>
      <c r="HY19" s="186" t="s">
        <v>108</v>
      </c>
    </row>
    <row r="20" spans="1:234" ht="15" customHeight="1" x14ac:dyDescent="0.2">
      <c r="A20" s="104" t="s">
        <v>122</v>
      </c>
      <c r="B20" s="104" t="s">
        <v>32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v>95031</v>
      </c>
      <c r="BU20" s="34">
        <v>63903</v>
      </c>
      <c r="BV20" s="34">
        <v>97941</v>
      </c>
      <c r="BW20" s="34">
        <v>97665</v>
      </c>
      <c r="BX20" s="34">
        <v>93846</v>
      </c>
      <c r="BY20" s="34">
        <v>97810</v>
      </c>
      <c r="BZ20" s="34">
        <v>112585</v>
      </c>
      <c r="CA20" s="34">
        <v>137044</v>
      </c>
      <c r="CB20" s="34">
        <v>126800</v>
      </c>
      <c r="CC20" s="34">
        <v>115743</v>
      </c>
      <c r="CD20" s="34">
        <v>108583</v>
      </c>
      <c r="CE20" s="34">
        <v>94182</v>
      </c>
      <c r="CF20" s="34">
        <v>108676</v>
      </c>
      <c r="CG20" s="34">
        <v>138999</v>
      </c>
      <c r="CH20" s="34">
        <v>130236</v>
      </c>
      <c r="CI20" s="34">
        <v>143238</v>
      </c>
      <c r="CJ20" s="34">
        <v>139763</v>
      </c>
      <c r="CK20" s="34">
        <v>131787</v>
      </c>
      <c r="CL20" s="34">
        <v>135761</v>
      </c>
      <c r="CM20" s="34">
        <v>135233</v>
      </c>
      <c r="CN20" s="34">
        <v>124620</v>
      </c>
      <c r="CO20" s="34">
        <v>133731</v>
      </c>
      <c r="CP20" s="34">
        <v>160802</v>
      </c>
      <c r="CQ20" s="34">
        <v>177709</v>
      </c>
      <c r="CR20" s="34">
        <v>189427</v>
      </c>
      <c r="CS20" s="34">
        <v>213220</v>
      </c>
      <c r="CT20" s="34">
        <v>219123</v>
      </c>
      <c r="CU20" s="34">
        <v>220669</v>
      </c>
      <c r="CV20" s="34">
        <v>245070</v>
      </c>
      <c r="CW20" s="34">
        <v>263824</v>
      </c>
      <c r="CX20" s="34">
        <v>275572</v>
      </c>
      <c r="CY20" s="34">
        <v>282018</v>
      </c>
      <c r="CZ20" s="34">
        <v>304729</v>
      </c>
      <c r="DA20" s="34">
        <v>290241</v>
      </c>
      <c r="DB20" s="34">
        <v>284320</v>
      </c>
      <c r="DC20" s="34">
        <v>290352</v>
      </c>
      <c r="DD20" s="34">
        <v>289445</v>
      </c>
      <c r="DE20" s="34">
        <v>280597</v>
      </c>
      <c r="DF20" s="34">
        <v>288458</v>
      </c>
      <c r="DG20" s="34">
        <v>268294</v>
      </c>
      <c r="DH20" s="104">
        <v>262911</v>
      </c>
      <c r="DJ20" s="104"/>
      <c r="DK20" s="104"/>
      <c r="DL20" s="104"/>
      <c r="DM20" s="104"/>
      <c r="DN20" s="104"/>
      <c r="DO20" s="104"/>
      <c r="DP20" s="104"/>
      <c r="DQ20" s="104"/>
      <c r="DR20" s="104"/>
      <c r="DS20" s="104"/>
      <c r="DT20" s="104"/>
      <c r="DU20" s="104"/>
      <c r="DV20" s="104"/>
      <c r="DW20" s="104"/>
      <c r="DX20" s="104"/>
      <c r="DY20" s="104"/>
      <c r="DZ20" s="104"/>
      <c r="EA20" s="104"/>
      <c r="EB20" s="104"/>
      <c r="EC20" s="104"/>
      <c r="ED20" s="104"/>
      <c r="EE20" s="104"/>
      <c r="EF20" s="104"/>
      <c r="EG20" s="104"/>
      <c r="EH20" s="104"/>
      <c r="EI20" s="104"/>
      <c r="EJ20" s="104"/>
      <c r="EK20" s="104"/>
      <c r="EL20" s="104"/>
      <c r="EM20" s="104"/>
      <c r="EN20" s="104"/>
      <c r="EO20" s="104"/>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4"/>
      <c r="FP20" s="104"/>
      <c r="FQ20" s="104"/>
      <c r="FR20" s="104"/>
      <c r="FS20" s="104"/>
      <c r="FT20" s="104"/>
      <c r="FU20" s="104"/>
      <c r="FV20" s="104"/>
      <c r="FW20" s="104"/>
      <c r="FX20" s="104"/>
      <c r="FY20" s="104"/>
      <c r="FZ20" s="104"/>
      <c r="GA20" s="104"/>
      <c r="GB20" s="124">
        <f t="shared" si="18"/>
        <v>-0.32755627111153202</v>
      </c>
      <c r="GC20" s="124">
        <f t="shared" si="18"/>
        <v>0.5326510492465143</v>
      </c>
      <c r="GD20" s="124">
        <f t="shared" si="19"/>
        <v>-2.8180230955371093E-3</v>
      </c>
      <c r="GE20" s="124">
        <f t="shared" si="19"/>
        <v>-3.9103056366149594E-2</v>
      </c>
      <c r="GF20" s="124">
        <f t="shared" si="19"/>
        <v>4.2239413507235257E-2</v>
      </c>
      <c r="GG20" s="124">
        <f t="shared" si="19"/>
        <v>0.15105817401083735</v>
      </c>
      <c r="GH20" s="124">
        <f t="shared" si="19"/>
        <v>0.2172491895012657</v>
      </c>
      <c r="GI20" s="124">
        <f t="shared" si="19"/>
        <v>-7.4749715419865151E-2</v>
      </c>
      <c r="GJ20" s="124">
        <f t="shared" si="19"/>
        <v>-8.7200315457413247E-2</v>
      </c>
      <c r="GK20" s="124">
        <f t="shared" si="16"/>
        <v>-6.1861192469522992E-2</v>
      </c>
      <c r="GL20" s="124">
        <f t="shared" si="16"/>
        <v>-0.1326266542644797</v>
      </c>
      <c r="GM20" s="124">
        <f t="shared" si="16"/>
        <v>0.1538935253020747</v>
      </c>
      <c r="GN20" s="124">
        <f t="shared" si="16"/>
        <v>0.27902204718613127</v>
      </c>
      <c r="GO20" s="124">
        <f t="shared" si="16"/>
        <v>-6.3043619018841868E-2</v>
      </c>
      <c r="GP20" s="124">
        <f t="shared" si="16"/>
        <v>9.9834147240394355E-2</v>
      </c>
      <c r="GQ20" s="124">
        <f t="shared" si="16"/>
        <v>-2.4260321981597062E-2</v>
      </c>
      <c r="GR20" s="124">
        <f t="shared" si="16"/>
        <v>-5.7068036604823881E-2</v>
      </c>
      <c r="GS20" s="124">
        <f t="shared" si="16"/>
        <v>3.0154719357751523E-2</v>
      </c>
      <c r="GT20" s="124">
        <f t="shared" si="16"/>
        <v>-3.8891876164730667E-3</v>
      </c>
      <c r="GU20" s="124">
        <f t="shared" si="16"/>
        <v>-7.8479365243690521E-2</v>
      </c>
      <c r="GV20" s="124">
        <f t="shared" si="16"/>
        <v>7.3110255175734232E-2</v>
      </c>
      <c r="GW20" s="124">
        <f t="shared" si="16"/>
        <v>0.20242875623453052</v>
      </c>
      <c r="GX20" s="124">
        <f t="shared" si="16"/>
        <v>0.1051417270929466</v>
      </c>
      <c r="GY20" s="124">
        <f t="shared" si="16"/>
        <v>6.5939260251309723E-2</v>
      </c>
      <c r="GZ20" s="124">
        <f t="shared" si="16"/>
        <v>0.12560511437123537</v>
      </c>
      <c r="HA20" s="124">
        <f t="shared" si="16"/>
        <v>2.7685020166963701E-2</v>
      </c>
      <c r="HB20" s="124">
        <f t="shared" si="16"/>
        <v>7.0553981097374536E-3</v>
      </c>
      <c r="HC20" s="124">
        <f t="shared" si="16"/>
        <v>0.11057738060171569</v>
      </c>
      <c r="HD20" s="124">
        <f t="shared" si="16"/>
        <v>7.6525074468519194E-2</v>
      </c>
      <c r="HE20" s="124">
        <f t="shared" si="20"/>
        <v>4.4529686457638426E-2</v>
      </c>
      <c r="HF20" s="124">
        <f t="shared" si="20"/>
        <v>2.3391346000319335E-2</v>
      </c>
      <c r="HG20" s="124">
        <f t="shared" si="20"/>
        <v>8.0530320759667817E-2</v>
      </c>
      <c r="HH20" s="124">
        <f t="shared" si="20"/>
        <v>-4.7543883253645045E-2</v>
      </c>
      <c r="HI20" s="124">
        <f t="shared" si="20"/>
        <v>-2.0400288036493811E-2</v>
      </c>
      <c r="HJ20" s="124">
        <f t="shared" si="20"/>
        <v>2.1215531795160381E-2</v>
      </c>
      <c r="HK20" s="124">
        <f t="shared" si="20"/>
        <v>-3.1237945665950296E-3</v>
      </c>
      <c r="HL20" s="124">
        <f t="shared" si="20"/>
        <v>-3.0568847276684689E-2</v>
      </c>
      <c r="HM20" s="124">
        <f t="shared" si="20"/>
        <v>2.8015267447620607E-2</v>
      </c>
      <c r="HN20" s="124">
        <f>(DG20-DF20)/DF20</f>
        <v>-6.9902724140082778E-2</v>
      </c>
      <c r="HP20" s="124">
        <f t="shared" si="2"/>
        <v>3.5221977137483998E-2</v>
      </c>
      <c r="HQ20" s="124">
        <f t="shared" si="3"/>
        <v>2.4998019770913812E-2</v>
      </c>
      <c r="HR20" s="124">
        <f t="shared" si="4"/>
        <v>2.6749673749943536E-2</v>
      </c>
      <c r="HS20" s="124">
        <f t="shared" si="5"/>
        <v>2.3391346000319335E-2</v>
      </c>
      <c r="HT20" s="79">
        <f t="shared" si="6"/>
        <v>2.2303438897739856E-2</v>
      </c>
      <c r="HU20" s="125">
        <f t="shared" si="7"/>
        <v>2.2303438897739856E-2</v>
      </c>
      <c r="HW20" s="104" t="s">
        <v>32</v>
      </c>
      <c r="HX20" s="126">
        <v>2.3971422004290501E-2</v>
      </c>
      <c r="HY20" s="186" t="s">
        <v>108</v>
      </c>
    </row>
    <row r="21" spans="1:234" ht="15" customHeight="1" x14ac:dyDescent="0.2">
      <c r="A21" s="5" t="s">
        <v>106</v>
      </c>
      <c r="B21" s="48" t="s">
        <v>33</v>
      </c>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c r="AA21" s="5"/>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v>3353.1250557051799</v>
      </c>
      <c r="BN21" s="102">
        <v>3241.73673424033</v>
      </c>
      <c r="BO21" s="102">
        <v>4252.4628156972403</v>
      </c>
      <c r="BP21" s="102">
        <v>4888.32933300484</v>
      </c>
      <c r="BQ21" s="102">
        <v>5422.3903340146999</v>
      </c>
      <c r="BR21" s="102">
        <v>4875.1518184736096</v>
      </c>
      <c r="BS21" s="102">
        <v>4887.4613488986897</v>
      </c>
      <c r="BT21" s="102">
        <v>4398.2288462652696</v>
      </c>
      <c r="BU21" s="102">
        <v>5837.3228313093496</v>
      </c>
      <c r="BV21" s="102">
        <v>7304.78645333037</v>
      </c>
      <c r="BW21" s="102">
        <v>8080.7801052513296</v>
      </c>
      <c r="BX21" s="102">
        <v>7602.1729489476702</v>
      </c>
      <c r="BY21" s="102">
        <v>7800.65683955229</v>
      </c>
      <c r="BZ21" s="102">
        <v>7469.7284682030704</v>
      </c>
      <c r="CA21" s="102">
        <v>9088.4472371899592</v>
      </c>
      <c r="CB21" s="102">
        <v>9660.6461257825795</v>
      </c>
      <c r="CC21" s="102">
        <v>7653.0314676853604</v>
      </c>
      <c r="CD21" s="102">
        <v>7135.5894816023001</v>
      </c>
      <c r="CE21" s="102">
        <v>8341.4731815020205</v>
      </c>
      <c r="CF21" s="102">
        <v>7878.9945485140097</v>
      </c>
      <c r="CG21" s="102">
        <v>10353.8507780655</v>
      </c>
      <c r="CH21" s="102">
        <v>11089.993294044099</v>
      </c>
      <c r="CI21" s="102">
        <v>9759.2785788870897</v>
      </c>
      <c r="CJ21" s="102">
        <v>10914.2568628439</v>
      </c>
      <c r="CK21" s="102">
        <v>10885.0922882304</v>
      </c>
      <c r="CL21" s="102">
        <v>11498.761766714601</v>
      </c>
      <c r="CM21" s="102">
        <v>12711.7206859323</v>
      </c>
      <c r="CN21" s="102">
        <v>13844.0884297476</v>
      </c>
      <c r="CO21" s="102">
        <v>13981.3634941046</v>
      </c>
      <c r="CP21" s="102">
        <v>15062.7298841841</v>
      </c>
      <c r="CQ21" s="102">
        <v>17756.853439653001</v>
      </c>
      <c r="CR21" s="102">
        <v>19959.32195605</v>
      </c>
      <c r="CS21" s="102">
        <v>18150.650215316</v>
      </c>
      <c r="CT21" s="102">
        <v>18576.2050582052</v>
      </c>
      <c r="CU21" s="102">
        <v>19141.606166887901</v>
      </c>
      <c r="CV21" s="102">
        <v>17621.660971297701</v>
      </c>
      <c r="CW21" s="102">
        <v>15937.828304938599</v>
      </c>
      <c r="CX21" s="102">
        <v>15474.7594701937</v>
      </c>
      <c r="CY21" s="102">
        <v>14634.825808531899</v>
      </c>
      <c r="CZ21" s="102">
        <v>21879.639652804199</v>
      </c>
      <c r="DA21" s="102">
        <v>22598.674548421299</v>
      </c>
      <c r="DB21" s="102">
        <v>24033.9503979277</v>
      </c>
      <c r="DC21" s="102">
        <v>26658.572723876601</v>
      </c>
      <c r="DD21" s="102">
        <v>36395.044600271904</v>
      </c>
      <c r="DE21" s="102">
        <v>36304.849185879102</v>
      </c>
      <c r="DF21" s="102">
        <v>34074.892048375797</v>
      </c>
      <c r="DG21" s="102"/>
      <c r="DH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1">
        <f t="shared" ref="FU21:GA22" si="21">(BN21-BM21)/BM21</f>
        <v>-3.3219256548552546E-2</v>
      </c>
      <c r="FV21" s="51">
        <f t="shared" si="21"/>
        <v>0.31178536825068998</v>
      </c>
      <c r="FW21" s="51">
        <f t="shared" si="21"/>
        <v>0.14952900116149329</v>
      </c>
      <c r="FX21" s="51">
        <f t="shared" si="21"/>
        <v>0.10925225463104678</v>
      </c>
      <c r="FY21" s="51">
        <f t="shared" si="21"/>
        <v>-0.10092200705439047</v>
      </c>
      <c r="FZ21" s="51">
        <f t="shared" si="21"/>
        <v>2.5249532493398633E-3</v>
      </c>
      <c r="GA21" s="51">
        <f t="shared" si="21"/>
        <v>-0.10009951336876777</v>
      </c>
      <c r="GB21" s="51">
        <f t="shared" si="19"/>
        <v>0.32719852362072482</v>
      </c>
      <c r="GC21" s="51">
        <f t="shared" si="19"/>
        <v>0.25139326099116205</v>
      </c>
      <c r="GD21" s="51">
        <f t="shared" si="19"/>
        <v>0.10623084697666577</v>
      </c>
      <c r="GE21" s="51">
        <f t="shared" si="19"/>
        <v>-5.9227840637890203E-2</v>
      </c>
      <c r="GF21" s="51">
        <f t="shared" si="19"/>
        <v>2.6108836504712102E-2</v>
      </c>
      <c r="GG21" s="51">
        <f t="shared" si="19"/>
        <v>-4.242314181432609E-2</v>
      </c>
      <c r="GH21" s="51">
        <f t="shared" si="19"/>
        <v>0.21670383011610198</v>
      </c>
      <c r="GI21" s="51">
        <f t="shared" si="19"/>
        <v>6.2958927268805642E-2</v>
      </c>
      <c r="GJ21" s="51">
        <f t="shared" si="19"/>
        <v>-0.20781370437938365</v>
      </c>
      <c r="GK21" s="51">
        <f t="shared" si="16"/>
        <v>-6.7612682408002611E-2</v>
      </c>
      <c r="GL21" s="51">
        <f t="shared" si="16"/>
        <v>0.16899566644197397</v>
      </c>
      <c r="GM21" s="51">
        <f t="shared" si="16"/>
        <v>-5.5443279972846933E-2</v>
      </c>
      <c r="GN21" s="51">
        <f t="shared" si="16"/>
        <v>0.3141081281771228</v>
      </c>
      <c r="GO21" s="51">
        <f t="shared" si="16"/>
        <v>7.1098428184623627E-2</v>
      </c>
      <c r="GP21" s="51">
        <f t="shared" si="16"/>
        <v>-0.11999238231024652</v>
      </c>
      <c r="GQ21" s="51">
        <f t="shared" si="16"/>
        <v>0.11834668665524659</v>
      </c>
      <c r="GR21" s="51">
        <f t="shared" si="16"/>
        <v>-2.6721539523947642E-3</v>
      </c>
      <c r="GS21" s="51">
        <f t="shared" si="16"/>
        <v>5.6377057927908945E-2</v>
      </c>
      <c r="GT21" s="51">
        <f t="shared" si="16"/>
        <v>0.10548604656971364</v>
      </c>
      <c r="GU21" s="51">
        <f t="shared" si="16"/>
        <v>8.9080602995663685E-2</v>
      </c>
      <c r="GV21" s="51">
        <f t="shared" si="16"/>
        <v>9.9157893315697729E-3</v>
      </c>
      <c r="GW21" s="51">
        <f t="shared" si="16"/>
        <v>7.7343414362659998E-2</v>
      </c>
      <c r="GX21" s="51">
        <f t="shared" si="16"/>
        <v>0.17886024486821189</v>
      </c>
      <c r="GY21" s="51">
        <f t="shared" si="16"/>
        <v>0.12403484231494782</v>
      </c>
      <c r="GZ21" s="51">
        <f t="shared" si="16"/>
        <v>-9.0617894972417234E-2</v>
      </c>
      <c r="HA21" s="51">
        <f t="shared" si="16"/>
        <v>2.3445707885996574E-2</v>
      </c>
      <c r="HB21" s="51">
        <f t="shared" si="16"/>
        <v>3.0436846864637775E-2</v>
      </c>
      <c r="HC21" s="51">
        <f t="shared" si="16"/>
        <v>-7.9405311254364688E-2</v>
      </c>
      <c r="HD21" s="51">
        <f t="shared" si="16"/>
        <v>-9.5554707873550707E-2</v>
      </c>
      <c r="HE21" s="51">
        <f t="shared" si="20"/>
        <v>-2.9054700921919831E-2</v>
      </c>
      <c r="HF21" s="51">
        <f t="shared" si="20"/>
        <v>-5.4277655383246269E-2</v>
      </c>
      <c r="HG21" s="51">
        <f t="shared" si="20"/>
        <v>0.49503929456055934</v>
      </c>
      <c r="HH21" s="51">
        <f t="shared" si="20"/>
        <v>3.2863196424944098E-2</v>
      </c>
      <c r="HI21" s="51">
        <f t="shared" si="20"/>
        <v>6.351150579345223E-2</v>
      </c>
      <c r="HJ21" s="51">
        <f t="shared" si="20"/>
        <v>0.10920478250530161</v>
      </c>
      <c r="HK21" s="51">
        <f t="shared" si="20"/>
        <v>0.36522855057708642</v>
      </c>
      <c r="HL21" s="51">
        <f t="shared" si="20"/>
        <v>-2.478233379940071E-3</v>
      </c>
      <c r="HM21" s="51">
        <f t="shared" si="20"/>
        <v>-6.142312080917979E-2</v>
      </c>
      <c r="HN21" s="5"/>
      <c r="HP21" s="51">
        <f t="shared" si="2"/>
        <v>6.2107222403798713E-2</v>
      </c>
      <c r="HQ21" s="51">
        <f t="shared" si="3"/>
        <v>5.2580319099772045E-2</v>
      </c>
      <c r="HR21" s="51">
        <f t="shared" si="4"/>
        <v>5.8410042975243215E-2</v>
      </c>
      <c r="HS21" s="79">
        <f t="shared" si="5"/>
        <v>3.2863196424944098E-2</v>
      </c>
      <c r="HT21" s="79">
        <f t="shared" si="6"/>
        <v>3.2863196424944098E-2</v>
      </c>
      <c r="HU21" s="103">
        <f t="shared" si="7"/>
        <v>5.6377057927908945E-2</v>
      </c>
      <c r="HW21" s="104" t="s">
        <v>33</v>
      </c>
      <c r="HX21" s="16">
        <v>5.63770579279044E-2</v>
      </c>
      <c r="HY21" s="186" t="s">
        <v>108</v>
      </c>
    </row>
    <row r="22" spans="1:234" ht="15" customHeight="1" x14ac:dyDescent="0.2">
      <c r="A22" s="5" t="s">
        <v>106</v>
      </c>
      <c r="B22" s="48" t="s">
        <v>34</v>
      </c>
      <c r="C22" s="102"/>
      <c r="D22" s="102"/>
      <c r="E22" s="102"/>
      <c r="F22" s="102"/>
      <c r="G22" s="102"/>
      <c r="H22" s="102"/>
      <c r="I22" s="102"/>
      <c r="J22" s="102">
        <v>33936</v>
      </c>
      <c r="K22" s="102">
        <v>11424</v>
      </c>
      <c r="L22" s="102">
        <v>12992</v>
      </c>
      <c r="M22" s="102">
        <v>34384</v>
      </c>
      <c r="N22" s="102">
        <v>34832</v>
      </c>
      <c r="O22" s="102">
        <v>40880</v>
      </c>
      <c r="P22" s="102">
        <v>37408</v>
      </c>
      <c r="Q22" s="102">
        <v>38080</v>
      </c>
      <c r="R22" s="102">
        <v>54880</v>
      </c>
      <c r="S22" s="102">
        <v>63840</v>
      </c>
      <c r="T22" s="102">
        <v>59696</v>
      </c>
      <c r="U22" s="102">
        <v>39648</v>
      </c>
      <c r="V22" s="102">
        <v>20832</v>
      </c>
      <c r="W22" s="102">
        <v>50960</v>
      </c>
      <c r="X22" s="102">
        <v>79072</v>
      </c>
      <c r="Y22" s="102">
        <v>85232</v>
      </c>
      <c r="Z22" s="102">
        <v>97440</v>
      </c>
      <c r="AA22" s="102">
        <v>126560</v>
      </c>
      <c r="AB22" s="102">
        <v>124320</v>
      </c>
      <c r="AC22" s="102">
        <v>134400</v>
      </c>
      <c r="AD22" s="102">
        <v>151200</v>
      </c>
      <c r="AE22" s="102">
        <v>174720</v>
      </c>
      <c r="AF22" s="102">
        <v>171360</v>
      </c>
      <c r="AG22" s="102">
        <v>169120</v>
      </c>
      <c r="AH22" s="102">
        <v>171360</v>
      </c>
      <c r="AI22" s="102">
        <v>165760</v>
      </c>
      <c r="AJ22" s="102">
        <v>141120</v>
      </c>
      <c r="AK22" s="102">
        <v>154560</v>
      </c>
      <c r="AL22" s="102">
        <v>166880</v>
      </c>
      <c r="AM22" s="102">
        <v>161840</v>
      </c>
      <c r="AN22" s="102">
        <v>162848</v>
      </c>
      <c r="AO22" s="102">
        <v>183232</v>
      </c>
      <c r="AP22" s="102">
        <v>207984</v>
      </c>
      <c r="AQ22" s="102">
        <v>227360</v>
      </c>
      <c r="AR22" s="102">
        <v>248304</v>
      </c>
      <c r="AS22" s="102">
        <v>280000</v>
      </c>
      <c r="AT22" s="102">
        <v>297920</v>
      </c>
      <c r="AU22" s="102">
        <v>334880</v>
      </c>
      <c r="AV22" s="102">
        <v>257600</v>
      </c>
      <c r="AW22" s="102">
        <v>324800</v>
      </c>
      <c r="AX22" s="102">
        <v>369600</v>
      </c>
      <c r="AY22" s="102">
        <v>414400</v>
      </c>
      <c r="AZ22" s="102">
        <v>403200</v>
      </c>
      <c r="BA22" s="102">
        <v>392000</v>
      </c>
      <c r="BB22" s="102">
        <v>425600</v>
      </c>
      <c r="BC22" s="102">
        <v>470400</v>
      </c>
      <c r="BD22" s="102">
        <v>448000</v>
      </c>
      <c r="BE22" s="102">
        <v>504000</v>
      </c>
      <c r="BF22" s="102">
        <v>560000</v>
      </c>
      <c r="BG22" s="5">
        <v>554400</v>
      </c>
      <c r="BH22" s="102">
        <v>660000</v>
      </c>
      <c r="BI22" s="102">
        <v>670000</v>
      </c>
      <c r="BJ22" s="102">
        <v>630000</v>
      </c>
      <c r="BK22" s="102">
        <v>680000</v>
      </c>
      <c r="BL22" s="102">
        <v>740000</v>
      </c>
      <c r="BM22" s="102">
        <v>752000</v>
      </c>
      <c r="BN22" s="102">
        <v>767000</v>
      </c>
      <c r="BO22" s="102">
        <v>781000</v>
      </c>
      <c r="BP22" s="102">
        <v>629000</v>
      </c>
      <c r="BQ22" s="102">
        <v>673000</v>
      </c>
      <c r="BR22" s="102">
        <v>758000</v>
      </c>
      <c r="BS22" s="102">
        <v>719000</v>
      </c>
      <c r="BT22" s="102">
        <v>629000</v>
      </c>
      <c r="BU22" s="102">
        <v>660000</v>
      </c>
      <c r="BV22" s="102">
        <v>738000</v>
      </c>
      <c r="BW22" s="102">
        <v>810000</v>
      </c>
      <c r="BX22" s="102">
        <v>790000</v>
      </c>
      <c r="BY22" s="102">
        <v>820000</v>
      </c>
      <c r="BZ22" s="102">
        <v>870000</v>
      </c>
      <c r="CA22" s="102">
        <v>910000</v>
      </c>
      <c r="CB22" s="102">
        <v>969000</v>
      </c>
      <c r="CC22" s="102">
        <v>985000</v>
      </c>
      <c r="CD22" s="102">
        <v>947000</v>
      </c>
      <c r="CE22" s="102">
        <v>900000</v>
      </c>
      <c r="CF22" s="102">
        <v>906000</v>
      </c>
      <c r="CG22" s="102">
        <v>1040000</v>
      </c>
      <c r="CH22" s="102">
        <v>1080000</v>
      </c>
      <c r="CI22" s="102">
        <v>1120000</v>
      </c>
      <c r="CJ22" s="35">
        <v>1140000</v>
      </c>
      <c r="CK22" s="35">
        <v>1120000</v>
      </c>
      <c r="CL22" s="35">
        <v>1250000</v>
      </c>
      <c r="CM22" s="35">
        <v>1330000</v>
      </c>
      <c r="CN22" s="35">
        <v>1340000</v>
      </c>
      <c r="CO22" s="102">
        <v>1400000</v>
      </c>
      <c r="CP22" s="102">
        <v>1400000</v>
      </c>
      <c r="CQ22" s="102">
        <v>1490000</v>
      </c>
      <c r="CR22" s="102">
        <v>1580000</v>
      </c>
      <c r="CS22" s="102">
        <v>1660000</v>
      </c>
      <c r="CT22" s="102">
        <v>1570000</v>
      </c>
      <c r="CU22" s="102">
        <v>1400000</v>
      </c>
      <c r="CV22" s="102">
        <v>1590000</v>
      </c>
      <c r="CW22" s="102">
        <v>1940000</v>
      </c>
      <c r="CX22" s="102">
        <v>2220000</v>
      </c>
      <c r="CY22" s="102">
        <v>2630000</v>
      </c>
      <c r="CZ22" s="102">
        <v>2450000</v>
      </c>
      <c r="DA22" s="102">
        <v>2280000</v>
      </c>
      <c r="DB22" s="102">
        <v>2090000</v>
      </c>
      <c r="DC22" s="102">
        <v>2160000</v>
      </c>
      <c r="DD22" s="102">
        <v>2400000</v>
      </c>
      <c r="DE22" s="102">
        <v>2610000</v>
      </c>
      <c r="DF22" s="35">
        <v>2510000</v>
      </c>
      <c r="DG22" s="102">
        <v>2700000</v>
      </c>
      <c r="DH22" s="5"/>
      <c r="DJ22" s="5"/>
      <c r="DK22" s="5"/>
      <c r="DL22" s="5"/>
      <c r="DM22" s="5"/>
      <c r="DN22" s="5"/>
      <c r="DO22" s="5"/>
      <c r="DP22" s="5"/>
      <c r="DQ22" s="5"/>
      <c r="DR22" s="51">
        <f t="shared" ref="DR22:FT22" si="22">(K22-J22)/J22</f>
        <v>-0.6633663366336634</v>
      </c>
      <c r="DS22" s="51">
        <f t="shared" si="22"/>
        <v>0.13725490196078433</v>
      </c>
      <c r="DT22" s="51">
        <f t="shared" si="22"/>
        <v>1.646551724137931</v>
      </c>
      <c r="DU22" s="51">
        <f t="shared" si="22"/>
        <v>1.3029315960912053E-2</v>
      </c>
      <c r="DV22" s="51">
        <f t="shared" si="22"/>
        <v>0.17363344051446947</v>
      </c>
      <c r="DW22" s="51">
        <f t="shared" si="22"/>
        <v>-8.4931506849315067E-2</v>
      </c>
      <c r="DX22" s="51">
        <f t="shared" si="22"/>
        <v>1.7964071856287425E-2</v>
      </c>
      <c r="DY22" s="51">
        <f t="shared" si="22"/>
        <v>0.44117647058823528</v>
      </c>
      <c r="DZ22" s="51">
        <f t="shared" si="22"/>
        <v>0.16326530612244897</v>
      </c>
      <c r="EA22" s="51">
        <f t="shared" si="22"/>
        <v>-6.491228070175438E-2</v>
      </c>
      <c r="EB22" s="51">
        <f t="shared" si="22"/>
        <v>-0.33583489681050654</v>
      </c>
      <c r="EC22" s="51">
        <f t="shared" si="22"/>
        <v>-0.47457627118644069</v>
      </c>
      <c r="ED22" s="51">
        <f t="shared" si="22"/>
        <v>1.446236559139785</v>
      </c>
      <c r="EE22" s="51">
        <f t="shared" si="22"/>
        <v>0.55164835164835169</v>
      </c>
      <c r="EF22" s="51">
        <f t="shared" si="22"/>
        <v>7.7903682719546744E-2</v>
      </c>
      <c r="EG22" s="51">
        <f t="shared" si="22"/>
        <v>0.14323258869908015</v>
      </c>
      <c r="EH22" s="51">
        <f t="shared" si="22"/>
        <v>0.2988505747126437</v>
      </c>
      <c r="EI22" s="51">
        <f t="shared" si="22"/>
        <v>-1.7699115044247787E-2</v>
      </c>
      <c r="EJ22" s="51">
        <f t="shared" si="22"/>
        <v>8.1081081081081086E-2</v>
      </c>
      <c r="EK22" s="51">
        <f t="shared" si="22"/>
        <v>0.125</v>
      </c>
      <c r="EL22" s="51">
        <f t="shared" si="22"/>
        <v>0.15555555555555556</v>
      </c>
      <c r="EM22" s="51">
        <f t="shared" si="22"/>
        <v>-1.9230769230769232E-2</v>
      </c>
      <c r="EN22" s="51">
        <f t="shared" si="22"/>
        <v>-1.3071895424836602E-2</v>
      </c>
      <c r="EO22" s="51">
        <f t="shared" si="22"/>
        <v>1.3245033112582781E-2</v>
      </c>
      <c r="EP22" s="51">
        <f t="shared" si="22"/>
        <v>-3.2679738562091505E-2</v>
      </c>
      <c r="EQ22" s="51">
        <f t="shared" si="22"/>
        <v>-0.14864864864864866</v>
      </c>
      <c r="ER22" s="51">
        <f t="shared" si="22"/>
        <v>9.5238095238095233E-2</v>
      </c>
      <c r="ES22" s="51">
        <f t="shared" si="22"/>
        <v>7.9710144927536225E-2</v>
      </c>
      <c r="ET22" s="51">
        <f t="shared" si="22"/>
        <v>-3.0201342281879196E-2</v>
      </c>
      <c r="EU22" s="51">
        <f t="shared" si="22"/>
        <v>6.2283737024221453E-3</v>
      </c>
      <c r="EV22" s="51">
        <f t="shared" si="22"/>
        <v>0.12517193947730398</v>
      </c>
      <c r="EW22" s="51">
        <f t="shared" si="22"/>
        <v>0.13508557457212714</v>
      </c>
      <c r="EX22" s="51">
        <f t="shared" si="22"/>
        <v>9.316101238556812E-2</v>
      </c>
      <c r="EY22" s="51">
        <f t="shared" si="22"/>
        <v>9.2118226600985217E-2</v>
      </c>
      <c r="EZ22" s="51">
        <f t="shared" si="22"/>
        <v>0.12764997744700046</v>
      </c>
      <c r="FA22" s="51">
        <f t="shared" si="22"/>
        <v>6.4000000000000001E-2</v>
      </c>
      <c r="FB22" s="51">
        <f t="shared" si="22"/>
        <v>0.12406015037593984</v>
      </c>
      <c r="FC22" s="51">
        <f t="shared" si="22"/>
        <v>-0.23076923076923078</v>
      </c>
      <c r="FD22" s="51">
        <f t="shared" si="22"/>
        <v>0.2608695652173913</v>
      </c>
      <c r="FE22" s="51">
        <f t="shared" si="22"/>
        <v>0.13793103448275862</v>
      </c>
      <c r="FF22" s="51">
        <f t="shared" si="22"/>
        <v>0.12121212121212122</v>
      </c>
      <c r="FG22" s="51">
        <f t="shared" si="22"/>
        <v>-2.7027027027027029E-2</v>
      </c>
      <c r="FH22" s="51">
        <f t="shared" si="22"/>
        <v>-2.7777777777777776E-2</v>
      </c>
      <c r="FI22" s="51">
        <f t="shared" si="22"/>
        <v>8.5714285714285715E-2</v>
      </c>
      <c r="FJ22" s="51">
        <f t="shared" si="22"/>
        <v>0.10526315789473684</v>
      </c>
      <c r="FK22" s="51">
        <f t="shared" si="22"/>
        <v>-4.7619047619047616E-2</v>
      </c>
      <c r="FL22" s="51">
        <f t="shared" si="22"/>
        <v>0.125</v>
      </c>
      <c r="FM22" s="51">
        <f t="shared" si="22"/>
        <v>0.1111111111111111</v>
      </c>
      <c r="FN22" s="51">
        <f t="shared" si="22"/>
        <v>-0.01</v>
      </c>
      <c r="FO22" s="51">
        <f t="shared" si="22"/>
        <v>0.19047619047619047</v>
      </c>
      <c r="FP22" s="51">
        <f t="shared" si="22"/>
        <v>1.5151515151515152E-2</v>
      </c>
      <c r="FQ22" s="51">
        <f t="shared" si="22"/>
        <v>-5.9701492537313432E-2</v>
      </c>
      <c r="FR22" s="51">
        <f t="shared" si="22"/>
        <v>7.9365079365079361E-2</v>
      </c>
      <c r="FS22" s="51">
        <f t="shared" si="22"/>
        <v>8.8235294117647065E-2</v>
      </c>
      <c r="FT22" s="51">
        <f t="shared" si="22"/>
        <v>1.6216216216216217E-2</v>
      </c>
      <c r="FU22" s="51">
        <f t="shared" si="21"/>
        <v>1.9946808510638299E-2</v>
      </c>
      <c r="FV22" s="51">
        <f t="shared" si="21"/>
        <v>1.8252933507170794E-2</v>
      </c>
      <c r="FW22" s="51">
        <f t="shared" si="21"/>
        <v>-0.1946222791293214</v>
      </c>
      <c r="FX22" s="51">
        <f t="shared" si="21"/>
        <v>6.9952305246422888E-2</v>
      </c>
      <c r="FY22" s="51">
        <f t="shared" si="21"/>
        <v>0.1263001485884101</v>
      </c>
      <c r="FZ22" s="51">
        <f t="shared" si="21"/>
        <v>-5.1451187335092345E-2</v>
      </c>
      <c r="GA22" s="51">
        <f t="shared" si="21"/>
        <v>-0.12517385257301808</v>
      </c>
      <c r="GB22" s="51">
        <f t="shared" si="19"/>
        <v>4.9284578696343402E-2</v>
      </c>
      <c r="GC22" s="51">
        <f t="shared" si="19"/>
        <v>0.11818181818181818</v>
      </c>
      <c r="GD22" s="51">
        <f t="shared" si="19"/>
        <v>9.7560975609756101E-2</v>
      </c>
      <c r="GE22" s="51">
        <f t="shared" si="19"/>
        <v>-2.4691358024691357E-2</v>
      </c>
      <c r="GF22" s="51">
        <f t="shared" si="19"/>
        <v>3.7974683544303799E-2</v>
      </c>
      <c r="GG22" s="51">
        <f t="shared" si="19"/>
        <v>6.097560975609756E-2</v>
      </c>
      <c r="GH22" s="51">
        <f t="shared" si="19"/>
        <v>4.5977011494252873E-2</v>
      </c>
      <c r="GI22" s="51">
        <f t="shared" si="19"/>
        <v>6.4835164835164841E-2</v>
      </c>
      <c r="GJ22" s="51">
        <f t="shared" si="19"/>
        <v>1.6511867905056758E-2</v>
      </c>
      <c r="GK22" s="51">
        <f t="shared" si="16"/>
        <v>-3.8578680203045689E-2</v>
      </c>
      <c r="GL22" s="51">
        <f t="shared" si="16"/>
        <v>-4.9630411826821541E-2</v>
      </c>
      <c r="GM22" s="51">
        <f t="shared" si="16"/>
        <v>6.6666666666666671E-3</v>
      </c>
      <c r="GN22" s="51">
        <f t="shared" si="16"/>
        <v>0.1479028697571744</v>
      </c>
      <c r="GO22" s="51">
        <f t="shared" si="16"/>
        <v>3.8461538461538464E-2</v>
      </c>
      <c r="GP22" s="51">
        <f t="shared" si="16"/>
        <v>3.7037037037037035E-2</v>
      </c>
      <c r="GQ22" s="51">
        <f t="shared" si="16"/>
        <v>1.7857142857142856E-2</v>
      </c>
      <c r="GR22" s="51">
        <f t="shared" si="16"/>
        <v>-1.7543859649122806E-2</v>
      </c>
      <c r="GS22" s="51">
        <f t="shared" si="16"/>
        <v>0.11607142857142858</v>
      </c>
      <c r="GT22" s="51">
        <f t="shared" si="16"/>
        <v>6.4000000000000001E-2</v>
      </c>
      <c r="GU22" s="51">
        <f t="shared" si="16"/>
        <v>7.5187969924812026E-3</v>
      </c>
      <c r="GV22" s="51">
        <f t="shared" si="16"/>
        <v>4.4776119402985072E-2</v>
      </c>
      <c r="GW22" s="51">
        <f t="shared" si="16"/>
        <v>0</v>
      </c>
      <c r="GX22" s="51">
        <f t="shared" si="16"/>
        <v>6.4285714285714279E-2</v>
      </c>
      <c r="GY22" s="51">
        <f t="shared" si="16"/>
        <v>6.0402684563758392E-2</v>
      </c>
      <c r="GZ22" s="51">
        <f t="shared" si="16"/>
        <v>5.0632911392405063E-2</v>
      </c>
      <c r="HA22" s="51">
        <f t="shared" si="16"/>
        <v>-5.4216867469879519E-2</v>
      </c>
      <c r="HB22" s="51">
        <f t="shared" si="16"/>
        <v>-0.10828025477707007</v>
      </c>
      <c r="HC22" s="51">
        <f t="shared" si="16"/>
        <v>0.1357142857142857</v>
      </c>
      <c r="HD22" s="51">
        <f t="shared" si="16"/>
        <v>0.22012578616352202</v>
      </c>
      <c r="HE22" s="51">
        <f t="shared" si="20"/>
        <v>0.14432989690721648</v>
      </c>
      <c r="HF22" s="51">
        <f t="shared" si="20"/>
        <v>0.18468468468468469</v>
      </c>
      <c r="HG22" s="51">
        <f t="shared" si="20"/>
        <v>-6.8441064638783272E-2</v>
      </c>
      <c r="HH22" s="51">
        <f t="shared" si="20"/>
        <v>-6.9387755102040816E-2</v>
      </c>
      <c r="HI22" s="51">
        <f t="shared" si="20"/>
        <v>-8.3333333333333329E-2</v>
      </c>
      <c r="HJ22" s="51">
        <f t="shared" si="20"/>
        <v>3.3492822966507178E-2</v>
      </c>
      <c r="HK22" s="51">
        <f t="shared" si="20"/>
        <v>0.1111111111111111</v>
      </c>
      <c r="HL22" s="51">
        <f t="shared" si="20"/>
        <v>8.7499999999999994E-2</v>
      </c>
      <c r="HM22" s="51">
        <f t="shared" si="20"/>
        <v>-3.8314176245210725E-2</v>
      </c>
      <c r="HN22" s="51">
        <f>(DG22-DF22)/DF22</f>
        <v>7.5697211155378488E-2</v>
      </c>
      <c r="HP22" s="51">
        <f t="shared" si="2"/>
        <v>6.8583246343071488E-2</v>
      </c>
      <c r="HQ22" s="51">
        <f t="shared" si="3"/>
        <v>3.7559041818310983E-2</v>
      </c>
      <c r="HR22" s="51">
        <f t="shared" si="4"/>
        <v>3.8423450481038748E-2</v>
      </c>
      <c r="HS22" s="103">
        <f t="shared" si="5"/>
        <v>5.0632911392405063E-2</v>
      </c>
      <c r="HT22" s="79">
        <f t="shared" si="6"/>
        <v>3.7749287749287749E-2</v>
      </c>
      <c r="HU22" s="79">
        <f t="shared" si="7"/>
        <v>3.7749287749287749E-2</v>
      </c>
      <c r="HW22" s="104" t="s">
        <v>34</v>
      </c>
      <c r="HX22" s="25">
        <v>5.0632911392405097E-2</v>
      </c>
      <c r="HY22" s="17" t="s">
        <v>105</v>
      </c>
    </row>
    <row r="23" spans="1:234" ht="15" customHeight="1" x14ac:dyDescent="0.2">
      <c r="A23" s="5" t="s">
        <v>122</v>
      </c>
      <c r="B23" s="48" t="s">
        <v>35</v>
      </c>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5"/>
      <c r="BH23" s="102"/>
      <c r="BI23" s="102"/>
      <c r="BJ23" s="102"/>
      <c r="BK23" s="102"/>
      <c r="BL23" s="102"/>
      <c r="BM23" s="102"/>
      <c r="BN23" s="102"/>
      <c r="BO23" s="102"/>
      <c r="BP23" s="102"/>
      <c r="BQ23" s="102"/>
      <c r="BR23" s="102"/>
      <c r="BS23" s="102"/>
      <c r="BT23" s="102"/>
      <c r="BU23" s="102"/>
      <c r="BV23" s="102"/>
      <c r="BW23" s="102"/>
      <c r="BX23" s="102"/>
      <c r="BY23" s="102"/>
      <c r="BZ23" s="102"/>
      <c r="CA23" s="102"/>
      <c r="CB23" s="102"/>
      <c r="CC23" s="102"/>
      <c r="CD23" s="102"/>
      <c r="CE23" s="102"/>
      <c r="CF23" s="102"/>
      <c r="CG23" s="102"/>
      <c r="CH23" s="102"/>
      <c r="CI23" s="102"/>
      <c r="CJ23" s="35"/>
      <c r="CK23" s="35"/>
      <c r="CL23" s="35"/>
      <c r="CM23" s="35"/>
      <c r="CN23" s="35"/>
      <c r="CO23" s="102"/>
      <c r="CP23" s="102"/>
      <c r="CQ23">
        <v>639</v>
      </c>
      <c r="CR23">
        <v>656</v>
      </c>
      <c r="CS23">
        <v>688</v>
      </c>
      <c r="CT23">
        <v>585</v>
      </c>
      <c r="CU23">
        <v>511</v>
      </c>
      <c r="CV23">
        <v>4816</v>
      </c>
      <c r="CW23">
        <v>107130</v>
      </c>
      <c r="CX23">
        <v>64876</v>
      </c>
      <c r="CY23">
        <v>64041</v>
      </c>
      <c r="CZ23">
        <v>72154</v>
      </c>
      <c r="DA23" s="102">
        <v>66350</v>
      </c>
      <c r="DB23" s="102">
        <v>57759</v>
      </c>
      <c r="DC23" s="102">
        <v>70146</v>
      </c>
      <c r="DD23" s="102">
        <v>69506</v>
      </c>
      <c r="DE23" s="102">
        <v>94790</v>
      </c>
      <c r="DF23" s="35">
        <v>66232</v>
      </c>
      <c r="DG23" s="102">
        <v>84104</v>
      </c>
      <c r="DH23" s="5">
        <v>86461</v>
      </c>
      <c r="DJ23" s="5"/>
      <c r="DK23" s="5"/>
      <c r="DL23" s="5"/>
      <c r="DM23" s="5"/>
      <c r="DN23" s="5"/>
      <c r="DO23" s="5"/>
      <c r="DP23" s="5"/>
      <c r="DQ23" s="5"/>
      <c r="DR23" s="51"/>
      <c r="DS23" s="51"/>
      <c r="DT23" s="51"/>
      <c r="DU23" s="51"/>
      <c r="DV23" s="51"/>
      <c r="DW23" s="51"/>
      <c r="DX23" s="51"/>
      <c r="DY23" s="51"/>
      <c r="DZ23" s="51"/>
      <c r="EA23" s="51"/>
      <c r="EB23" s="51"/>
      <c r="EC23" s="51"/>
      <c r="ED23" s="51"/>
      <c r="EE23" s="51"/>
      <c r="EF23" s="51"/>
      <c r="EG23" s="51"/>
      <c r="EH23" s="51"/>
      <c r="EI23" s="51"/>
      <c r="EJ23" s="51"/>
      <c r="EK23" s="51"/>
      <c r="EL23" s="51"/>
      <c r="EM23" s="51"/>
      <c r="EN23" s="51"/>
      <c r="EO23" s="51"/>
      <c r="EP23" s="51"/>
      <c r="EQ23" s="51"/>
      <c r="ER23" s="51"/>
      <c r="ES23" s="51"/>
      <c r="ET23" s="51"/>
      <c r="EU23" s="51"/>
      <c r="EV23" s="51"/>
      <c r="EW23" s="51"/>
      <c r="EX23" s="51"/>
      <c r="EY23" s="51"/>
      <c r="EZ23" s="51"/>
      <c r="FA23" s="51"/>
      <c r="FB23" s="51"/>
      <c r="FC23" s="51"/>
      <c r="FD23" s="51"/>
      <c r="FE23" s="51"/>
      <c r="FF23" s="51"/>
      <c r="FG23" s="51"/>
      <c r="FH23" s="51"/>
      <c r="FI23" s="51"/>
      <c r="FJ23" s="51"/>
      <c r="FK23" s="51"/>
      <c r="FL23" s="51"/>
      <c r="FM23" s="51"/>
      <c r="FN23" s="51"/>
      <c r="FO23" s="51"/>
      <c r="FP23" s="51"/>
      <c r="FQ23" s="51"/>
      <c r="FR23" s="51"/>
      <c r="FS23" s="51"/>
      <c r="FT23" s="51"/>
      <c r="FU23" s="51"/>
      <c r="FV23" s="51"/>
      <c r="FW23" s="51"/>
      <c r="FX23" s="51"/>
      <c r="FY23" s="51"/>
      <c r="FZ23" s="51"/>
      <c r="GA23" s="51"/>
      <c r="GB23" s="51"/>
      <c r="GC23" s="51"/>
      <c r="GD23" s="51"/>
      <c r="GE23" s="51"/>
      <c r="GF23" s="51"/>
      <c r="GG23" s="51"/>
      <c r="GH23" s="51"/>
      <c r="GI23" s="51"/>
      <c r="GJ23" s="51"/>
      <c r="GK23" s="51"/>
      <c r="GL23" s="51"/>
      <c r="GM23" s="51"/>
      <c r="GN23" s="51"/>
      <c r="GO23" s="51"/>
      <c r="GP23" s="51"/>
      <c r="GQ23" s="51"/>
      <c r="GR23" s="51"/>
      <c r="GS23" s="51"/>
      <c r="GT23" s="51"/>
      <c r="GU23" s="51"/>
      <c r="GV23" s="51"/>
      <c r="GW23" s="51"/>
      <c r="GX23" s="51"/>
      <c r="GY23" s="51">
        <f t="shared" si="16"/>
        <v>2.6604068857589983E-2</v>
      </c>
      <c r="GZ23" s="51">
        <f t="shared" si="16"/>
        <v>4.878048780487805E-2</v>
      </c>
      <c r="HA23" s="51">
        <f t="shared" si="16"/>
        <v>-0.14970930232558138</v>
      </c>
      <c r="HB23" s="51">
        <f t="shared" si="16"/>
        <v>-0.12649572649572649</v>
      </c>
      <c r="HC23" s="51">
        <f t="shared" si="16"/>
        <v>8.4246575342465757</v>
      </c>
      <c r="HD23" s="51">
        <f t="shared" si="16"/>
        <v>21.244601328903656</v>
      </c>
      <c r="HE23" s="51">
        <f t="shared" si="20"/>
        <v>-0.39441799682628581</v>
      </c>
      <c r="HF23" s="51">
        <f t="shared" si="20"/>
        <v>-1.2870707195264813E-2</v>
      </c>
      <c r="HG23" s="51">
        <f t="shared" si="20"/>
        <v>0.12668446776283943</v>
      </c>
      <c r="HH23" s="51">
        <f t="shared" si="20"/>
        <v>-8.0439060897524742E-2</v>
      </c>
      <c r="HI23" s="51">
        <f t="shared" si="20"/>
        <v>-0.1294800301431801</v>
      </c>
      <c r="HJ23" s="51">
        <f t="shared" si="20"/>
        <v>0.21446008414273102</v>
      </c>
      <c r="HK23" s="51">
        <f t="shared" si="20"/>
        <v>-9.1238274456134343E-3</v>
      </c>
      <c r="HL23" s="51">
        <f t="shared" si="20"/>
        <v>0.36376715679221938</v>
      </c>
      <c r="HM23" s="51">
        <f t="shared" si="20"/>
        <v>-0.30127650596054434</v>
      </c>
      <c r="HN23" s="51">
        <f>(DG23-DF23)/DF23</f>
        <v>0.26983935257881386</v>
      </c>
      <c r="HP23" s="51">
        <f t="shared" si="2"/>
        <v>1.8447238327374738</v>
      </c>
      <c r="HQ23" s="51">
        <f t="shared" si="3"/>
        <v>1.8447238327374738</v>
      </c>
      <c r="HR23" s="51">
        <f t="shared" si="4"/>
        <v>2.1037921909262791</v>
      </c>
      <c r="HS23" s="103">
        <f t="shared" si="5"/>
        <v>8.7401207059882736E-3</v>
      </c>
      <c r="HT23" s="79">
        <f t="shared" si="6"/>
        <v>8.7401207059882736E-3</v>
      </c>
      <c r="HU23" s="79">
        <f t="shared" si="7"/>
        <v>8.7401207059882736E-3</v>
      </c>
      <c r="HW23" s="104" t="s">
        <v>35</v>
      </c>
      <c r="HX23" s="25">
        <v>8.7401207059882701E-3</v>
      </c>
      <c r="HY23" s="186" t="s">
        <v>108</v>
      </c>
    </row>
    <row r="24" spans="1:234" ht="15" customHeight="1" x14ac:dyDescent="0.2">
      <c r="A24" s="5" t="s">
        <v>106</v>
      </c>
      <c r="B24" s="48" t="s">
        <v>36</v>
      </c>
      <c r="C24" s="102"/>
      <c r="D24" s="102"/>
      <c r="E24" s="102"/>
      <c r="F24" s="102"/>
      <c r="G24" s="102"/>
      <c r="H24" s="102"/>
      <c r="I24" s="102"/>
      <c r="J24" s="102">
        <v>0.255736107753749</v>
      </c>
      <c r="K24" s="102">
        <v>0.16511914053683199</v>
      </c>
      <c r="L24" s="102">
        <v>0.52160476895408703</v>
      </c>
      <c r="M24" s="102">
        <v>0.87619035491225605</v>
      </c>
      <c r="N24" s="102">
        <v>1.2784992145698699</v>
      </c>
      <c r="O24" s="102">
        <v>1.5529824141294699</v>
      </c>
      <c r="P24" s="102">
        <v>1.85263727245254</v>
      </c>
      <c r="Q24" s="102">
        <v>2.8817753114424001</v>
      </c>
      <c r="R24" s="102">
        <v>2.95325580454241</v>
      </c>
      <c r="S24" s="102">
        <v>3.06921728464429</v>
      </c>
      <c r="T24" s="102">
        <v>4.06699605212828</v>
      </c>
      <c r="U24" s="102">
        <v>4.4265575817880203</v>
      </c>
      <c r="V24" s="102">
        <v>3.5814712613792299</v>
      </c>
      <c r="W24" s="102">
        <v>3.35335455159283</v>
      </c>
      <c r="X24" s="102">
        <v>6.3468050249960903</v>
      </c>
      <c r="Y24" s="102">
        <v>6.1139646199754401</v>
      </c>
      <c r="Z24" s="102">
        <v>7.0229397108749199</v>
      </c>
      <c r="AA24" s="102">
        <v>7.5020607698511999</v>
      </c>
      <c r="AB24" s="102">
        <v>8.8299941718666695</v>
      </c>
      <c r="AC24" s="102">
        <v>8.8997356838288493</v>
      </c>
      <c r="AD24" s="102">
        <v>7.2582582863875498</v>
      </c>
      <c r="AE24" s="102">
        <v>7.7847545388508204</v>
      </c>
      <c r="AF24" s="102">
        <v>12.7197687803777</v>
      </c>
      <c r="AG24" s="102">
        <v>10.051649022810301</v>
      </c>
      <c r="AH24" s="102">
        <v>8.2297507148942106</v>
      </c>
      <c r="AI24" s="102">
        <v>16.506613489314802</v>
      </c>
      <c r="AJ24" s="102">
        <v>9.3081274478264699</v>
      </c>
      <c r="AK24" s="102">
        <v>8.0698916360691602</v>
      </c>
      <c r="AL24" s="102">
        <v>8.5742860473664901</v>
      </c>
      <c r="AM24" s="102">
        <v>9.4237088721756503</v>
      </c>
      <c r="AN24" s="102">
        <v>8.8692390849240503</v>
      </c>
      <c r="AO24" s="102">
        <v>10.188583768593301</v>
      </c>
      <c r="AP24" s="102">
        <v>9.9194065435234098</v>
      </c>
      <c r="AQ24" s="102">
        <v>10.9018944830549</v>
      </c>
      <c r="AR24" s="102">
        <v>11.9846644116554</v>
      </c>
      <c r="AS24" s="102">
        <v>16.456305165708699</v>
      </c>
      <c r="AT24" s="102">
        <v>16.210596980971399</v>
      </c>
      <c r="AU24" s="102">
        <v>19.1779061311974</v>
      </c>
      <c r="AV24" s="102">
        <v>14.096919976665101</v>
      </c>
      <c r="AW24" s="102">
        <v>15.3682105526124</v>
      </c>
      <c r="AX24" s="102">
        <v>20.285432721620001</v>
      </c>
      <c r="AY24" s="102">
        <v>22.91208970484</v>
      </c>
      <c r="AZ24" s="102">
        <v>29.817723610760002</v>
      </c>
      <c r="BA24" s="102">
        <v>28.205018955090001</v>
      </c>
      <c r="BB24" s="102">
        <v>46.99278642614</v>
      </c>
      <c r="BC24" s="102">
        <v>54.522434300809998</v>
      </c>
      <c r="BD24" s="102">
        <v>56.15366855557</v>
      </c>
      <c r="BE24" s="102">
        <v>58.180917548890001</v>
      </c>
      <c r="BF24" s="102">
        <v>62.111474308730003</v>
      </c>
      <c r="BG24" s="102">
        <v>61.458680893500002</v>
      </c>
      <c r="BH24" s="102">
        <v>73.066472000000005</v>
      </c>
      <c r="BI24" s="102">
        <v>72.773743999999994</v>
      </c>
      <c r="BJ24" s="102">
        <v>74.242279999999994</v>
      </c>
      <c r="BK24" s="102">
        <v>85.089383999999995</v>
      </c>
      <c r="BL24" s="102">
        <v>91.389238599999999</v>
      </c>
      <c r="BM24" s="102">
        <v>92.9802222</v>
      </c>
      <c r="BN24" s="102">
        <v>97.599823999999998</v>
      </c>
      <c r="BO24" s="102">
        <v>102.390372</v>
      </c>
      <c r="BP24" s="102">
        <v>103.629364</v>
      </c>
      <c r="BQ24" s="102">
        <v>107.60574</v>
      </c>
      <c r="BR24" s="102">
        <v>111.898704</v>
      </c>
      <c r="BS24" s="102">
        <v>113.525732</v>
      </c>
      <c r="BT24" s="102">
        <v>112.80892747999999</v>
      </c>
      <c r="BU24" s="102">
        <v>112.55175496</v>
      </c>
      <c r="BV24" s="102">
        <v>118.922012</v>
      </c>
      <c r="BW24" s="102">
        <v>123.555436</v>
      </c>
      <c r="BX24" s="102">
        <v>139.098512</v>
      </c>
      <c r="BY24" s="102">
        <v>145.920388</v>
      </c>
      <c r="BZ24" s="102">
        <v>150.59474800000001</v>
      </c>
      <c r="CA24" s="102">
        <v>150.69174799999999</v>
      </c>
      <c r="CB24" s="102">
        <v>151.64247508</v>
      </c>
      <c r="CC24" s="102">
        <v>150.46635076000001</v>
      </c>
      <c r="CD24" s="102">
        <v>131.94134556</v>
      </c>
      <c r="CE24" s="102">
        <v>119.81845772</v>
      </c>
      <c r="CF24" s="102">
        <v>117.69264696</v>
      </c>
      <c r="CG24" s="102">
        <v>200.44265652000001</v>
      </c>
      <c r="CH24" s="102">
        <v>245.34424976</v>
      </c>
      <c r="CI24" s="102">
        <v>238.68722715999999</v>
      </c>
      <c r="CJ24" s="102">
        <v>258.14253980000001</v>
      </c>
      <c r="CK24" s="102">
        <v>264.08343203999999</v>
      </c>
      <c r="CL24" s="102">
        <v>238.65</v>
      </c>
      <c r="CM24" s="102">
        <v>224.99100000000001</v>
      </c>
      <c r="CN24" s="102">
        <v>158.43100000000001</v>
      </c>
      <c r="CO24" s="102">
        <v>193.16900000000001</v>
      </c>
      <c r="CP24" s="102">
        <v>262.88600000000002</v>
      </c>
      <c r="CQ24" s="102">
        <v>262.74099999999999</v>
      </c>
      <c r="CR24" s="102">
        <v>245.03200000000001</v>
      </c>
      <c r="CS24" s="102">
        <v>263.60899999999998</v>
      </c>
      <c r="CT24" s="102">
        <v>224.71</v>
      </c>
      <c r="CU24" s="102">
        <v>219.65100000000001</v>
      </c>
      <c r="CV24" s="102">
        <v>226.89099999999999</v>
      </c>
      <c r="CW24" s="102">
        <v>228.88</v>
      </c>
      <c r="CX24" s="102">
        <v>206.32400000000001</v>
      </c>
      <c r="CY24" s="102">
        <v>206.35499999999999</v>
      </c>
      <c r="CZ24" s="102">
        <v>185.61799999999999</v>
      </c>
      <c r="DA24" s="102">
        <v>204.29300000000001</v>
      </c>
      <c r="DB24" s="102">
        <v>202.67099999999999</v>
      </c>
      <c r="DC24" s="102">
        <v>212.18700000000001</v>
      </c>
      <c r="DD24" s="102">
        <v>214.583</v>
      </c>
      <c r="DE24" s="102">
        <v>213.71199999999999</v>
      </c>
      <c r="DF24" s="35">
        <v>207.441</v>
      </c>
      <c r="DG24" s="102"/>
      <c r="DH24" s="5"/>
      <c r="DJ24" s="5"/>
      <c r="DK24" s="51"/>
      <c r="DL24" s="51"/>
      <c r="DM24" s="51"/>
      <c r="DN24" s="51"/>
      <c r="DO24" s="51"/>
      <c r="DP24" s="51"/>
      <c r="DQ24" s="51"/>
      <c r="DR24" s="51">
        <f t="shared" ref="DR24:GC28" si="23">(K24-J24)/J24</f>
        <v>-0.35433778989149645</v>
      </c>
      <c r="DS24" s="51">
        <f t="shared" si="23"/>
        <v>2.1589600530759561</v>
      </c>
      <c r="DT24" s="51">
        <f t="shared" si="23"/>
        <v>0.67979743871816578</v>
      </c>
      <c r="DU24" s="51">
        <f t="shared" si="23"/>
        <v>0.45915691425055932</v>
      </c>
      <c r="DV24" s="51">
        <f t="shared" si="23"/>
        <v>0.21469172325768332</v>
      </c>
      <c r="DW24" s="51">
        <f t="shared" si="23"/>
        <v>0.19295444404052875</v>
      </c>
      <c r="DX24" s="51">
        <f t="shared" si="23"/>
        <v>0.55549893888698287</v>
      </c>
      <c r="DY24" s="51">
        <f t="shared" si="23"/>
        <v>2.4804325589225816E-2</v>
      </c>
      <c r="DZ24" s="51">
        <f t="shared" si="23"/>
        <v>3.9265640288768541E-2</v>
      </c>
      <c r="EA24" s="51">
        <f t="shared" si="23"/>
        <v>0.32509225478300685</v>
      </c>
      <c r="EB24" s="51">
        <f t="shared" si="23"/>
        <v>8.8409608726219419E-2</v>
      </c>
      <c r="EC24" s="51">
        <f t="shared" si="23"/>
        <v>-0.19091275890901988</v>
      </c>
      <c r="ED24" s="51">
        <f t="shared" si="23"/>
        <v>-6.3693575387940363E-2</v>
      </c>
      <c r="EE24" s="51">
        <f t="shared" si="23"/>
        <v>0.89267341921282473</v>
      </c>
      <c r="EF24" s="51">
        <f t="shared" si="23"/>
        <v>-3.6686238840430381E-2</v>
      </c>
      <c r="EG24" s="51">
        <f t="shared" si="23"/>
        <v>0.14867195795175064</v>
      </c>
      <c r="EH24" s="51">
        <f t="shared" si="23"/>
        <v>6.8222294181789433E-2</v>
      </c>
      <c r="EI24" s="51">
        <f t="shared" si="23"/>
        <v>0.17700915025269898</v>
      </c>
      <c r="EJ24" s="51">
        <f t="shared" si="23"/>
        <v>7.8982511884757439E-3</v>
      </c>
      <c r="EK24" s="51">
        <f t="shared" si="23"/>
        <v>-0.18444114024913402</v>
      </c>
      <c r="EL24" s="51">
        <f t="shared" si="23"/>
        <v>7.2537547120730655E-2</v>
      </c>
      <c r="EM24" s="51">
        <f t="shared" si="23"/>
        <v>0.63393318529159215</v>
      </c>
      <c r="EN24" s="51">
        <f t="shared" si="23"/>
        <v>-0.20976165554859816</v>
      </c>
      <c r="EO24" s="51">
        <f t="shared" si="23"/>
        <v>-0.1812536732810347</v>
      </c>
      <c r="EP24" s="51">
        <f t="shared" si="23"/>
        <v>1.0057246034732397</v>
      </c>
      <c r="EQ24" s="51">
        <f t="shared" si="23"/>
        <v>-0.43609708594365015</v>
      </c>
      <c r="ER24" s="51">
        <f t="shared" si="23"/>
        <v>-0.13302738050137558</v>
      </c>
      <c r="ES24" s="51">
        <f t="shared" si="23"/>
        <v>6.2503244658563994E-2</v>
      </c>
      <c r="ET24" s="51">
        <f t="shared" si="23"/>
        <v>9.9066303610205811E-2</v>
      </c>
      <c r="EU24" s="51">
        <f t="shared" si="23"/>
        <v>-5.8837745814572226E-2</v>
      </c>
      <c r="EV24" s="51">
        <f t="shared" si="23"/>
        <v>0.14875511540915329</v>
      </c>
      <c r="EW24" s="51">
        <f t="shared" si="23"/>
        <v>-2.6419493737651727E-2</v>
      </c>
      <c r="EX24" s="51">
        <f t="shared" si="23"/>
        <v>9.904704835119163E-2</v>
      </c>
      <c r="EY24" s="51">
        <f t="shared" si="23"/>
        <v>9.9319428406088317E-2</v>
      </c>
      <c r="EZ24" s="51">
        <f t="shared" si="23"/>
        <v>0.37311355582927386</v>
      </c>
      <c r="FA24" s="51">
        <f t="shared" si="23"/>
        <v>-1.493094484230283E-2</v>
      </c>
      <c r="FB24" s="51">
        <f t="shared" si="23"/>
        <v>0.18304749379119958</v>
      </c>
      <c r="FC24" s="51">
        <f t="shared" si="23"/>
        <v>-0.2649395674258137</v>
      </c>
      <c r="FD24" s="51">
        <f t="shared" si="23"/>
        <v>9.0182151707726976E-2</v>
      </c>
      <c r="FE24" s="51">
        <f t="shared" si="23"/>
        <v>0.31996061949917365</v>
      </c>
      <c r="FF24" s="51">
        <f t="shared" si="23"/>
        <v>0.12948488796201696</v>
      </c>
      <c r="FG24" s="51">
        <f t="shared" si="23"/>
        <v>0.30139694785069043</v>
      </c>
      <c r="FH24" s="51">
        <f t="shared" si="23"/>
        <v>-5.4085438470160126E-2</v>
      </c>
      <c r="FI24" s="51">
        <f t="shared" si="23"/>
        <v>0.66611433592599933</v>
      </c>
      <c r="FJ24" s="51">
        <f t="shared" si="23"/>
        <v>0.16022986605624195</v>
      </c>
      <c r="FK24" s="51">
        <f t="shared" si="23"/>
        <v>2.9918588112925994E-2</v>
      </c>
      <c r="FL24" s="51">
        <f t="shared" si="23"/>
        <v>3.6101808581104955E-2</v>
      </c>
      <c r="FM24" s="51">
        <f t="shared" si="23"/>
        <v>6.7557490074595605E-2</v>
      </c>
      <c r="FN24" s="51">
        <f t="shared" si="23"/>
        <v>-1.0510029306102753E-2</v>
      </c>
      <c r="FO24" s="51">
        <f t="shared" si="23"/>
        <v>0.18887146514932224</v>
      </c>
      <c r="FP24" s="51">
        <f t="shared" si="23"/>
        <v>-4.0063245423976532E-3</v>
      </c>
      <c r="FQ24" s="51">
        <f t="shared" si="23"/>
        <v>2.017947571860533E-2</v>
      </c>
      <c r="FR24" s="51">
        <f t="shared" si="23"/>
        <v>0.14610413365537808</v>
      </c>
      <c r="FS24" s="51">
        <f t="shared" si="23"/>
        <v>7.4038079767976744E-2</v>
      </c>
      <c r="FT24" s="51">
        <f t="shared" si="23"/>
        <v>1.740887247089945E-2</v>
      </c>
      <c r="FU24" s="51">
        <f t="shared" si="23"/>
        <v>4.9683703595193154E-2</v>
      </c>
      <c r="FV24" s="51">
        <f t="shared" si="23"/>
        <v>4.9083572117916946E-2</v>
      </c>
      <c r="FW24" s="51">
        <f t="shared" si="23"/>
        <v>1.2100668996495062E-2</v>
      </c>
      <c r="FX24" s="51">
        <f t="shared" si="23"/>
        <v>3.8371131950592711E-2</v>
      </c>
      <c r="FY24" s="51">
        <f t="shared" si="23"/>
        <v>3.9895306700181585E-2</v>
      </c>
      <c r="FZ24" s="51">
        <f t="shared" si="23"/>
        <v>1.4540186274186071E-2</v>
      </c>
      <c r="GA24" s="51">
        <f t="shared" si="23"/>
        <v>-6.3140268498776192E-3</v>
      </c>
      <c r="GB24" s="51">
        <f t="shared" si="23"/>
        <v>-2.2797178002210137E-3</v>
      </c>
      <c r="GC24" s="51">
        <f t="shared" si="23"/>
        <v>5.6598469231012326E-2</v>
      </c>
      <c r="GD24" s="51">
        <f t="shared" ref="GD24:GX28" si="24">(BW24-BV24)/BV24</f>
        <v>3.8961870238118784E-2</v>
      </c>
      <c r="GE24" s="51">
        <f t="shared" si="24"/>
        <v>0.12579839870420592</v>
      </c>
      <c r="GF24" s="51">
        <f t="shared" si="24"/>
        <v>4.9043486532767536E-2</v>
      </c>
      <c r="GG24" s="51">
        <f t="shared" si="24"/>
        <v>3.203363192811691E-2</v>
      </c>
      <c r="GH24" s="51">
        <f t="shared" si="24"/>
        <v>6.441127681290717E-4</v>
      </c>
      <c r="GI24" s="51">
        <f t="shared" si="24"/>
        <v>6.3090852194508168E-3</v>
      </c>
      <c r="GJ24" s="51">
        <f t="shared" si="24"/>
        <v>-7.7559029511982914E-3</v>
      </c>
      <c r="GK24" s="51">
        <f t="shared" si="24"/>
        <v>-0.12311726247384142</v>
      </c>
      <c r="GL24" s="51">
        <f t="shared" si="24"/>
        <v>-9.1880886833059852E-2</v>
      </c>
      <c r="GM24" s="51">
        <f t="shared" si="24"/>
        <v>-1.7741930587754133E-2</v>
      </c>
      <c r="GN24" s="51">
        <f t="shared" si="24"/>
        <v>0.70310262958164338</v>
      </c>
      <c r="GO24" s="51">
        <f t="shared" si="24"/>
        <v>0.22401216397528506</v>
      </c>
      <c r="GP24" s="51">
        <f t="shared" si="24"/>
        <v>-2.7133395653299475E-2</v>
      </c>
      <c r="GQ24" s="51">
        <f t="shared" si="24"/>
        <v>8.1509651234745267E-2</v>
      </c>
      <c r="GR24" s="51">
        <f t="shared" si="24"/>
        <v>2.3013999337741009E-2</v>
      </c>
      <c r="GS24" s="51">
        <f t="shared" si="24"/>
        <v>-9.6308321364695276E-2</v>
      </c>
      <c r="GT24" s="51">
        <f t="shared" si="24"/>
        <v>-5.7234443746071617E-2</v>
      </c>
      <c r="GU24" s="51">
        <f t="shared" si="24"/>
        <v>-0.29583405558444559</v>
      </c>
      <c r="GV24" s="51">
        <f t="shared" si="24"/>
        <v>0.21926264430572298</v>
      </c>
      <c r="GW24" s="51">
        <f t="shared" si="24"/>
        <v>0.36091194756922701</v>
      </c>
      <c r="GX24" s="51">
        <f t="shared" si="24"/>
        <v>-5.5156988200223158E-4</v>
      </c>
      <c r="GY24" s="51">
        <f t="shared" si="16"/>
        <v>-6.7400976627172676E-2</v>
      </c>
      <c r="GZ24" s="51">
        <f t="shared" si="16"/>
        <v>7.5814587482451151E-2</v>
      </c>
      <c r="HA24" s="51">
        <f t="shared" si="16"/>
        <v>-0.1475632470818522</v>
      </c>
      <c r="HB24" s="51">
        <f t="shared" si="16"/>
        <v>-2.2513461795202694E-2</v>
      </c>
      <c r="HC24" s="51">
        <f t="shared" si="16"/>
        <v>3.2961379643161107E-2</v>
      </c>
      <c r="HD24" s="51">
        <f t="shared" si="16"/>
        <v>8.7663239176521083E-3</v>
      </c>
      <c r="HE24" s="51">
        <f t="shared" si="20"/>
        <v>-9.8549458231387554E-2</v>
      </c>
      <c r="HF24" s="51">
        <f t="shared" si="20"/>
        <v>1.5024912273888392E-4</v>
      </c>
      <c r="HG24" s="51">
        <f t="shared" si="20"/>
        <v>-0.10049187080516583</v>
      </c>
      <c r="HH24" s="51">
        <f t="shared" si="20"/>
        <v>0.10060985464771742</v>
      </c>
      <c r="HI24" s="51">
        <f t="shared" si="20"/>
        <v>-7.9395769801217566E-3</v>
      </c>
      <c r="HJ24" s="51">
        <f t="shared" si="20"/>
        <v>4.6952943440354167E-2</v>
      </c>
      <c r="HK24" s="51">
        <f t="shared" si="20"/>
        <v>1.1291926461093216E-2</v>
      </c>
      <c r="HL24" s="51">
        <f t="shared" si="20"/>
        <v>-4.0590354315113934E-3</v>
      </c>
      <c r="HM24" s="51">
        <f t="shared" si="20"/>
        <v>-2.9343228269821005E-2</v>
      </c>
      <c r="HN24" s="51"/>
      <c r="HP24" s="51">
        <f t="shared" si="2"/>
        <v>0.10031173376214042</v>
      </c>
      <c r="HQ24" s="51">
        <f t="shared" si="3"/>
        <v>2.2556476181947768E-2</v>
      </c>
      <c r="HR24" s="51">
        <f t="shared" si="4"/>
        <v>2.5263897425576321E-2</v>
      </c>
      <c r="HS24" s="103">
        <f t="shared" si="5"/>
        <v>3.4531594112133031E-2</v>
      </c>
      <c r="HT24" s="79">
        <f t="shared" si="6"/>
        <v>-4.0590354315113934E-3</v>
      </c>
      <c r="HU24" s="79">
        <f t="shared" si="7"/>
        <v>-5.5156988200223158E-4</v>
      </c>
      <c r="HW24" s="104" t="s">
        <v>36</v>
      </c>
      <c r="HX24" s="16">
        <f>HU24</f>
        <v>-5.5156988200223158E-4</v>
      </c>
      <c r="HY24" s="17" t="s">
        <v>108</v>
      </c>
    </row>
    <row r="25" spans="1:234" ht="15" customHeight="1" x14ac:dyDescent="0.2">
      <c r="A25" s="5" t="s">
        <v>106</v>
      </c>
      <c r="B25" s="48" t="s">
        <v>224</v>
      </c>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5"/>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v>1023.87919048421</v>
      </c>
      <c r="BN25" s="102">
        <v>979.90395534350398</v>
      </c>
      <c r="BO25" s="102">
        <v>1274.30049727409</v>
      </c>
      <c r="BP25" s="102">
        <v>1439.8141266509899</v>
      </c>
      <c r="BQ25" s="102">
        <v>1603.44308180956</v>
      </c>
      <c r="BR25" s="102">
        <v>1448.80957654332</v>
      </c>
      <c r="BS25" s="102">
        <v>1459.5475016944999</v>
      </c>
      <c r="BT25" s="102">
        <v>1327.6726170879299</v>
      </c>
      <c r="BU25" s="102">
        <v>1719.44498687297</v>
      </c>
      <c r="BV25" s="102">
        <v>2181.2239405476798</v>
      </c>
      <c r="BW25" s="102">
        <v>2355.4244530410601</v>
      </c>
      <c r="BX25" s="102">
        <v>2215.66108529648</v>
      </c>
      <c r="BY25" s="102">
        <v>2326.2440346693302</v>
      </c>
      <c r="BZ25" s="102">
        <v>2214.6161960855802</v>
      </c>
      <c r="CA25" s="102">
        <v>2732.0846656551398</v>
      </c>
      <c r="CB25" s="102">
        <v>2884.8646182448201</v>
      </c>
      <c r="CC25" s="102">
        <v>2287.8289609379599</v>
      </c>
      <c r="CD25" s="102">
        <v>2227.3300080589001</v>
      </c>
      <c r="CE25" s="102">
        <v>2513.88259714264</v>
      </c>
      <c r="CF25" s="102">
        <v>2412.1082028713799</v>
      </c>
      <c r="CG25" s="102">
        <v>3238.6347713472901</v>
      </c>
      <c r="CH25" s="102">
        <v>3443.4037560833399</v>
      </c>
      <c r="CI25" s="102">
        <v>2992.98052327198</v>
      </c>
      <c r="CJ25" s="102">
        <v>3329.0012996187402</v>
      </c>
      <c r="CK25" s="102">
        <v>3352.0825579641</v>
      </c>
      <c r="CL25" s="102">
        <v>3537.4019034151102</v>
      </c>
      <c r="CM25" s="102">
        <v>3906.7417665686098</v>
      </c>
      <c r="CN25" s="102">
        <v>4253.48540391602</v>
      </c>
      <c r="CO25" s="102">
        <v>4275.2787601604896</v>
      </c>
      <c r="CP25" s="102">
        <v>4601.9473476654002</v>
      </c>
      <c r="CQ25" s="102">
        <v>5444.1062003561101</v>
      </c>
      <c r="CR25" s="102">
        <v>6119.9063413787799</v>
      </c>
      <c r="CS25" s="102">
        <v>5564.89171814566</v>
      </c>
      <c r="CT25" s="102">
        <v>5697.6656511211204</v>
      </c>
      <c r="CU25" s="102">
        <v>5872.4230405640401</v>
      </c>
      <c r="CV25" s="102">
        <v>5403.5093078985501</v>
      </c>
      <c r="CW25" s="102">
        <v>4875.9096177022002</v>
      </c>
      <c r="CX25" s="102">
        <v>4742.6206894264997</v>
      </c>
      <c r="CY25" s="102">
        <v>4495.1762905389696</v>
      </c>
      <c r="CZ25" s="102">
        <v>6692.6183617712404</v>
      </c>
      <c r="DA25" s="102">
        <v>6895.2353250019496</v>
      </c>
      <c r="DB25" s="102">
        <v>7290.1423624196996</v>
      </c>
      <c r="DC25" s="102">
        <v>8079.3889657382497</v>
      </c>
      <c r="DD25" s="102">
        <v>11081.4058273112</v>
      </c>
      <c r="DE25" s="102">
        <v>11068.2731988449</v>
      </c>
      <c r="DF25" s="102">
        <v>10438.959702059599</v>
      </c>
      <c r="DG25" s="102"/>
      <c r="DH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1">
        <f t="shared" si="23"/>
        <v>-4.2949632680696785E-2</v>
      </c>
      <c r="FV25" s="51">
        <f t="shared" si="23"/>
        <v>0.30043407859026938</v>
      </c>
      <c r="FW25" s="51">
        <f t="shared" si="23"/>
        <v>0.12988587050774683</v>
      </c>
      <c r="FX25" s="51">
        <f t="shared" si="23"/>
        <v>0.1136458881252758</v>
      </c>
      <c r="FY25" s="51">
        <f t="shared" si="23"/>
        <v>-9.6438412451615649E-2</v>
      </c>
      <c r="FZ25" s="51">
        <f t="shared" si="23"/>
        <v>7.4115503686822239E-3</v>
      </c>
      <c r="GA25" s="51">
        <f t="shared" si="23"/>
        <v>-9.0353266648373176E-2</v>
      </c>
      <c r="GB25" s="51">
        <f t="shared" si="23"/>
        <v>0.29508205919343267</v>
      </c>
      <c r="GC25" s="51">
        <f t="shared" si="23"/>
        <v>0.26856279625119828</v>
      </c>
      <c r="GD25" s="51">
        <f t="shared" si="24"/>
        <v>7.9863653270576429E-2</v>
      </c>
      <c r="GE25" s="51">
        <f t="shared" si="24"/>
        <v>-5.9336807667141833E-2</v>
      </c>
      <c r="GF25" s="51">
        <f t="shared" si="24"/>
        <v>4.990968614590844E-2</v>
      </c>
      <c r="GG25" s="51">
        <f t="shared" si="24"/>
        <v>-4.7986297619723971E-2</v>
      </c>
      <c r="GH25" s="51">
        <f t="shared" si="24"/>
        <v>0.23366056406713051</v>
      </c>
      <c r="GI25" s="51">
        <f t="shared" si="24"/>
        <v>5.5920650816670227E-2</v>
      </c>
      <c r="GJ25" s="51">
        <f t="shared" si="24"/>
        <v>-0.20695448012742537</v>
      </c>
      <c r="GK25" s="51">
        <f t="shared" si="24"/>
        <v>-2.6443826838461078E-2</v>
      </c>
      <c r="GL25" s="51">
        <f t="shared" si="24"/>
        <v>0.12865295580221092</v>
      </c>
      <c r="GM25" s="51">
        <f t="shared" si="24"/>
        <v>-4.0484943245535837E-2</v>
      </c>
      <c r="GN25" s="51">
        <f t="shared" si="24"/>
        <v>0.34265733497859291</v>
      </c>
      <c r="GO25" s="51">
        <f t="shared" si="24"/>
        <v>6.3226945670957754E-2</v>
      </c>
      <c r="GP25" s="51">
        <f t="shared" si="24"/>
        <v>-0.13080755691678997</v>
      </c>
      <c r="GQ25" s="51">
        <f t="shared" si="24"/>
        <v>0.11226961676964614</v>
      </c>
      <c r="GR25" s="51">
        <f t="shared" si="24"/>
        <v>6.9333882050461437E-3</v>
      </c>
      <c r="GS25" s="51">
        <f t="shared" si="24"/>
        <v>5.5284839274234499E-2</v>
      </c>
      <c r="GT25" s="51">
        <f t="shared" si="24"/>
        <v>0.10440992379094054</v>
      </c>
      <c r="GU25" s="51">
        <f t="shared" si="24"/>
        <v>8.8755197570164437E-2</v>
      </c>
      <c r="GV25" s="51">
        <f t="shared" si="24"/>
        <v>5.1236466509101634E-3</v>
      </c>
      <c r="GW25" s="51">
        <f t="shared" si="24"/>
        <v>7.6408722291747791E-2</v>
      </c>
      <c r="GX25" s="51">
        <f t="shared" si="24"/>
        <v>0.18300054065545598</v>
      </c>
      <c r="GY25" s="51">
        <f t="shared" ref="GY25:HD32" si="25">(CR25-CQ25)/CQ25</f>
        <v>0.12413426853768288</v>
      </c>
      <c r="GZ25" s="51">
        <f t="shared" si="25"/>
        <v>-9.0690051819988848E-2</v>
      </c>
      <c r="HA25" s="51">
        <f t="shared" si="25"/>
        <v>2.385921230821424E-2</v>
      </c>
      <c r="HB25" s="51">
        <f t="shared" si="25"/>
        <v>3.0671752283065779E-2</v>
      </c>
      <c r="HC25" s="51">
        <f t="shared" si="25"/>
        <v>-7.9850128205418133E-2</v>
      </c>
      <c r="HD25" s="51">
        <f t="shared" si="25"/>
        <v>-9.7640192721632574E-2</v>
      </c>
      <c r="HE25" s="51">
        <f t="shared" si="20"/>
        <v>-2.7336218003670396E-2</v>
      </c>
      <c r="HF25" s="51">
        <f t="shared" si="20"/>
        <v>-5.2174612960129478E-2</v>
      </c>
      <c r="HG25" s="51">
        <f t="shared" si="20"/>
        <v>0.48884446998380088</v>
      </c>
      <c r="HH25" s="51">
        <f t="shared" si="20"/>
        <v>3.0274692546055387E-2</v>
      </c>
      <c r="HI25" s="51">
        <f t="shared" si="20"/>
        <v>5.7272452469580987E-2</v>
      </c>
      <c r="HJ25" s="51">
        <f t="shared" si="20"/>
        <v>0.10826216609802777</v>
      </c>
      <c r="HK25" s="51">
        <f t="shared" si="20"/>
        <v>0.37156483916090838</v>
      </c>
      <c r="HL25" s="51">
        <f t="shared" si="20"/>
        <v>-1.1851049109612357E-3</v>
      </c>
      <c r="HM25" s="51">
        <f t="shared" si="20"/>
        <v>-5.6857423509475376E-2</v>
      </c>
      <c r="HN25" s="5"/>
      <c r="HP25" s="51">
        <f t="shared" si="2"/>
        <v>6.1966551245713222E-2</v>
      </c>
      <c r="HQ25" s="51">
        <f t="shared" si="3"/>
        <v>5.3132357309820161E-2</v>
      </c>
      <c r="HR25" s="51">
        <f t="shared" si="4"/>
        <v>5.8798124311202127E-2</v>
      </c>
      <c r="HS25" s="79">
        <f t="shared" si="5"/>
        <v>4.990968614590844E-2</v>
      </c>
      <c r="HT25" s="79">
        <f t="shared" si="6"/>
        <v>3.0671752283065779E-2</v>
      </c>
      <c r="HU25" s="103">
        <f t="shared" si="7"/>
        <v>5.5284839274234499E-2</v>
      </c>
      <c r="HW25" s="104" t="s">
        <v>38</v>
      </c>
      <c r="HX25" s="16">
        <v>5.5284839274235199E-2</v>
      </c>
      <c r="HY25" s="186" t="s">
        <v>108</v>
      </c>
    </row>
    <row r="26" spans="1:234" ht="15" customHeight="1" x14ac:dyDescent="0.2">
      <c r="A26" s="5" t="s">
        <v>106</v>
      </c>
      <c r="B26" s="48" t="s">
        <v>39</v>
      </c>
      <c r="C26" s="102"/>
      <c r="D26" s="102"/>
      <c r="E26" s="102"/>
      <c r="F26" s="102"/>
      <c r="G26" s="102"/>
      <c r="H26" s="102"/>
      <c r="I26" s="102"/>
      <c r="J26" s="102">
        <v>1.2386989048749</v>
      </c>
      <c r="K26" s="102">
        <v>1.1868851227081401</v>
      </c>
      <c r="L26" s="102">
        <v>2.1947224369991898</v>
      </c>
      <c r="M26" s="102">
        <v>1.7383387425925001</v>
      </c>
      <c r="N26" s="102">
        <v>2.7224633621321801</v>
      </c>
      <c r="O26" s="102">
        <v>2.31833153639935</v>
      </c>
      <c r="P26" s="102">
        <v>3.6466859360164299</v>
      </c>
      <c r="Q26" s="102">
        <v>3.71603212924395</v>
      </c>
      <c r="R26" s="102">
        <v>1.67777163346049</v>
      </c>
      <c r="S26" s="102">
        <v>1.8642248986962899</v>
      </c>
      <c r="T26" s="102">
        <v>3.9582867103613801</v>
      </c>
      <c r="U26" s="102">
        <v>4.0471052844930302</v>
      </c>
      <c r="V26" s="102">
        <v>3.4097567702949698</v>
      </c>
      <c r="W26" s="102">
        <v>3.34296486389924</v>
      </c>
      <c r="X26" s="102">
        <v>5.8625275687472298</v>
      </c>
      <c r="Y26" s="102">
        <v>5.2056382027856003</v>
      </c>
      <c r="Z26" s="102">
        <v>6.0584819483789101</v>
      </c>
      <c r="AA26" s="102">
        <v>5.8979558538203998</v>
      </c>
      <c r="AB26" s="102">
        <v>6.9149820999871601</v>
      </c>
      <c r="AC26" s="102">
        <v>6.81596369144569</v>
      </c>
      <c r="AD26" s="102">
        <v>6.2389982453741197</v>
      </c>
      <c r="AE26" s="102">
        <v>6.6575606932685796</v>
      </c>
      <c r="AF26" s="102">
        <v>9.7308534496333703</v>
      </c>
      <c r="AG26" s="102">
        <v>7.7186803594168101</v>
      </c>
      <c r="AH26" s="102">
        <v>6.5420508106347404</v>
      </c>
      <c r="AI26" s="102">
        <v>11.7338010025251</v>
      </c>
      <c r="AJ26" s="102">
        <v>7.2595290506231303</v>
      </c>
      <c r="AK26" s="102">
        <v>6.5750170446666498</v>
      </c>
      <c r="AL26" s="102">
        <v>6.8501200818911299</v>
      </c>
      <c r="AM26" s="102">
        <v>7.0318462515528601</v>
      </c>
      <c r="AN26" s="102">
        <v>7.3069836356793303</v>
      </c>
      <c r="AO26" s="102">
        <v>8.7427488702803693</v>
      </c>
      <c r="AP26" s="102">
        <v>8.9753636394610101</v>
      </c>
      <c r="AQ26" s="102">
        <v>9.9754771272886096</v>
      </c>
      <c r="AR26" s="102">
        <v>10.8395441815974</v>
      </c>
      <c r="AS26" s="102">
        <v>13.2482156646064</v>
      </c>
      <c r="AT26" s="102">
        <v>13.9013917336767</v>
      </c>
      <c r="AU26" s="102">
        <v>16.563700314164901</v>
      </c>
      <c r="AV26" s="102">
        <v>10.6725015927844</v>
      </c>
      <c r="AW26" s="102">
        <v>12.202350183048299</v>
      </c>
      <c r="AX26" s="102">
        <v>15.123936287179999</v>
      </c>
      <c r="AY26" s="102">
        <v>15.47879238626</v>
      </c>
      <c r="AZ26" s="102">
        <v>17.678919609139999</v>
      </c>
      <c r="BA26" s="102">
        <v>16.847447472635</v>
      </c>
      <c r="BB26" s="102">
        <v>27.280539577710002</v>
      </c>
      <c r="BC26" s="102">
        <v>31.780140779715001</v>
      </c>
      <c r="BD26" s="102">
        <v>32.671104891704999</v>
      </c>
      <c r="BE26" s="102">
        <v>33.807375776459999</v>
      </c>
      <c r="BF26" s="102">
        <v>36.029584307095</v>
      </c>
      <c r="BG26" s="102">
        <v>35.48229738525</v>
      </c>
      <c r="BH26" s="102">
        <v>47.650497000000001</v>
      </c>
      <c r="BI26" s="102">
        <v>44.860678999999998</v>
      </c>
      <c r="BJ26" s="102">
        <v>46.484065000000001</v>
      </c>
      <c r="BK26" s="102">
        <v>60.917754000000002</v>
      </c>
      <c r="BL26" s="102">
        <v>68.287949850000004</v>
      </c>
      <c r="BM26" s="102">
        <v>66.366490949999999</v>
      </c>
      <c r="BN26" s="102">
        <v>69.168948999999998</v>
      </c>
      <c r="BO26" s="102">
        <v>73.046322000000004</v>
      </c>
      <c r="BP26" s="102">
        <v>72.783108999999996</v>
      </c>
      <c r="BQ26" s="102">
        <v>77.331275000000005</v>
      </c>
      <c r="BR26" s="102">
        <v>79.009643999999994</v>
      </c>
      <c r="BS26" s="102">
        <v>79.807886999999994</v>
      </c>
      <c r="BT26" s="102">
        <v>77.388884230000002</v>
      </c>
      <c r="BU26" s="102">
        <v>74.292118459999998</v>
      </c>
      <c r="BV26" s="102">
        <v>79.751452</v>
      </c>
      <c r="BW26" s="102">
        <v>91.323271000000005</v>
      </c>
      <c r="BX26" s="102">
        <v>96.038811999999993</v>
      </c>
      <c r="BY26" s="102">
        <v>100.872553</v>
      </c>
      <c r="BZ26" s="102">
        <v>101.890433</v>
      </c>
      <c r="CA26" s="102">
        <v>102.498608</v>
      </c>
      <c r="CB26" s="102">
        <v>107.09672933</v>
      </c>
      <c r="CC26" s="102">
        <v>105.69293801000001</v>
      </c>
      <c r="CD26" s="102">
        <v>108.61400030999999</v>
      </c>
      <c r="CE26" s="102">
        <v>111.59488347</v>
      </c>
      <c r="CF26" s="102">
        <v>101.67436046</v>
      </c>
      <c r="CG26" s="102">
        <v>133.05817476999999</v>
      </c>
      <c r="CH26" s="102">
        <v>133.13108076</v>
      </c>
      <c r="CI26" s="102">
        <v>127.09934191000001</v>
      </c>
      <c r="CJ26" s="102">
        <v>143.81613855000001</v>
      </c>
      <c r="CK26" s="102">
        <v>124.63483728999999</v>
      </c>
      <c r="CL26" s="102">
        <v>159.18299999999999</v>
      </c>
      <c r="CM26" s="102">
        <v>184.27199999999999</v>
      </c>
      <c r="CN26" s="102">
        <v>182.12299999999999</v>
      </c>
      <c r="CO26" s="102">
        <v>197.12</v>
      </c>
      <c r="CP26" s="102">
        <v>200.32499999999999</v>
      </c>
      <c r="CQ26" s="102">
        <v>215.774</v>
      </c>
      <c r="CR26" s="102">
        <v>217.38900000000001</v>
      </c>
      <c r="CS26" s="102">
        <v>214.768</v>
      </c>
      <c r="CT26" s="102">
        <v>192.114</v>
      </c>
      <c r="CU26" s="102">
        <v>183.01900000000001</v>
      </c>
      <c r="CV26" s="102">
        <v>192.80500000000001</v>
      </c>
      <c r="CW26" s="102">
        <v>200.56800000000001</v>
      </c>
      <c r="CX26" s="102">
        <v>179.65</v>
      </c>
      <c r="CY26" s="102">
        <v>192.84700000000001</v>
      </c>
      <c r="CZ26" s="102">
        <v>148.10300000000001</v>
      </c>
      <c r="DA26" s="102">
        <v>192.29</v>
      </c>
      <c r="DB26" s="102">
        <v>189.071</v>
      </c>
      <c r="DC26" s="102">
        <v>185.886</v>
      </c>
      <c r="DD26" s="102">
        <v>195.07900000000001</v>
      </c>
      <c r="DE26" s="102">
        <v>187.04499999999999</v>
      </c>
      <c r="DF26" s="35">
        <v>169.613</v>
      </c>
      <c r="DG26" s="102"/>
      <c r="DH26" s="5"/>
      <c r="DJ26" s="5"/>
      <c r="DK26" s="51"/>
      <c r="DL26" s="51"/>
      <c r="DM26" s="51"/>
      <c r="DN26" s="51"/>
      <c r="DO26" s="51"/>
      <c r="DP26" s="51"/>
      <c r="DQ26" s="51"/>
      <c r="DR26" s="51">
        <f t="shared" ref="DR26:FT28" si="26">(K26-J26)/J26</f>
        <v>-4.1829198332901364E-2</v>
      </c>
      <c r="DS26" s="51">
        <f t="shared" si="26"/>
        <v>0.84914478664240622</v>
      </c>
      <c r="DT26" s="51">
        <f t="shared" si="26"/>
        <v>-0.20794597381101917</v>
      </c>
      <c r="DU26" s="51">
        <f t="shared" si="26"/>
        <v>0.56612937135140273</v>
      </c>
      <c r="DV26" s="51">
        <f t="shared" si="26"/>
        <v>-0.14844343962679518</v>
      </c>
      <c r="DW26" s="51">
        <f t="shared" si="26"/>
        <v>0.57297861792458527</v>
      </c>
      <c r="DX26" s="51">
        <f t="shared" si="26"/>
        <v>1.9016223070548427E-2</v>
      </c>
      <c r="DY26" s="51">
        <f t="shared" si="26"/>
        <v>-0.54850454056707976</v>
      </c>
      <c r="DZ26" s="51">
        <f t="shared" si="26"/>
        <v>0.11113149222294964</v>
      </c>
      <c r="EA26" s="51">
        <f t="shared" si="26"/>
        <v>1.1232881897079758</v>
      </c>
      <c r="EB26" s="51">
        <f t="shared" si="26"/>
        <v>2.2438640914806594E-2</v>
      </c>
      <c r="EC26" s="51">
        <f t="shared" si="26"/>
        <v>-0.1574825633126318</v>
      </c>
      <c r="ED26" s="51">
        <f t="shared" si="26"/>
        <v>-1.958846653743922E-2</v>
      </c>
      <c r="EE26" s="51">
        <f t="shared" si="26"/>
        <v>0.7536910519332134</v>
      </c>
      <c r="EF26" s="51">
        <f t="shared" si="26"/>
        <v>-0.11204883188327606</v>
      </c>
      <c r="EG26" s="51">
        <f t="shared" si="26"/>
        <v>0.16383077585702033</v>
      </c>
      <c r="EH26" s="51">
        <f t="shared" si="26"/>
        <v>-2.6496091913166937E-2</v>
      </c>
      <c r="EI26" s="51">
        <f t="shared" si="26"/>
        <v>0.172437073347706</v>
      </c>
      <c r="EJ26" s="51">
        <f t="shared" si="26"/>
        <v>-1.4319402004186518E-2</v>
      </c>
      <c r="EK26" s="51">
        <f t="shared" si="26"/>
        <v>-8.4649137259296917E-2</v>
      </c>
      <c r="EL26" s="51">
        <f t="shared" si="26"/>
        <v>6.7088085527961361E-2</v>
      </c>
      <c r="EM26" s="51">
        <f t="shared" si="26"/>
        <v>0.46162444444136708</v>
      </c>
      <c r="EN26" s="51">
        <f t="shared" si="26"/>
        <v>-0.20678279666131164</v>
      </c>
      <c r="EO26" s="51">
        <f t="shared" si="26"/>
        <v>-0.15243921162593274</v>
      </c>
      <c r="EP26" s="51">
        <f t="shared" si="26"/>
        <v>0.79359673933602959</v>
      </c>
      <c r="EQ26" s="51">
        <f t="shared" si="26"/>
        <v>-0.38131479739081237</v>
      </c>
      <c r="ER26" s="51">
        <f t="shared" si="26"/>
        <v>-9.4291516871569586E-2</v>
      </c>
      <c r="ES26" s="51">
        <f t="shared" si="26"/>
        <v>4.1840657652382957E-2</v>
      </c>
      <c r="ET26" s="51">
        <f t="shared" si="26"/>
        <v>2.6528902776775946E-2</v>
      </c>
      <c r="EU26" s="51">
        <f t="shared" si="26"/>
        <v>3.9127332180465532E-2</v>
      </c>
      <c r="EV26" s="51">
        <f t="shared" si="26"/>
        <v>0.19649219242675312</v>
      </c>
      <c r="EW26" s="51">
        <f t="shared" si="26"/>
        <v>2.6606593947972015E-2</v>
      </c>
      <c r="EX26" s="51">
        <f t="shared" si="26"/>
        <v>0.11142874294591348</v>
      </c>
      <c r="EY26" s="51">
        <f t="shared" si="26"/>
        <v>8.6619120397266547E-2</v>
      </c>
      <c r="EZ26" s="51">
        <f t="shared" si="26"/>
        <v>0.22221151024950564</v>
      </c>
      <c r="FA26" s="51">
        <f t="shared" si="26"/>
        <v>4.9302946570783011E-2</v>
      </c>
      <c r="FB26" s="51">
        <f t="shared" si="26"/>
        <v>0.19151381613386576</v>
      </c>
      <c r="FC26" s="51">
        <f t="shared" si="26"/>
        <v>-0.35566924115032927</v>
      </c>
      <c r="FD26" s="51">
        <f t="shared" si="26"/>
        <v>0.14334489219455529</v>
      </c>
      <c r="FE26" s="51">
        <f t="shared" si="26"/>
        <v>0.23942814788174285</v>
      </c>
      <c r="FF26" s="51">
        <f t="shared" si="26"/>
        <v>2.3463210393236004E-2</v>
      </c>
      <c r="FG26" s="51">
        <f t="shared" si="26"/>
        <v>0.14213816995394146</v>
      </c>
      <c r="FH26" s="51">
        <f t="shared" si="26"/>
        <v>-4.7031841022407733E-2</v>
      </c>
      <c r="FI26" s="51">
        <f t="shared" si="26"/>
        <v>0.61926841570637225</v>
      </c>
      <c r="FJ26" s="51">
        <f t="shared" si="26"/>
        <v>0.16493813068424315</v>
      </c>
      <c r="FK26" s="51">
        <f t="shared" si="26"/>
        <v>2.803524748885609E-2</v>
      </c>
      <c r="FL26" s="51">
        <f t="shared" si="26"/>
        <v>3.4779077368867685E-2</v>
      </c>
      <c r="FM26" s="51">
        <f t="shared" si="26"/>
        <v>6.5731470710078593E-2</v>
      </c>
      <c r="FN26" s="51">
        <f t="shared" si="26"/>
        <v>-1.5189931617868472E-2</v>
      </c>
      <c r="FO26" s="51">
        <f t="shared" si="26"/>
        <v>0.34293719717845345</v>
      </c>
      <c r="FP26" s="51">
        <f t="shared" si="26"/>
        <v>-5.8547511057439841E-2</v>
      </c>
      <c r="FQ26" s="51">
        <f t="shared" si="26"/>
        <v>3.6187281070801526E-2</v>
      </c>
      <c r="FR26" s="51">
        <f t="shared" si="26"/>
        <v>0.31050832150759622</v>
      </c>
      <c r="FS26" s="51">
        <f t="shared" si="26"/>
        <v>0.1209860076259542</v>
      </c>
      <c r="FT26" s="51">
        <f t="shared" si="26"/>
        <v>-2.8137598276425698E-2</v>
      </c>
      <c r="FU26" s="51">
        <f t="shared" si="23"/>
        <v>4.2227003565871044E-2</v>
      </c>
      <c r="FV26" s="51">
        <f t="shared" si="23"/>
        <v>5.6056555088035323E-2</v>
      </c>
      <c r="FW26" s="51">
        <f t="shared" si="23"/>
        <v>-3.6033710225684937E-3</v>
      </c>
      <c r="FX26" s="51">
        <f t="shared" si="23"/>
        <v>6.2489306413113094E-2</v>
      </c>
      <c r="FY26" s="51">
        <f t="shared" si="23"/>
        <v>2.1703625085710655E-2</v>
      </c>
      <c r="FZ26" s="51">
        <f t="shared" si="23"/>
        <v>1.0103108425599278E-2</v>
      </c>
      <c r="GA26" s="51">
        <f t="shared" si="23"/>
        <v>-3.0310322211637954E-2</v>
      </c>
      <c r="GB26" s="51">
        <f t="shared" si="23"/>
        <v>-4.0015640499434096E-2</v>
      </c>
      <c r="GC26" s="51">
        <f t="shared" si="23"/>
        <v>7.3484693304840823E-2</v>
      </c>
      <c r="GD26" s="51">
        <f t="shared" si="24"/>
        <v>0.14509853688933469</v>
      </c>
      <c r="GE26" s="51">
        <f t="shared" si="24"/>
        <v>5.1635699733094176E-2</v>
      </c>
      <c r="GF26" s="51">
        <f t="shared" si="24"/>
        <v>5.0331120297489769E-2</v>
      </c>
      <c r="GG26" s="51">
        <f t="shared" si="24"/>
        <v>1.0090752833429379E-2</v>
      </c>
      <c r="GH26" s="51">
        <f t="shared" si="24"/>
        <v>5.9689117230466845E-3</v>
      </c>
      <c r="GI26" s="51">
        <f t="shared" si="24"/>
        <v>4.4860329517840844E-2</v>
      </c>
      <c r="GJ26" s="51">
        <f t="shared" si="24"/>
        <v>-1.3107695527045058E-2</v>
      </c>
      <c r="GK26" s="51">
        <f t="shared" si="24"/>
        <v>2.7637251409584392E-2</v>
      </c>
      <c r="GL26" s="51">
        <f t="shared" si="24"/>
        <v>2.7444741483530072E-2</v>
      </c>
      <c r="GM26" s="51">
        <f t="shared" si="24"/>
        <v>-8.8897651052854285E-2</v>
      </c>
      <c r="GN26" s="51">
        <f t="shared" si="24"/>
        <v>0.30866989640270998</v>
      </c>
      <c r="GO26" s="51">
        <f t="shared" si="24"/>
        <v>5.4792567330817841E-4</v>
      </c>
      <c r="GP26" s="51">
        <f t="shared" si="24"/>
        <v>-4.5306766951540192E-2</v>
      </c>
      <c r="GQ26" s="51">
        <f t="shared" si="24"/>
        <v>0.131525438202798</v>
      </c>
      <c r="GR26" s="51">
        <f t="shared" si="24"/>
        <v>-0.13337377469171391</v>
      </c>
      <c r="GS26" s="51">
        <f t="shared" si="24"/>
        <v>0.27719507210984223</v>
      </c>
      <c r="GT26" s="51">
        <f t="shared" si="24"/>
        <v>0.15761105143137144</v>
      </c>
      <c r="GU26" s="51">
        <f t="shared" si="24"/>
        <v>-1.166210818789616E-2</v>
      </c>
      <c r="GV26" s="51">
        <f t="shared" si="24"/>
        <v>8.2345447856668377E-2</v>
      </c>
      <c r="GW26" s="51">
        <f t="shared" si="24"/>
        <v>1.6259131493506412E-2</v>
      </c>
      <c r="GX26" s="51">
        <f t="shared" si="24"/>
        <v>7.7119680519156436E-2</v>
      </c>
      <c r="GY26" s="51">
        <f t="shared" si="25"/>
        <v>7.4846830480039721E-3</v>
      </c>
      <c r="GZ26" s="51">
        <f t="shared" si="25"/>
        <v>-1.2056727801314737E-2</v>
      </c>
      <c r="HA26" s="51">
        <f t="shared" si="25"/>
        <v>-0.10548126350294269</v>
      </c>
      <c r="HB26" s="51">
        <f t="shared" si="25"/>
        <v>-4.7341682542656957E-2</v>
      </c>
      <c r="HC26" s="51">
        <f t="shared" si="25"/>
        <v>5.3469858320720806E-2</v>
      </c>
      <c r="HD26" s="51">
        <f t="shared" si="25"/>
        <v>4.026347864422606E-2</v>
      </c>
      <c r="HE26" s="51">
        <f t="shared" si="20"/>
        <v>-0.10429380559211841</v>
      </c>
      <c r="HF26" s="51">
        <f t="shared" si="20"/>
        <v>7.3459504592262748E-2</v>
      </c>
      <c r="HG26" s="51">
        <f t="shared" si="20"/>
        <v>-0.23201812836082489</v>
      </c>
      <c r="HH26" s="51">
        <f t="shared" si="20"/>
        <v>0.2983531731295111</v>
      </c>
      <c r="HI26" s="51">
        <f t="shared" si="20"/>
        <v>-1.6740340111290209E-2</v>
      </c>
      <c r="HJ26" s="51">
        <f t="shared" si="20"/>
        <v>-1.68455236392678E-2</v>
      </c>
      <c r="HK26" s="51">
        <f t="shared" si="20"/>
        <v>4.9455042337776985E-2</v>
      </c>
      <c r="HL26" s="51">
        <f t="shared" si="20"/>
        <v>-4.118331547731955E-2</v>
      </c>
      <c r="HM26" s="51">
        <f t="shared" si="20"/>
        <v>-9.3196824293619127E-2</v>
      </c>
      <c r="HN26" s="51"/>
      <c r="HP26" s="51">
        <f t="shared" si="2"/>
        <v>7.4065568644687996E-2</v>
      </c>
      <c r="HQ26" s="51">
        <f t="shared" si="3"/>
        <v>2.2974067691626257E-2</v>
      </c>
      <c r="HR26" s="51">
        <f t="shared" si="4"/>
        <v>2.9192284076253541E-2</v>
      </c>
      <c r="HS26" s="103">
        <f t="shared" si="5"/>
        <v>2.7836249449220241E-2</v>
      </c>
      <c r="HT26" s="79">
        <f t="shared" si="6"/>
        <v>7.4846830480039721E-3</v>
      </c>
      <c r="HU26" s="79">
        <f t="shared" si="7"/>
        <v>1.6259131493506412E-2</v>
      </c>
      <c r="HW26" s="104" t="s">
        <v>39</v>
      </c>
      <c r="HX26" s="16">
        <f>HU26</f>
        <v>1.6259131493506412E-2</v>
      </c>
      <c r="HY26" s="17" t="s">
        <v>108</v>
      </c>
    </row>
    <row r="27" spans="1:234" ht="15" customHeight="1" x14ac:dyDescent="0.2">
      <c r="A27" s="5" t="s">
        <v>106</v>
      </c>
      <c r="B27" s="48" t="s">
        <v>40</v>
      </c>
      <c r="C27" s="5"/>
      <c r="D27" s="5"/>
      <c r="E27" s="5"/>
      <c r="F27" s="5"/>
      <c r="G27" s="5"/>
      <c r="H27" s="5"/>
      <c r="I27" s="5"/>
      <c r="J27" s="5"/>
      <c r="K27" s="5"/>
      <c r="L27" s="5"/>
      <c r="M27" s="5"/>
      <c r="N27" s="5"/>
      <c r="O27" s="5"/>
      <c r="P27" s="5"/>
      <c r="Q27" s="5"/>
      <c r="R27" s="5"/>
      <c r="S27" s="5"/>
      <c r="T27" s="5"/>
      <c r="U27" s="5"/>
      <c r="V27" s="5"/>
      <c r="W27" s="5"/>
      <c r="X27" s="5"/>
      <c r="Y27" s="102">
        <v>272.39999999999998</v>
      </c>
      <c r="Z27" s="102">
        <v>247.43</v>
      </c>
      <c r="AA27" s="102">
        <v>222.46</v>
      </c>
      <c r="AB27" s="102">
        <v>197.49</v>
      </c>
      <c r="AC27" s="102">
        <v>172.52</v>
      </c>
      <c r="AD27" s="102">
        <v>257.87200000000001</v>
      </c>
      <c r="AE27" s="102">
        <v>343.678</v>
      </c>
      <c r="AF27" s="102">
        <v>429.48399999999998</v>
      </c>
      <c r="AG27" s="102">
        <v>515.29</v>
      </c>
      <c r="AH27" s="102">
        <v>513.47400000000005</v>
      </c>
      <c r="AI27" s="102">
        <v>512.11199999999997</v>
      </c>
      <c r="AJ27" s="102">
        <v>511.20400000000001</v>
      </c>
      <c r="AK27" s="102">
        <v>509.38799999999998</v>
      </c>
      <c r="AL27" s="102">
        <v>499.4</v>
      </c>
      <c r="AM27" s="102">
        <v>454</v>
      </c>
      <c r="AN27" s="102">
        <v>452.3202</v>
      </c>
      <c r="AO27" s="102">
        <v>477.154</v>
      </c>
      <c r="AP27" s="102">
        <v>528.18359999999996</v>
      </c>
      <c r="AQ27" s="102">
        <v>673.69060000000002</v>
      </c>
      <c r="AR27" s="102">
        <v>629.51639999999998</v>
      </c>
      <c r="AS27" s="102">
        <v>732.07500000000005</v>
      </c>
      <c r="AT27" s="102">
        <v>871.99779999999998</v>
      </c>
      <c r="AU27" s="102">
        <v>880.76</v>
      </c>
      <c r="AV27" s="102">
        <v>681</v>
      </c>
      <c r="AW27" s="102">
        <v>780.88</v>
      </c>
      <c r="AX27" s="102">
        <v>812.66</v>
      </c>
      <c r="AY27" s="102">
        <v>953.4</v>
      </c>
      <c r="AZ27" s="102">
        <v>948.86</v>
      </c>
      <c r="BA27" s="102">
        <v>921.62</v>
      </c>
      <c r="BB27" s="102">
        <v>953.4</v>
      </c>
      <c r="BC27" s="102">
        <v>771.8</v>
      </c>
      <c r="BD27" s="102">
        <v>862.6</v>
      </c>
      <c r="BE27" s="102">
        <v>953.4</v>
      </c>
      <c r="BF27" s="102">
        <v>953.4</v>
      </c>
      <c r="BG27" s="102">
        <v>1225.8</v>
      </c>
      <c r="BH27" s="102">
        <v>1149</v>
      </c>
      <c r="BI27" s="102">
        <v>1073</v>
      </c>
      <c r="BJ27" s="102">
        <v>1094</v>
      </c>
      <c r="BK27" s="102">
        <v>1115</v>
      </c>
      <c r="BL27" s="102">
        <v>1136</v>
      </c>
      <c r="BM27" s="102">
        <v>1156</v>
      </c>
      <c r="BN27" s="102">
        <v>1204</v>
      </c>
      <c r="BO27" s="102">
        <v>1252</v>
      </c>
      <c r="BP27" s="102">
        <v>1300</v>
      </c>
      <c r="BQ27" s="102">
        <v>1348</v>
      </c>
      <c r="BR27" s="102">
        <v>1361</v>
      </c>
      <c r="BS27" s="102">
        <v>1374</v>
      </c>
      <c r="BT27" s="102">
        <v>1387</v>
      </c>
      <c r="BU27" s="102">
        <v>1400</v>
      </c>
      <c r="BV27" s="102">
        <v>1424</v>
      </c>
      <c r="BW27" s="102">
        <v>1447</v>
      </c>
      <c r="BX27" s="102">
        <v>1470</v>
      </c>
      <c r="BY27" s="102">
        <v>1493</v>
      </c>
      <c r="BZ27" s="102">
        <v>1568</v>
      </c>
      <c r="CA27" s="102">
        <v>1642</v>
      </c>
      <c r="CB27" s="102">
        <v>1790</v>
      </c>
      <c r="CC27" s="102">
        <v>1630</v>
      </c>
      <c r="CD27" s="102">
        <v>1730</v>
      </c>
      <c r="CE27" s="102">
        <v>1760</v>
      </c>
      <c r="CF27" s="102">
        <v>1880</v>
      </c>
      <c r="CG27" s="102">
        <v>2070</v>
      </c>
      <c r="CH27" s="102">
        <v>2150</v>
      </c>
      <c r="CI27" s="102">
        <v>1640</v>
      </c>
      <c r="CJ27" s="35">
        <v>1450</v>
      </c>
      <c r="CK27" s="35">
        <v>1430</v>
      </c>
      <c r="CL27" s="35">
        <v>1410</v>
      </c>
      <c r="CM27" s="35">
        <v>1580</v>
      </c>
      <c r="CN27" s="35">
        <v>1510</v>
      </c>
      <c r="CO27" s="102">
        <v>1430</v>
      </c>
      <c r="CP27" s="102">
        <v>1330</v>
      </c>
      <c r="CQ27" s="102">
        <v>1390</v>
      </c>
      <c r="CR27" s="102">
        <v>1540</v>
      </c>
      <c r="CS27" s="102">
        <v>1560</v>
      </c>
      <c r="CT27" s="102">
        <v>1510</v>
      </c>
      <c r="CU27" s="102">
        <v>2280</v>
      </c>
      <c r="CV27" s="102">
        <v>2150</v>
      </c>
      <c r="CW27" s="102">
        <v>1980</v>
      </c>
      <c r="CX27" s="102">
        <v>2237</v>
      </c>
      <c r="CY27" s="102">
        <v>2170</v>
      </c>
      <c r="CZ27" s="102">
        <v>2250</v>
      </c>
      <c r="DA27" s="102">
        <v>2190</v>
      </c>
      <c r="DB27" s="102">
        <v>2250</v>
      </c>
      <c r="DC27" s="102">
        <v>2710</v>
      </c>
      <c r="DD27" s="102">
        <v>2810</v>
      </c>
      <c r="DE27" s="102">
        <v>2880</v>
      </c>
      <c r="DF27" s="35">
        <v>3120</v>
      </c>
      <c r="DG27" s="102">
        <v>3000</v>
      </c>
      <c r="DH27" s="26"/>
      <c r="DJ27" s="5"/>
      <c r="DK27" s="5"/>
      <c r="DL27" s="5"/>
      <c r="DM27" s="5"/>
      <c r="DN27" s="5"/>
      <c r="DO27" s="5"/>
      <c r="DP27" s="5"/>
      <c r="DQ27" s="5"/>
      <c r="DR27" s="5"/>
      <c r="DS27" s="5"/>
      <c r="DT27" s="5"/>
      <c r="DU27" s="5"/>
      <c r="DV27" s="5"/>
      <c r="DW27" s="5"/>
      <c r="DX27" s="5"/>
      <c r="DY27" s="5"/>
      <c r="DZ27" s="5"/>
      <c r="EA27" s="5"/>
      <c r="EB27" s="5"/>
      <c r="EC27" s="5"/>
      <c r="ED27" s="5"/>
      <c r="EE27" s="5"/>
      <c r="EF27" s="51"/>
      <c r="EG27" s="51">
        <f t="shared" si="26"/>
        <v>-9.1666666666666563E-2</v>
      </c>
      <c r="EH27" s="51">
        <f t="shared" si="26"/>
        <v>-0.10091743119266054</v>
      </c>
      <c r="EI27" s="51">
        <f t="shared" si="26"/>
        <v>-0.11224489795918366</v>
      </c>
      <c r="EJ27" s="51">
        <f t="shared" si="26"/>
        <v>-0.12643678160919539</v>
      </c>
      <c r="EK27" s="51">
        <f t="shared" si="26"/>
        <v>0.49473684210526314</v>
      </c>
      <c r="EL27" s="51">
        <f t="shared" si="26"/>
        <v>0.33274647887323933</v>
      </c>
      <c r="EM27" s="51">
        <f t="shared" si="26"/>
        <v>0.24966974900924699</v>
      </c>
      <c r="EN27" s="51">
        <f t="shared" si="26"/>
        <v>0.1997885835095137</v>
      </c>
      <c r="EO27" s="51">
        <f t="shared" si="26"/>
        <v>-3.5242290748897075E-3</v>
      </c>
      <c r="EP27" s="51">
        <f t="shared" si="26"/>
        <v>-2.6525198938993598E-3</v>
      </c>
      <c r="EQ27" s="51">
        <f t="shared" si="26"/>
        <v>-1.7730496453899902E-3</v>
      </c>
      <c r="ER27" s="51">
        <f t="shared" si="26"/>
        <v>-3.5523978685613393E-3</v>
      </c>
      <c r="ES27" s="51">
        <f t="shared" si="26"/>
        <v>-1.9607843137254902E-2</v>
      </c>
      <c r="ET27" s="51">
        <f t="shared" si="26"/>
        <v>-9.090909090909087E-2</v>
      </c>
      <c r="EU27" s="51">
        <f t="shared" si="26"/>
        <v>-3.7000000000000006E-3</v>
      </c>
      <c r="EV27" s="51">
        <f t="shared" si="26"/>
        <v>5.4903141624008826E-2</v>
      </c>
      <c r="EW27" s="51">
        <f t="shared" si="26"/>
        <v>0.10694576593720258</v>
      </c>
      <c r="EX27" s="51">
        <f t="shared" si="26"/>
        <v>0.27548564552174676</v>
      </c>
      <c r="EY27" s="51">
        <f t="shared" si="26"/>
        <v>-6.5570456230204258E-2</v>
      </c>
      <c r="EZ27" s="51">
        <f t="shared" si="26"/>
        <v>0.16291648636953712</v>
      </c>
      <c r="FA27" s="51">
        <f t="shared" si="26"/>
        <v>0.19113178294573635</v>
      </c>
      <c r="FB27" s="51">
        <f t="shared" si="26"/>
        <v>1.0048419846930815E-2</v>
      </c>
      <c r="FC27" s="51">
        <f t="shared" si="26"/>
        <v>-0.22680412371134021</v>
      </c>
      <c r="FD27" s="51">
        <f t="shared" si="26"/>
        <v>0.14666666666666667</v>
      </c>
      <c r="FE27" s="51">
        <f t="shared" si="26"/>
        <v>4.0697674418604619E-2</v>
      </c>
      <c r="FF27" s="51">
        <f t="shared" si="26"/>
        <v>0.17318435754189945</v>
      </c>
      <c r="FG27" s="51">
        <f t="shared" si="26"/>
        <v>-4.7619047619047242E-3</v>
      </c>
      <c r="FH27" s="51">
        <f t="shared" si="26"/>
        <v>-2.8708133971291874E-2</v>
      </c>
      <c r="FI27" s="51">
        <f t="shared" si="26"/>
        <v>3.4482758620689627E-2</v>
      </c>
      <c r="FJ27" s="51">
        <f t="shared" si="26"/>
        <v>-0.19047619047619049</v>
      </c>
      <c r="FK27" s="51">
        <f t="shared" si="26"/>
        <v>0.11764705882352951</v>
      </c>
      <c r="FL27" s="51">
        <f t="shared" si="26"/>
        <v>0.10526315789473678</v>
      </c>
      <c r="FM27" s="51">
        <f t="shared" si="26"/>
        <v>0</v>
      </c>
      <c r="FN27" s="51">
        <f t="shared" si="26"/>
        <v>0.2857142857142857</v>
      </c>
      <c r="FO27" s="51">
        <f t="shared" si="26"/>
        <v>-6.2652961331375392E-2</v>
      </c>
      <c r="FP27" s="51">
        <f t="shared" si="26"/>
        <v>-6.6144473455178418E-2</v>
      </c>
      <c r="FQ27" s="51">
        <f t="shared" si="26"/>
        <v>1.9571295433364399E-2</v>
      </c>
      <c r="FR27" s="51">
        <f t="shared" si="26"/>
        <v>1.9195612431444242E-2</v>
      </c>
      <c r="FS27" s="51">
        <f t="shared" si="26"/>
        <v>1.883408071748879E-2</v>
      </c>
      <c r="FT27" s="51">
        <f t="shared" si="26"/>
        <v>1.7605633802816902E-2</v>
      </c>
      <c r="FU27" s="51">
        <f t="shared" si="23"/>
        <v>4.1522491349480967E-2</v>
      </c>
      <c r="FV27" s="51">
        <f t="shared" si="23"/>
        <v>3.9867109634551492E-2</v>
      </c>
      <c r="FW27" s="51">
        <f t="shared" si="23"/>
        <v>3.8338658146964855E-2</v>
      </c>
      <c r="FX27" s="51">
        <f t="shared" si="23"/>
        <v>3.6923076923076927E-2</v>
      </c>
      <c r="FY27" s="51">
        <f t="shared" si="23"/>
        <v>9.6439169139465875E-3</v>
      </c>
      <c r="FZ27" s="51">
        <f t="shared" si="23"/>
        <v>9.5518001469507719E-3</v>
      </c>
      <c r="GA27" s="51">
        <f t="shared" si="23"/>
        <v>9.4614264919941782E-3</v>
      </c>
      <c r="GB27" s="51">
        <f t="shared" si="23"/>
        <v>9.372746935832732E-3</v>
      </c>
      <c r="GC27" s="51">
        <f t="shared" si="23"/>
        <v>1.7142857142857144E-2</v>
      </c>
      <c r="GD27" s="51">
        <f t="shared" si="24"/>
        <v>1.6151685393258428E-2</v>
      </c>
      <c r="GE27" s="51">
        <f t="shared" si="24"/>
        <v>1.5894955079474776E-2</v>
      </c>
      <c r="GF27" s="51">
        <f t="shared" si="24"/>
        <v>1.5646258503401362E-2</v>
      </c>
      <c r="GG27" s="51">
        <f t="shared" si="24"/>
        <v>5.0234427327528468E-2</v>
      </c>
      <c r="GH27" s="51">
        <f t="shared" si="24"/>
        <v>4.7193877551020405E-2</v>
      </c>
      <c r="GI27" s="51">
        <f t="shared" si="24"/>
        <v>9.0133982947624841E-2</v>
      </c>
      <c r="GJ27" s="51">
        <f t="shared" si="24"/>
        <v>-8.9385474860335198E-2</v>
      </c>
      <c r="GK27" s="51">
        <f t="shared" si="24"/>
        <v>6.1349693251533742E-2</v>
      </c>
      <c r="GL27" s="51">
        <f t="shared" si="24"/>
        <v>1.7341040462427744E-2</v>
      </c>
      <c r="GM27" s="51">
        <f t="shared" si="24"/>
        <v>6.8181818181818177E-2</v>
      </c>
      <c r="GN27" s="51">
        <f t="shared" si="24"/>
        <v>0.10106382978723404</v>
      </c>
      <c r="GO27" s="51">
        <f t="shared" si="24"/>
        <v>3.864734299516908E-2</v>
      </c>
      <c r="GP27" s="51">
        <f t="shared" si="24"/>
        <v>-0.23720930232558141</v>
      </c>
      <c r="GQ27" s="51">
        <f t="shared" si="24"/>
        <v>-0.11585365853658537</v>
      </c>
      <c r="GR27" s="51">
        <f t="shared" si="24"/>
        <v>-1.3793103448275862E-2</v>
      </c>
      <c r="GS27" s="51">
        <f t="shared" si="24"/>
        <v>-1.3986013986013986E-2</v>
      </c>
      <c r="GT27" s="51">
        <f t="shared" si="24"/>
        <v>0.12056737588652482</v>
      </c>
      <c r="GU27" s="51">
        <f t="shared" si="24"/>
        <v>-4.4303797468354431E-2</v>
      </c>
      <c r="GV27" s="51">
        <f t="shared" si="24"/>
        <v>-5.2980132450331126E-2</v>
      </c>
      <c r="GW27" s="51">
        <f t="shared" si="24"/>
        <v>-6.9930069930069935E-2</v>
      </c>
      <c r="GX27" s="51">
        <f t="shared" si="24"/>
        <v>4.5112781954887216E-2</v>
      </c>
      <c r="GY27" s="51">
        <f t="shared" si="25"/>
        <v>0.1079136690647482</v>
      </c>
      <c r="GZ27" s="51">
        <f t="shared" si="25"/>
        <v>1.2987012987012988E-2</v>
      </c>
      <c r="HA27" s="51">
        <f t="shared" si="25"/>
        <v>-3.2051282051282048E-2</v>
      </c>
      <c r="HB27" s="51">
        <f t="shared" si="25"/>
        <v>0.50993377483443714</v>
      </c>
      <c r="HC27" s="51">
        <f t="shared" si="25"/>
        <v>-5.701754385964912E-2</v>
      </c>
      <c r="HD27" s="51">
        <f t="shared" si="25"/>
        <v>-7.9069767441860464E-2</v>
      </c>
      <c r="HE27" s="51">
        <f t="shared" si="20"/>
        <v>0.1297979797979798</v>
      </c>
      <c r="HF27" s="51">
        <f t="shared" si="20"/>
        <v>-2.9950827000447027E-2</v>
      </c>
      <c r="HG27" s="51">
        <f t="shared" si="20"/>
        <v>3.6866359447004608E-2</v>
      </c>
      <c r="HH27" s="51">
        <f t="shared" si="20"/>
        <v>-2.6666666666666668E-2</v>
      </c>
      <c r="HI27" s="51">
        <f t="shared" si="20"/>
        <v>2.7397260273972601E-2</v>
      </c>
      <c r="HJ27" s="51">
        <f t="shared" si="20"/>
        <v>0.20444444444444446</v>
      </c>
      <c r="HK27" s="51">
        <f t="shared" si="20"/>
        <v>3.6900369003690037E-2</v>
      </c>
      <c r="HL27" s="51">
        <f t="shared" si="20"/>
        <v>2.491103202846975E-2</v>
      </c>
      <c r="HM27" s="51">
        <f t="shared" si="20"/>
        <v>8.3333333333333329E-2</v>
      </c>
      <c r="HN27" s="51">
        <f>(DG27-DF27)/DF27</f>
        <v>-3.8461538461538464E-2</v>
      </c>
      <c r="HP27" s="51">
        <f t="shared" si="2"/>
        <v>3.5212808554062058E-2</v>
      </c>
      <c r="HQ27" s="51">
        <f t="shared" si="3"/>
        <v>2.5506997568603793E-2</v>
      </c>
      <c r="HR27" s="51">
        <f t="shared" si="4"/>
        <v>2.3599318561117275E-2</v>
      </c>
      <c r="HS27" s="79">
        <f t="shared" si="5"/>
        <v>1.7241948802642446E-2</v>
      </c>
      <c r="HT27" s="79">
        <f t="shared" si="6"/>
        <v>2.1126036245448745E-2</v>
      </c>
      <c r="HU27" s="103">
        <f t="shared" si="7"/>
        <v>1.5164026724720366E-2</v>
      </c>
      <c r="HW27" s="104" t="s">
        <v>40</v>
      </c>
      <c r="HX27" s="27" t="s">
        <v>124</v>
      </c>
      <c r="HY27" s="24"/>
    </row>
    <row r="28" spans="1:234" ht="15" customHeight="1" x14ac:dyDescent="0.2">
      <c r="A28" s="5" t="s">
        <v>106</v>
      </c>
      <c r="B28" s="48" t="s">
        <v>42</v>
      </c>
      <c r="C28" s="5"/>
      <c r="D28" s="5"/>
      <c r="E28" s="5"/>
      <c r="F28" s="5"/>
      <c r="G28" s="5"/>
      <c r="H28" s="5"/>
      <c r="I28" s="5"/>
      <c r="J28" s="102">
        <v>5502.5</v>
      </c>
      <c r="K28" s="102">
        <v>5344.4</v>
      </c>
      <c r="L28" s="102">
        <v>6789</v>
      </c>
      <c r="M28" s="102">
        <v>7657</v>
      </c>
      <c r="N28" s="102">
        <v>7347</v>
      </c>
      <c r="O28" s="102">
        <v>7564</v>
      </c>
      <c r="P28" s="102">
        <v>7750</v>
      </c>
      <c r="Q28" s="102">
        <v>8215</v>
      </c>
      <c r="R28" s="102">
        <v>8091</v>
      </c>
      <c r="S28" s="102">
        <v>8184</v>
      </c>
      <c r="T28" s="102">
        <v>7657</v>
      </c>
      <c r="U28" s="102">
        <v>6076</v>
      </c>
      <c r="V28" s="102">
        <v>5332</v>
      </c>
      <c r="W28" s="102">
        <v>5952</v>
      </c>
      <c r="X28" s="102">
        <v>6882</v>
      </c>
      <c r="Y28" s="102">
        <v>6913</v>
      </c>
      <c r="Z28" s="102">
        <v>7719</v>
      </c>
      <c r="AA28" s="102">
        <v>8401</v>
      </c>
      <c r="AB28" s="102">
        <v>8308</v>
      </c>
      <c r="AC28" s="102">
        <v>8246</v>
      </c>
      <c r="AD28" s="102">
        <v>8680</v>
      </c>
      <c r="AE28" s="102">
        <v>8153</v>
      </c>
      <c r="AF28" s="102">
        <v>7750</v>
      </c>
      <c r="AG28" s="102">
        <v>6851</v>
      </c>
      <c r="AH28" s="102">
        <v>5952</v>
      </c>
      <c r="AI28" s="102">
        <v>4774</v>
      </c>
      <c r="AJ28" s="102">
        <v>4092</v>
      </c>
      <c r="AK28" s="102">
        <v>5115</v>
      </c>
      <c r="AL28" s="102">
        <v>5332</v>
      </c>
      <c r="AM28" s="102">
        <v>4991</v>
      </c>
      <c r="AN28" s="102">
        <v>5301</v>
      </c>
      <c r="AO28" s="102">
        <v>5363</v>
      </c>
      <c r="AP28" s="102">
        <v>5828</v>
      </c>
      <c r="AQ28" s="102">
        <v>5921</v>
      </c>
      <c r="AR28" s="102">
        <v>5859</v>
      </c>
      <c r="AS28" s="102">
        <v>6169</v>
      </c>
      <c r="AT28" s="102">
        <v>6231</v>
      </c>
      <c r="AU28" s="102">
        <v>6355</v>
      </c>
      <c r="AV28" s="102">
        <v>6510</v>
      </c>
      <c r="AW28" s="102">
        <v>6324</v>
      </c>
      <c r="AX28" s="102">
        <v>6510</v>
      </c>
      <c r="AY28" s="102">
        <v>6510</v>
      </c>
      <c r="AZ28" s="102">
        <v>6758</v>
      </c>
      <c r="BA28" s="102">
        <v>6944</v>
      </c>
      <c r="BB28" s="102">
        <v>6758</v>
      </c>
      <c r="BC28" s="102">
        <v>6975</v>
      </c>
      <c r="BD28" s="102">
        <v>7192</v>
      </c>
      <c r="BE28" s="102">
        <v>6944</v>
      </c>
      <c r="BF28" s="102">
        <v>7440</v>
      </c>
      <c r="BG28" s="102">
        <v>7812</v>
      </c>
      <c r="BH28" s="102">
        <v>9336</v>
      </c>
      <c r="BI28" s="102">
        <v>9183</v>
      </c>
      <c r="BJ28" s="102">
        <v>9095</v>
      </c>
      <c r="BK28" s="102">
        <v>9338</v>
      </c>
      <c r="BL28" s="102">
        <v>9064</v>
      </c>
      <c r="BM28" s="102">
        <v>9242</v>
      </c>
      <c r="BN28" s="102">
        <v>9755</v>
      </c>
      <c r="BO28" s="102">
        <v>10505</v>
      </c>
      <c r="BP28" s="102">
        <v>10640</v>
      </c>
      <c r="BQ28" s="102">
        <v>10536</v>
      </c>
      <c r="BR28" s="102">
        <v>10764</v>
      </c>
      <c r="BS28" s="102">
        <v>11408</v>
      </c>
      <c r="BT28" s="102">
        <v>11752</v>
      </c>
      <c r="BU28" s="102">
        <v>12573</v>
      </c>
      <c r="BV28" s="102">
        <v>12779</v>
      </c>
      <c r="BW28" s="102">
        <v>13611</v>
      </c>
      <c r="BX28" s="102">
        <v>13464</v>
      </c>
      <c r="BY28" s="102">
        <v>14421</v>
      </c>
      <c r="BZ28" s="102">
        <v>14781</v>
      </c>
      <c r="CA28" s="102">
        <v>14966</v>
      </c>
      <c r="CB28" s="102">
        <v>16500</v>
      </c>
      <c r="CC28" s="102">
        <v>15700</v>
      </c>
      <c r="CD28" s="102">
        <v>14700</v>
      </c>
      <c r="CE28" s="102">
        <v>14300</v>
      </c>
      <c r="CF28" s="102">
        <v>13900</v>
      </c>
      <c r="CG28" s="102">
        <v>14600</v>
      </c>
      <c r="CH28" s="102">
        <v>15200</v>
      </c>
      <c r="CI28" s="102">
        <v>16400</v>
      </c>
      <c r="CJ28" s="35">
        <v>16400</v>
      </c>
      <c r="CK28" s="35">
        <v>17700</v>
      </c>
      <c r="CL28" s="35">
        <v>17700</v>
      </c>
      <c r="CM28" s="35">
        <v>18700</v>
      </c>
      <c r="CN28" s="35">
        <v>20000</v>
      </c>
      <c r="CO28" s="102">
        <v>18800</v>
      </c>
      <c r="CP28" s="102">
        <v>19700</v>
      </c>
      <c r="CQ28" s="102">
        <v>19300</v>
      </c>
      <c r="CR28" s="102">
        <v>20200</v>
      </c>
      <c r="CS28" s="102">
        <v>20800</v>
      </c>
      <c r="CT28" s="102">
        <v>21300</v>
      </c>
      <c r="CU28" s="102">
        <v>21800</v>
      </c>
      <c r="CV28" s="102">
        <v>23100</v>
      </c>
      <c r="CW28" s="102">
        <v>23300</v>
      </c>
      <c r="CX28" s="102">
        <v>25500</v>
      </c>
      <c r="CY28" s="102">
        <v>26000</v>
      </c>
      <c r="CZ28" s="102">
        <v>26800</v>
      </c>
      <c r="DA28" s="102">
        <v>25100</v>
      </c>
      <c r="DB28" s="102">
        <v>25700</v>
      </c>
      <c r="DC28" s="102">
        <v>26800</v>
      </c>
      <c r="DD28" s="102">
        <v>26900</v>
      </c>
      <c r="DE28" s="102">
        <v>26500</v>
      </c>
      <c r="DF28" s="35">
        <v>23500</v>
      </c>
      <c r="DG28" s="102">
        <v>24000</v>
      </c>
      <c r="DH28" s="26"/>
      <c r="DJ28" s="5"/>
      <c r="DK28" s="5"/>
      <c r="DL28" s="5"/>
      <c r="DM28" s="5"/>
      <c r="DN28" s="5"/>
      <c r="DO28" s="5"/>
      <c r="DP28" s="5"/>
      <c r="DQ28" s="51"/>
      <c r="DR28" s="51">
        <f t="shared" ref="DR28:EF28" si="27">(K28-J28)/J28</f>
        <v>-2.8732394366197248E-2</v>
      </c>
      <c r="DS28" s="51">
        <f t="shared" si="27"/>
        <v>0.27030162412993047</v>
      </c>
      <c r="DT28" s="51">
        <f t="shared" si="27"/>
        <v>0.12785388127853881</v>
      </c>
      <c r="DU28" s="51">
        <f t="shared" si="27"/>
        <v>-4.048582995951417E-2</v>
      </c>
      <c r="DV28" s="51">
        <f t="shared" si="27"/>
        <v>2.9535864978902954E-2</v>
      </c>
      <c r="DW28" s="51">
        <f t="shared" si="27"/>
        <v>2.4590163934426229E-2</v>
      </c>
      <c r="DX28" s="51">
        <f t="shared" si="27"/>
        <v>0.06</v>
      </c>
      <c r="DY28" s="51">
        <f t="shared" si="27"/>
        <v>-1.509433962264151E-2</v>
      </c>
      <c r="DZ28" s="51">
        <f t="shared" si="27"/>
        <v>1.1494252873563218E-2</v>
      </c>
      <c r="EA28" s="51">
        <f t="shared" si="27"/>
        <v>-6.4393939393939392E-2</v>
      </c>
      <c r="EB28" s="51">
        <f t="shared" si="27"/>
        <v>-0.20647773279352227</v>
      </c>
      <c r="EC28" s="51">
        <f t="shared" si="27"/>
        <v>-0.12244897959183673</v>
      </c>
      <c r="ED28" s="51">
        <f t="shared" si="27"/>
        <v>0.11627906976744186</v>
      </c>
      <c r="EE28" s="51">
        <f t="shared" si="27"/>
        <v>0.15625</v>
      </c>
      <c r="EF28" s="51">
        <f t="shared" si="27"/>
        <v>4.5045045045045045E-3</v>
      </c>
      <c r="EG28" s="51">
        <f t="shared" si="26"/>
        <v>0.11659192825112108</v>
      </c>
      <c r="EH28" s="51">
        <f t="shared" si="26"/>
        <v>8.8353413654618476E-2</v>
      </c>
      <c r="EI28" s="51">
        <f t="shared" si="26"/>
        <v>-1.107011070110701E-2</v>
      </c>
      <c r="EJ28" s="51">
        <f t="shared" si="26"/>
        <v>-7.462686567164179E-3</v>
      </c>
      <c r="EK28" s="51">
        <f t="shared" si="26"/>
        <v>5.2631578947368418E-2</v>
      </c>
      <c r="EL28" s="51">
        <f t="shared" si="26"/>
        <v>-6.0714285714285714E-2</v>
      </c>
      <c r="EM28" s="51">
        <f t="shared" si="26"/>
        <v>-4.9429657794676805E-2</v>
      </c>
      <c r="EN28" s="51">
        <f t="shared" si="26"/>
        <v>-0.11600000000000001</v>
      </c>
      <c r="EO28" s="51">
        <f t="shared" si="26"/>
        <v>-0.13122171945701358</v>
      </c>
      <c r="EP28" s="51">
        <f t="shared" si="26"/>
        <v>-0.19791666666666666</v>
      </c>
      <c r="EQ28" s="51">
        <f t="shared" si="26"/>
        <v>-0.14285714285714285</v>
      </c>
      <c r="ER28" s="51">
        <f t="shared" si="26"/>
        <v>0.25</v>
      </c>
      <c r="ES28" s="51">
        <f t="shared" si="26"/>
        <v>4.2424242424242427E-2</v>
      </c>
      <c r="ET28" s="51">
        <f t="shared" si="26"/>
        <v>-6.3953488372093026E-2</v>
      </c>
      <c r="EU28" s="51">
        <f t="shared" si="26"/>
        <v>6.2111801242236024E-2</v>
      </c>
      <c r="EV28" s="51">
        <f t="shared" si="26"/>
        <v>1.1695906432748537E-2</v>
      </c>
      <c r="EW28" s="51">
        <f t="shared" si="26"/>
        <v>8.6705202312138727E-2</v>
      </c>
      <c r="EX28" s="51">
        <f t="shared" si="26"/>
        <v>1.5957446808510637E-2</v>
      </c>
      <c r="EY28" s="51">
        <f t="shared" si="26"/>
        <v>-1.0471204188481676E-2</v>
      </c>
      <c r="EZ28" s="51">
        <f t="shared" si="26"/>
        <v>5.2910052910052907E-2</v>
      </c>
      <c r="FA28" s="51">
        <f t="shared" si="26"/>
        <v>1.0050251256281407E-2</v>
      </c>
      <c r="FB28" s="51">
        <f t="shared" si="26"/>
        <v>1.9900497512437811E-2</v>
      </c>
      <c r="FC28" s="51">
        <f t="shared" si="26"/>
        <v>2.4390243902439025E-2</v>
      </c>
      <c r="FD28" s="51">
        <f t="shared" si="26"/>
        <v>-2.8571428571428571E-2</v>
      </c>
      <c r="FE28" s="51">
        <f t="shared" si="26"/>
        <v>2.9411764705882353E-2</v>
      </c>
      <c r="FF28" s="51">
        <f t="shared" si="26"/>
        <v>0</v>
      </c>
      <c r="FG28" s="51">
        <f t="shared" si="26"/>
        <v>3.8095238095238099E-2</v>
      </c>
      <c r="FH28" s="51">
        <f t="shared" si="26"/>
        <v>2.7522935779816515E-2</v>
      </c>
      <c r="FI28" s="51">
        <f t="shared" si="26"/>
        <v>-2.6785714285714284E-2</v>
      </c>
      <c r="FJ28" s="51">
        <f t="shared" si="26"/>
        <v>3.2110091743119268E-2</v>
      </c>
      <c r="FK28" s="51">
        <f t="shared" si="26"/>
        <v>3.111111111111111E-2</v>
      </c>
      <c r="FL28" s="51">
        <f t="shared" si="26"/>
        <v>-3.4482758620689655E-2</v>
      </c>
      <c r="FM28" s="51">
        <f t="shared" si="26"/>
        <v>7.1428571428571425E-2</v>
      </c>
      <c r="FN28" s="51">
        <f t="shared" si="26"/>
        <v>0.05</v>
      </c>
      <c r="FO28" s="51">
        <f t="shared" si="26"/>
        <v>0.19508448540706605</v>
      </c>
      <c r="FP28" s="51">
        <f t="shared" si="26"/>
        <v>-1.6388174807197942E-2</v>
      </c>
      <c r="FQ28" s="51">
        <f t="shared" si="26"/>
        <v>-9.5829249700533602E-3</v>
      </c>
      <c r="FR28" s="51">
        <f t="shared" si="26"/>
        <v>2.6717976910390323E-2</v>
      </c>
      <c r="FS28" s="51">
        <f t="shared" si="26"/>
        <v>-2.9342471621332192E-2</v>
      </c>
      <c r="FT28" s="51">
        <f t="shared" si="26"/>
        <v>1.9638128861429831E-2</v>
      </c>
      <c r="FU28" s="51">
        <f t="shared" si="23"/>
        <v>5.5507465916468296E-2</v>
      </c>
      <c r="FV28" s="51">
        <f t="shared" si="23"/>
        <v>7.6883649410558683E-2</v>
      </c>
      <c r="FW28" s="51">
        <f t="shared" si="23"/>
        <v>1.285102332222751E-2</v>
      </c>
      <c r="FX28" s="51">
        <f t="shared" si="23"/>
        <v>-9.7744360902255641E-3</v>
      </c>
      <c r="FY28" s="51">
        <f t="shared" si="23"/>
        <v>2.164009111617312E-2</v>
      </c>
      <c r="FZ28" s="51">
        <f t="shared" si="23"/>
        <v>5.9829059829059832E-2</v>
      </c>
      <c r="GA28" s="51">
        <f t="shared" si="23"/>
        <v>3.0154277699859747E-2</v>
      </c>
      <c r="GB28" s="51">
        <f t="shared" si="23"/>
        <v>6.9860449285228041E-2</v>
      </c>
      <c r="GC28" s="51">
        <f t="shared" si="23"/>
        <v>1.6384315596914022E-2</v>
      </c>
      <c r="GD28" s="51">
        <f t="shared" si="24"/>
        <v>6.5106815869786366E-2</v>
      </c>
      <c r="GE28" s="51">
        <f t="shared" si="24"/>
        <v>-1.0800088163985012E-2</v>
      </c>
      <c r="GF28" s="51">
        <f t="shared" si="24"/>
        <v>7.1078431372549017E-2</v>
      </c>
      <c r="GG28" s="51">
        <f t="shared" si="24"/>
        <v>2.4963594757645102E-2</v>
      </c>
      <c r="GH28" s="51">
        <f t="shared" si="24"/>
        <v>1.2516067925038902E-2</v>
      </c>
      <c r="GI28" s="51">
        <f t="shared" si="24"/>
        <v>0.10249899772818388</v>
      </c>
      <c r="GJ28" s="51">
        <f t="shared" si="24"/>
        <v>-4.8484848484848485E-2</v>
      </c>
      <c r="GK28" s="51">
        <f t="shared" si="24"/>
        <v>-6.3694267515923567E-2</v>
      </c>
      <c r="GL28" s="51">
        <f t="shared" si="24"/>
        <v>-2.7210884353741496E-2</v>
      </c>
      <c r="GM28" s="51">
        <f t="shared" si="24"/>
        <v>-2.7972027972027972E-2</v>
      </c>
      <c r="GN28" s="51">
        <f t="shared" si="24"/>
        <v>5.0359712230215826E-2</v>
      </c>
      <c r="GO28" s="51">
        <f t="shared" si="24"/>
        <v>4.1095890410958902E-2</v>
      </c>
      <c r="GP28" s="51">
        <f t="shared" si="24"/>
        <v>7.8947368421052627E-2</v>
      </c>
      <c r="GQ28" s="51">
        <f t="shared" si="24"/>
        <v>0</v>
      </c>
      <c r="GR28" s="51">
        <f t="shared" si="24"/>
        <v>7.926829268292683E-2</v>
      </c>
      <c r="GS28" s="51">
        <f t="shared" si="24"/>
        <v>0</v>
      </c>
      <c r="GT28" s="51">
        <f t="shared" si="24"/>
        <v>5.6497175141242938E-2</v>
      </c>
      <c r="GU28" s="51">
        <f t="shared" si="24"/>
        <v>6.9518716577540107E-2</v>
      </c>
      <c r="GV28" s="51">
        <f t="shared" si="24"/>
        <v>-0.06</v>
      </c>
      <c r="GW28" s="51">
        <f t="shared" si="24"/>
        <v>4.7872340425531915E-2</v>
      </c>
      <c r="GX28" s="51">
        <f t="shared" si="24"/>
        <v>-2.030456852791878E-2</v>
      </c>
      <c r="GY28" s="51">
        <f t="shared" si="25"/>
        <v>4.6632124352331605E-2</v>
      </c>
      <c r="GZ28" s="51">
        <f t="shared" si="25"/>
        <v>2.9702970297029702E-2</v>
      </c>
      <c r="HA28" s="51">
        <f t="shared" si="25"/>
        <v>2.403846153846154E-2</v>
      </c>
      <c r="HB28" s="51">
        <f t="shared" si="25"/>
        <v>2.3474178403755867E-2</v>
      </c>
      <c r="HC28" s="51">
        <f t="shared" si="25"/>
        <v>5.9633027522935783E-2</v>
      </c>
      <c r="HD28" s="51">
        <f t="shared" si="25"/>
        <v>8.658008658008658E-3</v>
      </c>
      <c r="HE28" s="51">
        <f t="shared" si="20"/>
        <v>9.4420600858369105E-2</v>
      </c>
      <c r="HF28" s="51">
        <f t="shared" si="20"/>
        <v>1.9607843137254902E-2</v>
      </c>
      <c r="HG28" s="51">
        <f t="shared" si="20"/>
        <v>3.0769230769230771E-2</v>
      </c>
      <c r="HH28" s="51">
        <f t="shared" si="20"/>
        <v>-6.3432835820895525E-2</v>
      </c>
      <c r="HI28" s="51">
        <f t="shared" si="20"/>
        <v>2.3904382470119521E-2</v>
      </c>
      <c r="HJ28" s="51">
        <f t="shared" si="20"/>
        <v>4.2801556420233464E-2</v>
      </c>
      <c r="HK28" s="51">
        <f t="shared" si="20"/>
        <v>3.7313432835820895E-3</v>
      </c>
      <c r="HL28" s="51">
        <f t="shared" si="20"/>
        <v>-1.4869888475836431E-2</v>
      </c>
      <c r="HM28" s="51">
        <f t="shared" si="20"/>
        <v>-0.11320754716981132</v>
      </c>
      <c r="HN28" s="51">
        <f>(DG28-DF28)/DF28</f>
        <v>2.1276595744680851E-2</v>
      </c>
      <c r="HP28" s="51">
        <f t="shared" si="2"/>
        <v>1.7361398483577928E-2</v>
      </c>
      <c r="HQ28" s="51">
        <f t="shared" si="3"/>
        <v>1.61103733985201E-2</v>
      </c>
      <c r="HR28" s="51">
        <f t="shared" si="4"/>
        <v>2.14536461466097E-2</v>
      </c>
      <c r="HS28" s="79">
        <f t="shared" si="5"/>
        <v>2.164009111617312E-2</v>
      </c>
      <c r="HT28" s="79">
        <f t="shared" si="6"/>
        <v>2.3689280436937694E-2</v>
      </c>
      <c r="HU28" s="103">
        <f t="shared" si="7"/>
        <v>2.3971422004290532E-2</v>
      </c>
      <c r="HW28" s="104" t="s">
        <v>42</v>
      </c>
      <c r="HX28" s="16">
        <v>2.3971422004290501E-2</v>
      </c>
      <c r="HY28" s="186" t="s">
        <v>108</v>
      </c>
    </row>
    <row r="29" spans="1:234" ht="15" customHeight="1" x14ac:dyDescent="0.2">
      <c r="A29" s="5" t="s">
        <v>120</v>
      </c>
      <c r="B29" s="48" t="s">
        <v>43</v>
      </c>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v>0</v>
      </c>
      <c r="CQ29" s="5">
        <v>35</v>
      </c>
      <c r="CR29" s="5">
        <v>38</v>
      </c>
      <c r="CS29" s="5">
        <v>48</v>
      </c>
      <c r="CT29" s="5">
        <v>39</v>
      </c>
      <c r="CU29" s="5">
        <v>35</v>
      </c>
      <c r="CV29" s="5">
        <v>31</v>
      </c>
      <c r="CW29" s="5">
        <v>27</v>
      </c>
      <c r="CX29" s="26">
        <v>902</v>
      </c>
      <c r="CY29" s="26">
        <v>1469</v>
      </c>
      <c r="CZ29" s="26">
        <v>1187</v>
      </c>
      <c r="DA29" s="26">
        <v>1418</v>
      </c>
      <c r="DB29" s="26">
        <v>1283</v>
      </c>
      <c r="DC29" s="26">
        <v>1554</v>
      </c>
      <c r="DD29" s="26">
        <v>1661</v>
      </c>
      <c r="DE29" s="26">
        <v>1303</v>
      </c>
      <c r="DF29" s="26">
        <v>1406</v>
      </c>
      <c r="DG29" s="26">
        <v>1563</v>
      </c>
      <c r="DH29" s="26">
        <v>1440</v>
      </c>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1">
        <f t="shared" si="25"/>
        <v>8.5714285714285715E-2</v>
      </c>
      <c r="GZ29" s="51">
        <f t="shared" si="25"/>
        <v>0.26315789473684209</v>
      </c>
      <c r="HA29" s="51">
        <f t="shared" si="25"/>
        <v>-0.1875</v>
      </c>
      <c r="HB29" s="51">
        <f t="shared" si="25"/>
        <v>-0.10256410256410256</v>
      </c>
      <c r="HC29" s="51">
        <f t="shared" si="25"/>
        <v>-0.11428571428571428</v>
      </c>
      <c r="HD29" s="51">
        <f t="shared" si="25"/>
        <v>-0.12903225806451613</v>
      </c>
      <c r="HE29" s="51">
        <f t="shared" si="20"/>
        <v>32.407407407407405</v>
      </c>
      <c r="HF29" s="51">
        <f t="shared" si="20"/>
        <v>0.62860310421286036</v>
      </c>
      <c r="HG29" s="51">
        <f t="shared" si="20"/>
        <v>-0.19196732471068753</v>
      </c>
      <c r="HH29" s="51">
        <f t="shared" si="20"/>
        <v>0.19460825610783489</v>
      </c>
      <c r="HI29" s="51">
        <f t="shared" si="20"/>
        <v>-9.5204513399153742E-2</v>
      </c>
      <c r="HJ29" s="51">
        <f t="shared" si="20"/>
        <v>0.2112236944660951</v>
      </c>
      <c r="HK29" s="51">
        <f t="shared" si="20"/>
        <v>6.8854568854568851E-2</v>
      </c>
      <c r="HL29" s="51">
        <f t="shared" si="20"/>
        <v>-0.21553281155930162</v>
      </c>
      <c r="HM29" s="51">
        <f t="shared" si="20"/>
        <v>7.9048349961627018E-2</v>
      </c>
      <c r="HN29" s="51">
        <f>(DG29-DF29)/DF29</f>
        <v>0.1116642958748222</v>
      </c>
      <c r="HP29" s="51">
        <f t="shared" si="2"/>
        <v>2.0633871957970538</v>
      </c>
      <c r="HQ29" s="51">
        <f t="shared" si="3"/>
        <v>2.0633871957970538</v>
      </c>
      <c r="HR29" s="51">
        <f t="shared" si="4"/>
        <v>2.3679056853107525</v>
      </c>
      <c r="HS29" s="79">
        <f t="shared" si="5"/>
        <v>7.3951459408097941E-2</v>
      </c>
      <c r="HT29" s="79">
        <f t="shared" si="6"/>
        <v>7.3951459408097941E-2</v>
      </c>
      <c r="HU29" s="103">
        <f t="shared" si="7"/>
        <v>7.7284427284427276E-2</v>
      </c>
      <c r="HW29" s="104" t="s">
        <v>43</v>
      </c>
      <c r="HX29" s="16">
        <v>7.7284427284427304E-2</v>
      </c>
      <c r="HY29" s="186" t="s">
        <v>108</v>
      </c>
    </row>
    <row r="30" spans="1:234" ht="15" customHeight="1" x14ac:dyDescent="0.2">
      <c r="A30" s="5" t="s">
        <v>122</v>
      </c>
      <c r="B30" s="48" t="s">
        <v>44</v>
      </c>
      <c r="C30" s="5"/>
      <c r="D30" s="102"/>
      <c r="E30" s="102"/>
      <c r="F30" s="102"/>
      <c r="G30" s="102"/>
      <c r="H30" s="102"/>
      <c r="I30" s="102"/>
      <c r="J30" s="102"/>
      <c r="K30" s="102"/>
      <c r="L30" s="102"/>
      <c r="M30" s="102"/>
      <c r="N30" s="102"/>
      <c r="O30" s="102"/>
      <c r="P30" s="102"/>
      <c r="Q30" s="102"/>
      <c r="R30" s="102"/>
      <c r="S30" s="102"/>
      <c r="T30" s="102"/>
      <c r="U30" s="102"/>
      <c r="V30" s="102"/>
      <c r="W30" s="102"/>
      <c r="X30" s="102"/>
      <c r="Y30" s="102">
        <v>17.706</v>
      </c>
      <c r="Z30" s="102">
        <v>16.344000000000001</v>
      </c>
      <c r="AA30" s="102">
        <v>14.981999999999999</v>
      </c>
      <c r="AB30" s="102">
        <v>14.074</v>
      </c>
      <c r="AC30" s="102">
        <v>12.712</v>
      </c>
      <c r="AD30" s="102">
        <v>16.797999999999998</v>
      </c>
      <c r="AE30" s="102">
        <v>20.884</v>
      </c>
      <c r="AF30" s="102">
        <v>24.97</v>
      </c>
      <c r="AG30" s="102">
        <v>29.51</v>
      </c>
      <c r="AH30" s="102">
        <v>28.602</v>
      </c>
      <c r="AI30" s="102">
        <v>27.24</v>
      </c>
      <c r="AJ30" s="102">
        <v>26.332000000000001</v>
      </c>
      <c r="AK30" s="102">
        <v>24.97</v>
      </c>
      <c r="AL30" s="102">
        <v>41.314</v>
      </c>
      <c r="AM30" s="102">
        <v>57.204000000000001</v>
      </c>
      <c r="AN30" s="102">
        <v>73.093999999999994</v>
      </c>
      <c r="AO30" s="102">
        <v>88.983999999999995</v>
      </c>
      <c r="AP30" s="102">
        <v>84.444000000000003</v>
      </c>
      <c r="AQ30" s="102">
        <v>79.45</v>
      </c>
      <c r="AR30" s="102">
        <v>74.91</v>
      </c>
      <c r="AS30" s="102">
        <v>69.915999999999997</v>
      </c>
      <c r="AT30" s="102">
        <v>83.99</v>
      </c>
      <c r="AU30" s="102">
        <v>97.61</v>
      </c>
      <c r="AV30" s="102">
        <v>111.23</v>
      </c>
      <c r="AW30" s="102">
        <v>124.85</v>
      </c>
      <c r="AX30" s="102">
        <v>129.84399999999999</v>
      </c>
      <c r="AY30" s="102">
        <v>134.83799999999999</v>
      </c>
      <c r="AZ30" s="102">
        <v>139.83199999999999</v>
      </c>
      <c r="BA30" s="102">
        <v>144.37200000000001</v>
      </c>
      <c r="BB30" s="102">
        <v>138.92400000000001</v>
      </c>
      <c r="BC30" s="102">
        <v>133.476</v>
      </c>
      <c r="BD30" s="102">
        <v>128.482</v>
      </c>
      <c r="BE30" s="102">
        <v>123.03400000000001</v>
      </c>
      <c r="BF30" s="102">
        <v>129</v>
      </c>
      <c r="BG30" s="102">
        <v>134</v>
      </c>
      <c r="BH30" s="102">
        <v>140</v>
      </c>
      <c r="BI30" s="102">
        <v>145</v>
      </c>
      <c r="BJ30" s="102">
        <v>148</v>
      </c>
      <c r="BK30" s="102">
        <v>150</v>
      </c>
      <c r="BL30" s="102">
        <v>152</v>
      </c>
      <c r="BM30" s="102">
        <v>155</v>
      </c>
      <c r="BN30" s="102">
        <v>165</v>
      </c>
      <c r="BO30" s="102">
        <v>175</v>
      </c>
      <c r="BP30" s="102">
        <v>185</v>
      </c>
      <c r="BQ30" s="102">
        <v>194</v>
      </c>
      <c r="BR30" s="127">
        <v>170</v>
      </c>
      <c r="BS30" s="102">
        <v>145</v>
      </c>
      <c r="BT30" s="102">
        <v>121</v>
      </c>
      <c r="BU30" s="102">
        <v>96</v>
      </c>
      <c r="BV30" s="102">
        <v>110</v>
      </c>
      <c r="BW30" s="102">
        <v>123</v>
      </c>
      <c r="BX30" s="102">
        <v>137</v>
      </c>
      <c r="BY30" s="102">
        <v>150</v>
      </c>
      <c r="BZ30" s="102">
        <v>109</v>
      </c>
      <c r="CA30" s="102">
        <v>88</v>
      </c>
      <c r="CB30" s="102">
        <v>67</v>
      </c>
      <c r="CC30" s="102">
        <v>83</v>
      </c>
      <c r="CD30" s="102">
        <v>98</v>
      </c>
      <c r="CE30" s="102">
        <v>89</v>
      </c>
      <c r="CF30" s="102">
        <v>94</v>
      </c>
      <c r="CG30" s="102">
        <v>109</v>
      </c>
      <c r="CH30" s="102">
        <v>129</v>
      </c>
      <c r="CI30" s="102">
        <v>89</v>
      </c>
      <c r="CJ30" s="102">
        <v>115</v>
      </c>
      <c r="CK30" s="102">
        <v>124</v>
      </c>
      <c r="CL30" s="102">
        <v>125</v>
      </c>
      <c r="CM30" s="102">
        <v>141</v>
      </c>
      <c r="CN30" s="102">
        <v>94</v>
      </c>
      <c r="CO30" s="102">
        <v>93</v>
      </c>
      <c r="CP30" s="102">
        <v>93</v>
      </c>
      <c r="CQ30" s="102">
        <v>119</v>
      </c>
      <c r="CR30" s="102">
        <v>132</v>
      </c>
      <c r="CS30" s="102">
        <v>41</v>
      </c>
      <c r="CT30" s="102">
        <v>89</v>
      </c>
      <c r="CU30" s="102">
        <v>118</v>
      </c>
      <c r="CV30" s="102">
        <v>123</v>
      </c>
      <c r="CW30" s="102">
        <v>80</v>
      </c>
      <c r="CX30" s="102">
        <v>91</v>
      </c>
      <c r="CY30" s="102">
        <v>104</v>
      </c>
      <c r="CZ30" s="102">
        <v>115</v>
      </c>
      <c r="DA30" s="102">
        <v>119</v>
      </c>
      <c r="DB30" s="102">
        <v>410</v>
      </c>
      <c r="DC30" s="102">
        <v>470</v>
      </c>
      <c r="DD30" s="102">
        <v>460</v>
      </c>
      <c r="DE30" s="102">
        <v>520</v>
      </c>
      <c r="DF30" s="35">
        <v>562</v>
      </c>
      <c r="DG30" s="102">
        <v>580</v>
      </c>
      <c r="DH30" s="5"/>
      <c r="DJ30" s="5"/>
      <c r="DK30" s="5"/>
      <c r="DL30" s="5"/>
      <c r="DM30" s="5"/>
      <c r="DN30" s="5"/>
      <c r="DO30" s="5"/>
      <c r="DP30" s="5"/>
      <c r="DQ30" s="5"/>
      <c r="DR30" s="5"/>
      <c r="DS30" s="5"/>
      <c r="DT30" s="5"/>
      <c r="DU30" s="5"/>
      <c r="DV30" s="5"/>
      <c r="DW30" s="5"/>
      <c r="DX30" s="5"/>
      <c r="DY30" s="5"/>
      <c r="DZ30" s="5"/>
      <c r="EA30" s="5"/>
      <c r="EB30" s="5"/>
      <c r="EC30" s="5"/>
      <c r="ED30" s="5"/>
      <c r="EE30" s="5"/>
      <c r="EF30" s="5"/>
      <c r="EG30" s="51">
        <f t="shared" ref="EG30:GR32" si="28">(Z30-Y30)/Y30</f>
        <v>-7.692307692307683E-2</v>
      </c>
      <c r="EH30" s="51">
        <f t="shared" si="28"/>
        <v>-8.333333333333344E-2</v>
      </c>
      <c r="EI30" s="51">
        <f t="shared" si="28"/>
        <v>-6.0606060606060573E-2</v>
      </c>
      <c r="EJ30" s="51">
        <f t="shared" si="28"/>
        <v>-9.6774193548387108E-2</v>
      </c>
      <c r="EK30" s="51">
        <f t="shared" si="28"/>
        <v>0.32142857142857134</v>
      </c>
      <c r="EL30" s="51">
        <f t="shared" si="28"/>
        <v>0.2432432432432434</v>
      </c>
      <c r="EM30" s="51">
        <f t="shared" si="28"/>
        <v>0.1956521739130434</v>
      </c>
      <c r="EN30" s="51">
        <f t="shared" si="28"/>
        <v>0.18181818181818193</v>
      </c>
      <c r="EO30" s="51">
        <f t="shared" si="28"/>
        <v>-3.0769230769230809E-2</v>
      </c>
      <c r="EP30" s="51">
        <f t="shared" si="28"/>
        <v>-4.7619047619047686E-2</v>
      </c>
      <c r="EQ30" s="51">
        <f t="shared" si="28"/>
        <v>-3.333333333333325E-2</v>
      </c>
      <c r="ER30" s="51">
        <f t="shared" si="28"/>
        <v>-5.1724137931034551E-2</v>
      </c>
      <c r="ES30" s="51">
        <f t="shared" si="28"/>
        <v>0.65454545454545465</v>
      </c>
      <c r="ET30" s="51">
        <f t="shared" si="28"/>
        <v>0.38461538461538464</v>
      </c>
      <c r="EU30" s="51">
        <f t="shared" si="28"/>
        <v>0.27777777777777768</v>
      </c>
      <c r="EV30" s="51">
        <f t="shared" si="28"/>
        <v>0.21739130434782611</v>
      </c>
      <c r="EW30" s="51">
        <f t="shared" si="28"/>
        <v>-5.1020408163265217E-2</v>
      </c>
      <c r="EX30" s="51">
        <f t="shared" si="28"/>
        <v>-5.9139784946236555E-2</v>
      </c>
      <c r="EY30" s="51">
        <f t="shared" si="28"/>
        <v>-5.7142857142857217E-2</v>
      </c>
      <c r="EZ30" s="51">
        <f t="shared" si="28"/>
        <v>-6.6666666666666666E-2</v>
      </c>
      <c r="FA30" s="51">
        <f t="shared" si="28"/>
        <v>0.20129870129870128</v>
      </c>
      <c r="FB30" s="51">
        <f t="shared" si="28"/>
        <v>0.16216216216216223</v>
      </c>
      <c r="FC30" s="51">
        <f t="shared" si="28"/>
        <v>0.13953488372093029</v>
      </c>
      <c r="FD30" s="51">
        <f t="shared" si="28"/>
        <v>0.12244897959183665</v>
      </c>
      <c r="FE30" s="51">
        <f t="shared" si="28"/>
        <v>0.04</v>
      </c>
      <c r="FF30" s="51">
        <f t="shared" si="28"/>
        <v>3.8461538461538464E-2</v>
      </c>
      <c r="FG30" s="51">
        <f t="shared" si="28"/>
        <v>3.7037037037037035E-2</v>
      </c>
      <c r="FH30" s="51">
        <f t="shared" si="28"/>
        <v>3.2467532467532617E-2</v>
      </c>
      <c r="FI30" s="51">
        <f t="shared" si="28"/>
        <v>-3.7735849056603821E-2</v>
      </c>
      <c r="FJ30" s="51">
        <f t="shared" si="28"/>
        <v>-3.9215686274509859E-2</v>
      </c>
      <c r="FK30" s="51">
        <f t="shared" si="28"/>
        <v>-3.7414965986394558E-2</v>
      </c>
      <c r="FL30" s="51">
        <f t="shared" si="28"/>
        <v>-4.2402826855123622E-2</v>
      </c>
      <c r="FM30" s="51">
        <f t="shared" si="28"/>
        <v>4.8490661118064875E-2</v>
      </c>
      <c r="FN30" s="51">
        <f t="shared" si="28"/>
        <v>3.875968992248062E-2</v>
      </c>
      <c r="FO30" s="51">
        <f t="shared" si="28"/>
        <v>4.4776119402985072E-2</v>
      </c>
      <c r="FP30" s="51">
        <f t="shared" si="28"/>
        <v>3.5714285714285712E-2</v>
      </c>
      <c r="FQ30" s="51">
        <f t="shared" si="28"/>
        <v>2.0689655172413793E-2</v>
      </c>
      <c r="FR30" s="51">
        <f t="shared" si="28"/>
        <v>1.3513513513513514E-2</v>
      </c>
      <c r="FS30" s="51">
        <f t="shared" si="28"/>
        <v>1.3333333333333334E-2</v>
      </c>
      <c r="FT30" s="51">
        <f t="shared" si="28"/>
        <v>1.9736842105263157E-2</v>
      </c>
      <c r="FU30" s="51">
        <f t="shared" si="28"/>
        <v>6.4516129032258063E-2</v>
      </c>
      <c r="FV30" s="51">
        <f t="shared" si="28"/>
        <v>6.0606060606060608E-2</v>
      </c>
      <c r="FW30" s="51">
        <f t="shared" si="28"/>
        <v>5.7142857142857141E-2</v>
      </c>
      <c r="FX30" s="51">
        <f t="shared" si="28"/>
        <v>4.8648648648648651E-2</v>
      </c>
      <c r="FY30" s="51">
        <f t="shared" si="28"/>
        <v>-0.12371134020618557</v>
      </c>
      <c r="FZ30" s="51">
        <f t="shared" si="28"/>
        <v>-0.14705882352941177</v>
      </c>
      <c r="GA30" s="51">
        <f t="shared" si="28"/>
        <v>-0.16551724137931034</v>
      </c>
      <c r="GB30" s="51">
        <f t="shared" si="28"/>
        <v>-0.20661157024793389</v>
      </c>
      <c r="GC30" s="51">
        <f t="shared" si="28"/>
        <v>0.14583333333333334</v>
      </c>
      <c r="GD30" s="51">
        <f t="shared" si="28"/>
        <v>0.11818181818181818</v>
      </c>
      <c r="GE30" s="51">
        <f t="shared" si="28"/>
        <v>0.11382113821138211</v>
      </c>
      <c r="GF30" s="51">
        <f t="shared" si="28"/>
        <v>9.4890510948905105E-2</v>
      </c>
      <c r="GG30" s="51">
        <f t="shared" si="28"/>
        <v>-0.27333333333333332</v>
      </c>
      <c r="GH30" s="51">
        <f t="shared" si="28"/>
        <v>-0.19266055045871561</v>
      </c>
      <c r="GI30" s="51">
        <f t="shared" si="28"/>
        <v>-0.23863636363636365</v>
      </c>
      <c r="GJ30" s="51">
        <f t="shared" si="28"/>
        <v>0.23880597014925373</v>
      </c>
      <c r="GK30" s="51">
        <f t="shared" si="28"/>
        <v>0.18072289156626506</v>
      </c>
      <c r="GL30" s="51">
        <f t="shared" si="28"/>
        <v>-9.1836734693877556E-2</v>
      </c>
      <c r="GM30" s="51">
        <f t="shared" si="28"/>
        <v>5.6179775280898875E-2</v>
      </c>
      <c r="GN30" s="51">
        <f t="shared" si="28"/>
        <v>0.15957446808510639</v>
      </c>
      <c r="GO30" s="51">
        <f t="shared" si="28"/>
        <v>0.1834862385321101</v>
      </c>
      <c r="GP30" s="51">
        <f t="shared" si="28"/>
        <v>-0.31007751937984496</v>
      </c>
      <c r="GQ30" s="51">
        <f t="shared" si="28"/>
        <v>0.29213483146067415</v>
      </c>
      <c r="GR30" s="51">
        <f t="shared" si="28"/>
        <v>7.8260869565217397E-2</v>
      </c>
      <c r="GS30" s="51">
        <f t="shared" ref="GS30:GX32" si="29">(CL30-CK30)/CK30</f>
        <v>8.0645161290322578E-3</v>
      </c>
      <c r="GT30" s="51">
        <f t="shared" si="29"/>
        <v>0.128</v>
      </c>
      <c r="GU30" s="51">
        <f t="shared" si="29"/>
        <v>-0.33333333333333331</v>
      </c>
      <c r="GV30" s="51">
        <f t="shared" si="29"/>
        <v>-1.0638297872340425E-2</v>
      </c>
      <c r="GW30" s="51">
        <f t="shared" si="29"/>
        <v>0</v>
      </c>
      <c r="GX30" s="51">
        <f t="shared" si="29"/>
        <v>0.27956989247311825</v>
      </c>
      <c r="GY30" s="51">
        <f t="shared" si="25"/>
        <v>0.1092436974789916</v>
      </c>
      <c r="GZ30" s="51">
        <f t="shared" si="25"/>
        <v>-0.68939393939393945</v>
      </c>
      <c r="HA30" s="51">
        <f t="shared" si="25"/>
        <v>1.1707317073170731</v>
      </c>
      <c r="HB30" s="51">
        <f t="shared" si="25"/>
        <v>0.3258426966292135</v>
      </c>
      <c r="HC30" s="51">
        <f t="shared" si="25"/>
        <v>4.2372881355932202E-2</v>
      </c>
      <c r="HD30" s="51">
        <f t="shared" si="25"/>
        <v>-0.34959349593495936</v>
      </c>
      <c r="HE30" s="51">
        <f t="shared" si="20"/>
        <v>0.13750000000000001</v>
      </c>
      <c r="HF30" s="51">
        <f t="shared" si="20"/>
        <v>0.14285714285714285</v>
      </c>
      <c r="HG30" s="51">
        <f t="shared" si="20"/>
        <v>0.10576923076923077</v>
      </c>
      <c r="HH30" s="51">
        <f t="shared" si="20"/>
        <v>3.4782608695652174E-2</v>
      </c>
      <c r="HI30" s="51">
        <f t="shared" si="20"/>
        <v>2.4453781512605044</v>
      </c>
      <c r="HJ30" s="51">
        <f t="shared" si="20"/>
        <v>0.14634146341463414</v>
      </c>
      <c r="HK30" s="51">
        <f t="shared" si="20"/>
        <v>-2.1276595744680851E-2</v>
      </c>
      <c r="HL30" s="51">
        <f t="shared" si="20"/>
        <v>0.13043478260869565</v>
      </c>
      <c r="HM30" s="51">
        <f t="shared" si="20"/>
        <v>8.0769230769230774E-2</v>
      </c>
      <c r="HN30" s="51">
        <f>(DG30-DF30)/DF30</f>
        <v>3.2028469750889681E-2</v>
      </c>
      <c r="HP30" s="51">
        <f t="shared" si="2"/>
        <v>7.7580098147282547E-2</v>
      </c>
      <c r="HQ30" s="51">
        <f t="shared" si="3"/>
        <v>0.1395020386299852</v>
      </c>
      <c r="HR30" s="51">
        <f t="shared" si="4"/>
        <v>0.14176204075938667</v>
      </c>
      <c r="HS30" s="79">
        <f t="shared" si="5"/>
        <v>3.9379844961240307E-2</v>
      </c>
      <c r="HT30" s="79">
        <f t="shared" si="6"/>
        <v>9.3269230769230771E-2</v>
      </c>
      <c r="HU30" s="79">
        <f t="shared" si="7"/>
        <v>9.2015050167224083E-2</v>
      </c>
      <c r="HW30" s="104" t="s">
        <v>44</v>
      </c>
      <c r="HX30" s="27" t="s">
        <v>124</v>
      </c>
      <c r="HY30" s="24"/>
    </row>
    <row r="31" spans="1:234" ht="15" customHeight="1" x14ac:dyDescent="0.2">
      <c r="A31" s="5" t="s">
        <v>106</v>
      </c>
      <c r="B31" s="48" t="s">
        <v>45</v>
      </c>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2"/>
      <c r="BJ31" s="102"/>
      <c r="BK31" s="102"/>
      <c r="BL31" s="102"/>
      <c r="BM31" s="102">
        <v>8.1609333673845494</v>
      </c>
      <c r="BN31" s="102">
        <v>8.6113758750200002</v>
      </c>
      <c r="BO31" s="102">
        <v>12.4562912247364</v>
      </c>
      <c r="BP31" s="102">
        <v>16.068928558058001</v>
      </c>
      <c r="BQ31" s="102">
        <v>17.511143782108601</v>
      </c>
      <c r="BR31" s="102">
        <v>14.9291338699944</v>
      </c>
      <c r="BS31" s="102">
        <v>14.3521797633855</v>
      </c>
      <c r="BT31" s="102">
        <v>11.638301914438101</v>
      </c>
      <c r="BU31" s="102">
        <v>18.8831314653312</v>
      </c>
      <c r="BV31" s="102">
        <v>21.994398570731601</v>
      </c>
      <c r="BW31" s="102">
        <v>41.516889729799701</v>
      </c>
      <c r="BX31" s="102">
        <v>42.134654029625899</v>
      </c>
      <c r="BY31" s="102">
        <v>43.5625006648146</v>
      </c>
      <c r="BZ31" s="102">
        <v>47.991511904953001</v>
      </c>
      <c r="CA31" s="102">
        <v>52.694971694477402</v>
      </c>
      <c r="CB31" s="102">
        <v>50.850180918585799</v>
      </c>
      <c r="CC31" s="102">
        <v>43.918569600635102</v>
      </c>
      <c r="CD31" s="102">
        <v>42.184476473845301</v>
      </c>
      <c r="CE31" s="102">
        <v>52.3848142260263</v>
      </c>
      <c r="CF31" s="102">
        <v>49.567380511790098</v>
      </c>
      <c r="CG31" s="102">
        <v>88.710477336119496</v>
      </c>
      <c r="CH31" s="102">
        <v>97.269140044900496</v>
      </c>
      <c r="CI31" s="102">
        <v>93.765499935963405</v>
      </c>
      <c r="CJ31" s="102">
        <v>113.473847516642</v>
      </c>
      <c r="CK31" s="102">
        <v>119.90740443487</v>
      </c>
      <c r="CL31" s="102">
        <v>125.01097416039499</v>
      </c>
      <c r="CM31" s="102">
        <v>138.12805043030801</v>
      </c>
      <c r="CN31" s="102">
        <v>150.752003532179</v>
      </c>
      <c r="CO31" s="102">
        <v>157.668481070144</v>
      </c>
      <c r="CP31" s="102">
        <v>169.082581985595</v>
      </c>
      <c r="CQ31" s="102">
        <v>203.047885545486</v>
      </c>
      <c r="CR31" s="102">
        <v>227.09767249335701</v>
      </c>
      <c r="CS31" s="102">
        <v>206.347389667101</v>
      </c>
      <c r="CT31" s="102">
        <v>212.24208199238899</v>
      </c>
      <c r="CU31" s="102">
        <v>220.21146251536101</v>
      </c>
      <c r="CV31" s="102">
        <v>202.663334495649</v>
      </c>
      <c r="CW31" s="102">
        <v>180.74375461248201</v>
      </c>
      <c r="CX31" s="102">
        <v>172.23091834983501</v>
      </c>
      <c r="CY31" s="102">
        <v>162.867104537372</v>
      </c>
      <c r="CZ31" s="102">
        <v>241.063175676009</v>
      </c>
      <c r="DA31" s="102">
        <v>244.73039664275899</v>
      </c>
      <c r="DB31" s="102">
        <v>257.63457973805401</v>
      </c>
      <c r="DC31" s="102">
        <v>286.00591108392501</v>
      </c>
      <c r="DD31" s="102">
        <v>381.10462901955498</v>
      </c>
      <c r="DE31" s="102">
        <v>373.37687884892398</v>
      </c>
      <c r="DF31" s="102">
        <v>313.813381593511</v>
      </c>
      <c r="DG31" s="102"/>
      <c r="DH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1">
        <f t="shared" si="28"/>
        <v>5.5194974319439948E-2</v>
      </c>
      <c r="FV31" s="51">
        <f t="shared" si="28"/>
        <v>0.44649257046946289</v>
      </c>
      <c r="FW31" s="51">
        <f t="shared" si="28"/>
        <v>0.2900251180822927</v>
      </c>
      <c r="FX31" s="51">
        <f t="shared" si="28"/>
        <v>8.9751797628559338E-2</v>
      </c>
      <c r="FY31" s="51">
        <f t="shared" si="28"/>
        <v>-0.14744952952486626</v>
      </c>
      <c r="FZ31" s="51">
        <f t="shared" si="28"/>
        <v>-3.8646187490387646E-2</v>
      </c>
      <c r="GA31" s="51">
        <f t="shared" si="28"/>
        <v>-0.18909168458653905</v>
      </c>
      <c r="GB31" s="51">
        <f t="shared" si="28"/>
        <v>0.62249884941594424</v>
      </c>
      <c r="GC31" s="51">
        <f t="shared" si="28"/>
        <v>0.16476436183863805</v>
      </c>
      <c r="GD31" s="51">
        <f t="shared" si="28"/>
        <v>0.88761195703014495</v>
      </c>
      <c r="GE31" s="51">
        <f t="shared" si="28"/>
        <v>1.4879830927767795E-2</v>
      </c>
      <c r="GF31" s="51">
        <f t="shared" si="28"/>
        <v>3.3887702843952316E-2</v>
      </c>
      <c r="GG31" s="51">
        <f t="shared" si="28"/>
        <v>0.10167027081885843</v>
      </c>
      <c r="GH31" s="51">
        <f t="shared" si="28"/>
        <v>9.8006076550361351E-2</v>
      </c>
      <c r="GI31" s="51">
        <f t="shared" si="28"/>
        <v>-3.5008857896111995E-2</v>
      </c>
      <c r="GJ31" s="51">
        <f t="shared" si="28"/>
        <v>-0.1363143885180787</v>
      </c>
      <c r="GK31" s="51">
        <f t="shared" si="28"/>
        <v>-3.9484280625676951E-2</v>
      </c>
      <c r="GL31" s="51">
        <f t="shared" si="28"/>
        <v>0.24180311348667055</v>
      </c>
      <c r="GM31" s="51">
        <f t="shared" si="28"/>
        <v>-5.3783405665614042E-2</v>
      </c>
      <c r="GN31" s="51">
        <f t="shared" si="28"/>
        <v>0.78969468267581377</v>
      </c>
      <c r="GO31" s="51">
        <f t="shared" si="28"/>
        <v>9.6478600564312844E-2</v>
      </c>
      <c r="GP31" s="51">
        <f t="shared" si="28"/>
        <v>-3.6020058441143539E-2</v>
      </c>
      <c r="GQ31" s="51">
        <f t="shared" si="28"/>
        <v>0.21018762331708668</v>
      </c>
      <c r="GR31" s="51">
        <f t="shared" si="28"/>
        <v>5.6696384753186994E-2</v>
      </c>
      <c r="GS31" s="51">
        <f t="shared" si="29"/>
        <v>4.2562590271871766E-2</v>
      </c>
      <c r="GT31" s="51">
        <f t="shared" si="29"/>
        <v>0.10492739823851932</v>
      </c>
      <c r="GU31" s="51">
        <f t="shared" si="29"/>
        <v>9.1393117202073035E-2</v>
      </c>
      <c r="GV31" s="51">
        <f t="shared" si="29"/>
        <v>4.587983825029978E-2</v>
      </c>
      <c r="GW31" s="51">
        <f t="shared" si="29"/>
        <v>7.2393041640155489E-2</v>
      </c>
      <c r="GX31" s="51">
        <f t="shared" si="29"/>
        <v>0.20087996741606817</v>
      </c>
      <c r="GY31" s="51">
        <f t="shared" si="25"/>
        <v>0.11844391722308023</v>
      </c>
      <c r="GZ31" s="51">
        <f t="shared" si="25"/>
        <v>-9.1371622608166503E-2</v>
      </c>
      <c r="HA31" s="51">
        <f t="shared" si="25"/>
        <v>2.856683738426671E-2</v>
      </c>
      <c r="HB31" s="51">
        <f t="shared" si="25"/>
        <v>3.7548541025232682E-2</v>
      </c>
      <c r="HC31" s="51">
        <f t="shared" si="25"/>
        <v>-7.9687623065887989E-2</v>
      </c>
      <c r="HD31" s="51">
        <f t="shared" si="25"/>
        <v>-0.10815760007954267</v>
      </c>
      <c r="HE31" s="51">
        <f t="shared" si="20"/>
        <v>-4.7098923450487565E-2</v>
      </c>
      <c r="HF31" s="51">
        <f t="shared" si="20"/>
        <v>-5.4367786586629309E-2</v>
      </c>
      <c r="HG31" s="51">
        <f t="shared" si="20"/>
        <v>0.48012194580823947</v>
      </c>
      <c r="HH31" s="51">
        <f t="shared" si="20"/>
        <v>1.5212696657073709E-2</v>
      </c>
      <c r="HI31" s="51">
        <f t="shared" si="20"/>
        <v>5.2728158301200673E-2</v>
      </c>
      <c r="HJ31" s="51">
        <f t="shared" si="20"/>
        <v>0.11012237322612947</v>
      </c>
      <c r="HK31" s="51">
        <f t="shared" si="20"/>
        <v>0.33250612749652009</v>
      </c>
      <c r="HL31" s="51">
        <f t="shared" si="20"/>
        <v>-2.0277240374937763E-2</v>
      </c>
      <c r="HM31" s="51">
        <f t="shared" si="20"/>
        <v>-0.15952647480218937</v>
      </c>
      <c r="HN31" s="5"/>
      <c r="HP31" s="51">
        <f t="shared" si="2"/>
        <v>0.10436988446993258</v>
      </c>
      <c r="HQ31" s="51">
        <f t="shared" si="3"/>
        <v>7.3130602994301144E-2</v>
      </c>
      <c r="HR31" s="51">
        <f t="shared" si="4"/>
        <v>8.4374220965533195E-2</v>
      </c>
      <c r="HS31" s="79">
        <f t="shared" si="5"/>
        <v>5.2728158301200673E-2</v>
      </c>
      <c r="HT31" s="79">
        <f t="shared" si="6"/>
        <v>4.2562590271871766E-2</v>
      </c>
      <c r="HU31" s="103">
        <f t="shared" si="7"/>
        <v>4.587983825029978E-2</v>
      </c>
      <c r="HW31" s="104" t="s">
        <v>45</v>
      </c>
      <c r="HX31" s="16">
        <v>4.5879838250305997E-2</v>
      </c>
      <c r="HY31" s="186" t="s">
        <v>108</v>
      </c>
    </row>
    <row r="32" spans="1:234" ht="15" customHeight="1" x14ac:dyDescent="0.2">
      <c r="A32" s="5" t="s">
        <v>122</v>
      </c>
      <c r="B32" s="48" t="s">
        <v>225</v>
      </c>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c r="BN32" s="102"/>
      <c r="BO32" s="102"/>
      <c r="BP32" s="102"/>
      <c r="BQ32" s="102"/>
      <c r="BR32" s="102"/>
      <c r="BS32" s="102"/>
      <c r="BT32">
        <v>47831</v>
      </c>
      <c r="BU32">
        <v>43150</v>
      </c>
      <c r="BV32">
        <v>47459</v>
      </c>
      <c r="BW32">
        <v>49480</v>
      </c>
      <c r="BX32">
        <v>47768</v>
      </c>
      <c r="BY32">
        <v>40716</v>
      </c>
      <c r="BZ32">
        <v>46407</v>
      </c>
      <c r="CA32">
        <v>51900</v>
      </c>
      <c r="CB32">
        <v>52184</v>
      </c>
      <c r="CC32">
        <v>48268</v>
      </c>
      <c r="CD32">
        <v>41004</v>
      </c>
      <c r="CE32">
        <v>34395</v>
      </c>
      <c r="CF32">
        <v>33677</v>
      </c>
      <c r="CG32">
        <v>37589</v>
      </c>
      <c r="CH32">
        <v>36262</v>
      </c>
      <c r="CI32">
        <v>34526</v>
      </c>
      <c r="CJ32">
        <v>30823</v>
      </c>
      <c r="CK32">
        <v>26696</v>
      </c>
      <c r="CL32">
        <v>30644</v>
      </c>
      <c r="CM32">
        <v>35143</v>
      </c>
      <c r="CN32">
        <v>45419</v>
      </c>
      <c r="CO32">
        <v>48031</v>
      </c>
      <c r="CP32" s="128">
        <v>66912</v>
      </c>
      <c r="CQ32" s="128">
        <v>60619</v>
      </c>
      <c r="CR32" s="128">
        <v>60347</v>
      </c>
      <c r="CS32" s="128">
        <v>58360</v>
      </c>
      <c r="CT32" s="128">
        <v>66737</v>
      </c>
      <c r="CU32" s="128">
        <v>63310</v>
      </c>
      <c r="CV32" s="128">
        <v>63419</v>
      </c>
      <c r="CW32" s="128">
        <v>73025</v>
      </c>
      <c r="CX32" s="128">
        <v>74018</v>
      </c>
      <c r="CY32" s="128">
        <v>76651</v>
      </c>
      <c r="CZ32" s="128">
        <v>80634</v>
      </c>
      <c r="DA32" s="5">
        <v>83011</v>
      </c>
      <c r="DB32" s="5">
        <v>80393</v>
      </c>
      <c r="DC32" s="5">
        <v>83573</v>
      </c>
      <c r="DD32" s="5">
        <v>81133</v>
      </c>
      <c r="DE32" s="5">
        <v>89822</v>
      </c>
      <c r="DF32" s="5">
        <v>92572</v>
      </c>
      <c r="DG32" s="5">
        <v>99651</v>
      </c>
      <c r="DH32" s="5">
        <v>99276</v>
      </c>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1"/>
      <c r="FV32" s="51"/>
      <c r="FW32" s="51"/>
      <c r="FX32" s="51"/>
      <c r="FY32" s="51"/>
      <c r="FZ32" s="51"/>
      <c r="GA32" s="51"/>
      <c r="GB32" s="51">
        <f t="shared" si="28"/>
        <v>-9.7865401099705207E-2</v>
      </c>
      <c r="GC32" s="51">
        <f t="shared" si="28"/>
        <v>9.9860950173812288E-2</v>
      </c>
      <c r="GD32" s="51">
        <f t="shared" si="28"/>
        <v>4.258412524494827E-2</v>
      </c>
      <c r="GE32" s="51">
        <f t="shared" si="28"/>
        <v>-3.459983831851253E-2</v>
      </c>
      <c r="GF32" s="51">
        <f t="shared" si="28"/>
        <v>-0.14763021269469101</v>
      </c>
      <c r="GG32" s="51">
        <f t="shared" si="28"/>
        <v>0.13977306218685528</v>
      </c>
      <c r="GH32" s="51">
        <f t="shared" si="28"/>
        <v>0.11836576378563579</v>
      </c>
      <c r="GI32" s="51">
        <f t="shared" si="28"/>
        <v>5.4720616570327549E-3</v>
      </c>
      <c r="GJ32" s="51">
        <f t="shared" si="28"/>
        <v>-7.5042158516020238E-2</v>
      </c>
      <c r="GK32" s="51">
        <f t="shared" si="28"/>
        <v>-0.15049308030164912</v>
      </c>
      <c r="GL32" s="51">
        <f t="shared" si="28"/>
        <v>-0.16117939713198712</v>
      </c>
      <c r="GM32" s="51">
        <f t="shared" si="28"/>
        <v>-2.0875127198720745E-2</v>
      </c>
      <c r="GN32" s="51">
        <f t="shared" si="28"/>
        <v>0.11616236600647326</v>
      </c>
      <c r="GO32" s="51">
        <f t="shared" si="28"/>
        <v>-3.5302881162042089E-2</v>
      </c>
      <c r="GP32" s="51">
        <f t="shared" si="28"/>
        <v>-4.7873807291379404E-2</v>
      </c>
      <c r="GQ32" s="51">
        <f t="shared" si="28"/>
        <v>-0.10725250535828072</v>
      </c>
      <c r="GR32" s="51">
        <f t="shared" si="28"/>
        <v>-0.13389352107192681</v>
      </c>
      <c r="GS32" s="51">
        <f t="shared" si="29"/>
        <v>0.14788732394366197</v>
      </c>
      <c r="GT32" s="51">
        <f t="shared" si="29"/>
        <v>0.14681503720140973</v>
      </c>
      <c r="GU32" s="51">
        <f t="shared" si="29"/>
        <v>0.29240531542554704</v>
      </c>
      <c r="GV32" s="51">
        <f t="shared" si="29"/>
        <v>5.7508972016116607E-2</v>
      </c>
      <c r="GW32" s="51">
        <f t="shared" si="29"/>
        <v>0.39310028939643149</v>
      </c>
      <c r="GX32" s="51">
        <f t="shared" si="29"/>
        <v>-9.4048900047824013E-2</v>
      </c>
      <c r="GY32" s="51">
        <f t="shared" si="25"/>
        <v>-4.4870420165294706E-3</v>
      </c>
      <c r="GZ32" s="51">
        <f t="shared" si="25"/>
        <v>-3.2926243226672411E-2</v>
      </c>
      <c r="HA32" s="51">
        <f t="shared" si="25"/>
        <v>0.14354009595613434</v>
      </c>
      <c r="HB32" s="51">
        <f t="shared" si="25"/>
        <v>-5.1350824879751865E-2</v>
      </c>
      <c r="HC32" s="51">
        <f t="shared" si="25"/>
        <v>1.7216869372926869E-3</v>
      </c>
      <c r="HD32" s="51">
        <f t="shared" si="25"/>
        <v>0.15146880272473548</v>
      </c>
      <c r="HE32" s="51">
        <f t="shared" si="20"/>
        <v>1.359808284833961E-2</v>
      </c>
      <c r="HF32" s="51">
        <f t="shared" si="20"/>
        <v>3.5572428328244483E-2</v>
      </c>
      <c r="HG32" s="51">
        <f t="shared" si="20"/>
        <v>5.1962792396707154E-2</v>
      </c>
      <c r="HH32" s="51">
        <f t="shared" si="20"/>
        <v>2.9478879876974975E-2</v>
      </c>
      <c r="HI32" s="51">
        <f t="shared" si="20"/>
        <v>-3.1537988941224657E-2</v>
      </c>
      <c r="HJ32" s="51">
        <f t="shared" si="20"/>
        <v>3.9555682708693543E-2</v>
      </c>
      <c r="HK32" s="51">
        <f t="shared" si="20"/>
        <v>-2.9196032211360128E-2</v>
      </c>
      <c r="HL32" s="51">
        <f t="shared" si="20"/>
        <v>0.10709575635068344</v>
      </c>
      <c r="HM32" s="51">
        <f t="shared" si="20"/>
        <v>3.0616107412437931E-2</v>
      </c>
      <c r="HN32" s="51">
        <f>(DG32-DF32)/DF32</f>
        <v>7.6470206974031021E-2</v>
      </c>
      <c r="HO32" s="51"/>
      <c r="HP32" s="51">
        <f t="shared" si="2"/>
        <v>2.52682263611262E-2</v>
      </c>
      <c r="HQ32" s="79">
        <f t="shared" si="3"/>
        <v>2.703038683767434E-2</v>
      </c>
      <c r="HR32" s="51">
        <f t="shared" si="4"/>
        <v>2.4242017168081918E-2</v>
      </c>
      <c r="HS32" s="79">
        <f t="shared" si="5"/>
        <v>1.359808284833961E-2</v>
      </c>
      <c r="HT32" s="103">
        <f t="shared" si="6"/>
        <v>9.5350722526861831E-3</v>
      </c>
      <c r="HU32" s="79">
        <f t="shared" si="7"/>
        <v>3.5968742971627206E-3</v>
      </c>
      <c r="HW32" s="104" t="s">
        <v>48</v>
      </c>
      <c r="HX32" s="16">
        <f>MEDIAN($GI32:$HN32)</f>
        <v>9.5350722526861831E-3</v>
      </c>
      <c r="HY32" s="186" t="s">
        <v>121</v>
      </c>
    </row>
    <row r="33" spans="1:233" ht="15" customHeight="1" x14ac:dyDescent="0.2">
      <c r="A33" s="5" t="s">
        <v>188</v>
      </c>
      <c r="B33" s="48" t="s">
        <v>47</v>
      </c>
      <c r="C33" s="5"/>
      <c r="D33" s="102"/>
      <c r="E33" s="102"/>
      <c r="F33" s="102"/>
      <c r="G33" s="102"/>
      <c r="H33" s="102"/>
      <c r="I33" s="102"/>
      <c r="J33" s="5">
        <v>82392.026578072997</v>
      </c>
      <c r="K33" s="102"/>
      <c r="L33" s="102"/>
      <c r="M33" s="102"/>
      <c r="N33" s="102"/>
      <c r="O33" s="102"/>
      <c r="P33" s="102"/>
      <c r="Q33" s="102"/>
      <c r="R33" s="102"/>
      <c r="S33" s="102"/>
      <c r="T33" s="5">
        <v>159468.43853820601</v>
      </c>
      <c r="U33" s="102"/>
      <c r="V33" s="102"/>
      <c r="W33" s="102"/>
      <c r="X33" s="102"/>
      <c r="Y33" s="102"/>
      <c r="Z33" s="102"/>
      <c r="AA33" s="102"/>
      <c r="AB33" s="102"/>
      <c r="AC33" s="102"/>
      <c r="AD33" s="5">
        <v>111627.90697674399</v>
      </c>
      <c r="AE33" s="102"/>
      <c r="AF33" s="102"/>
      <c r="AG33" s="102"/>
      <c r="AH33" s="102"/>
      <c r="AI33" s="102"/>
      <c r="AJ33" s="102"/>
      <c r="AK33" s="102"/>
      <c r="AL33" s="102"/>
      <c r="AM33" s="102"/>
      <c r="AN33" s="5">
        <v>164784.05315614599</v>
      </c>
      <c r="AO33" s="102"/>
      <c r="AP33" s="102"/>
      <c r="AQ33" s="102"/>
      <c r="AR33" s="102"/>
      <c r="AS33" s="102"/>
      <c r="AT33" s="102"/>
      <c r="AU33" s="102"/>
      <c r="AV33" s="102"/>
      <c r="AW33" s="102"/>
      <c r="AX33" s="5">
        <v>198449.61240310001</v>
      </c>
      <c r="AY33" s="102"/>
      <c r="AZ33" s="102"/>
      <c r="BA33" s="102"/>
      <c r="BB33" s="102"/>
      <c r="BC33" s="102"/>
      <c r="BD33" s="102"/>
      <c r="BE33" s="102"/>
      <c r="BF33" s="102"/>
      <c r="BG33" s="102"/>
      <c r="BH33" s="5">
        <v>223698.781838316</v>
      </c>
      <c r="BI33" s="102"/>
      <c r="BJ33" s="102"/>
      <c r="BK33" s="102"/>
      <c r="BL33" s="102"/>
      <c r="BM33" s="102"/>
      <c r="BN33" s="102"/>
      <c r="BO33" s="102"/>
      <c r="BP33" s="102"/>
      <c r="BQ33" s="102"/>
      <c r="BR33" s="5">
        <v>220598.006644518</v>
      </c>
      <c r="BS33" s="102"/>
      <c r="BT33" s="102"/>
      <c r="BU33" s="102"/>
      <c r="BV33" s="102"/>
      <c r="BW33" s="102"/>
      <c r="BX33" s="102"/>
      <c r="BY33" s="102"/>
      <c r="BZ33" s="102"/>
      <c r="CA33" s="102"/>
      <c r="CB33" s="5">
        <v>228571.428571428</v>
      </c>
      <c r="CC33" s="102"/>
      <c r="CD33" s="102"/>
      <c r="CE33" s="102"/>
      <c r="CF33" s="102"/>
      <c r="CG33" s="102"/>
      <c r="CH33" s="102"/>
      <c r="CI33" s="102"/>
      <c r="CJ33" s="102"/>
      <c r="CK33" s="102"/>
      <c r="CL33" s="5">
        <v>276411.96013288997</v>
      </c>
      <c r="CM33" s="102"/>
      <c r="CN33" s="102"/>
      <c r="CO33" s="102"/>
      <c r="CP33" s="102"/>
      <c r="CQ33" s="102"/>
      <c r="CR33" s="102"/>
      <c r="CS33" s="102"/>
      <c r="CT33" s="102"/>
      <c r="CU33" s="102"/>
      <c r="CV33" s="5">
        <v>349944.62901439599</v>
      </c>
      <c r="CW33" s="102"/>
      <c r="CX33" s="102"/>
      <c r="CY33" s="102"/>
      <c r="CZ33" s="102"/>
      <c r="DA33" s="102"/>
      <c r="DB33" s="102"/>
      <c r="DC33" s="102"/>
      <c r="DD33" s="102"/>
      <c r="DE33" s="102"/>
      <c r="DF33" s="5">
        <v>341528.23920265702</v>
      </c>
      <c r="DG33" s="102"/>
      <c r="DH33" s="5"/>
      <c r="DJ33" s="5"/>
      <c r="DK33" s="5"/>
      <c r="DL33" s="5"/>
      <c r="DM33" s="5"/>
      <c r="DN33" s="5"/>
      <c r="DO33" s="5"/>
      <c r="DP33" s="5"/>
      <c r="DQ33" s="51">
        <f>(T33-J33)/(10*J33)</f>
        <v>9.354838709677446E-2</v>
      </c>
      <c r="DR33" s="5"/>
      <c r="DS33" s="5"/>
      <c r="DT33" s="5"/>
      <c r="DU33" s="5"/>
      <c r="DV33" s="5"/>
      <c r="DW33" s="5"/>
      <c r="DX33" s="5"/>
      <c r="DY33" s="5"/>
      <c r="DZ33" s="5"/>
      <c r="EA33" s="51">
        <f>(AD33-T33)/(10*T33)</f>
        <v>-3.0000000000000134E-2</v>
      </c>
      <c r="EB33" s="51"/>
      <c r="EC33" s="51"/>
      <c r="ED33" s="51"/>
      <c r="EE33" s="51"/>
      <c r="EF33" s="51"/>
      <c r="EG33" s="51"/>
      <c r="EH33" s="51"/>
      <c r="EI33" s="51"/>
      <c r="EJ33" s="51"/>
      <c r="EK33" s="51">
        <f>(AN33-AD33)/(10*AD33)</f>
        <v>4.7619047619047707E-2</v>
      </c>
      <c r="EL33" s="51"/>
      <c r="EM33" s="51"/>
      <c r="EN33" s="51"/>
      <c r="EO33" s="51"/>
      <c r="EP33" s="51"/>
      <c r="EQ33" s="51"/>
      <c r="ER33" s="51"/>
      <c r="ES33" s="51"/>
      <c r="ET33" s="51"/>
      <c r="EU33" s="51">
        <f>(AX33-AN33)/(10*AN33)</f>
        <v>2.0430107526881392E-2</v>
      </c>
      <c r="EV33" s="51"/>
      <c r="EW33" s="51"/>
      <c r="EX33" s="51"/>
      <c r="EY33" s="51"/>
      <c r="EZ33" s="51"/>
      <c r="FA33" s="51"/>
      <c r="FB33" s="51"/>
      <c r="FC33" s="51"/>
      <c r="FD33" s="51"/>
      <c r="FE33" s="51">
        <f>(BH33-AX33)/(10*AX33)</f>
        <v>1.272321428571436E-2</v>
      </c>
      <c r="FF33" s="51"/>
      <c r="FG33" s="51"/>
      <c r="FH33" s="51"/>
      <c r="FI33" s="51"/>
      <c r="FJ33" s="51"/>
      <c r="FK33" s="51"/>
      <c r="FL33" s="51"/>
      <c r="FM33" s="51"/>
      <c r="FN33" s="51"/>
      <c r="FO33" s="51">
        <f>(BR33-BH33)/(10*BH33)</f>
        <v>-1.3861386138611924E-3</v>
      </c>
      <c r="FP33" s="51"/>
      <c r="FQ33" s="51"/>
      <c r="FR33" s="51"/>
      <c r="FS33" s="51"/>
      <c r="FT33" s="51"/>
      <c r="FU33" s="51"/>
      <c r="FV33" s="51"/>
      <c r="FW33" s="51"/>
      <c r="FX33" s="51"/>
      <c r="FY33" s="51">
        <f>(CB33-BR33)/(10*BR33)</f>
        <v>3.6144578313251695E-3</v>
      </c>
      <c r="FZ33" s="51"/>
      <c r="GA33" s="51"/>
      <c r="GB33" s="51"/>
      <c r="GC33" s="51"/>
      <c r="GD33" s="51"/>
      <c r="GE33" s="51"/>
      <c r="GF33" s="51"/>
      <c r="GG33" s="51"/>
      <c r="GH33" s="51"/>
      <c r="GI33" s="51">
        <f>(CL33-CB33)/(10*CB33)</f>
        <v>2.0930232558139666E-2</v>
      </c>
      <c r="GJ33" s="51"/>
      <c r="GK33" s="51"/>
      <c r="GL33" s="51"/>
      <c r="GM33" s="51"/>
      <c r="GN33" s="51"/>
      <c r="GO33" s="51"/>
      <c r="GP33" s="51"/>
      <c r="GQ33" s="51"/>
      <c r="GR33" s="51"/>
      <c r="GS33" s="51">
        <f>(CV33-CL33)/(10*CL33)</f>
        <v>2.6602564102564116E-2</v>
      </c>
      <c r="GT33" s="51"/>
      <c r="GU33" s="51"/>
      <c r="GV33" s="51"/>
      <c r="GW33" s="51"/>
      <c r="GX33" s="51"/>
      <c r="GY33" s="51"/>
      <c r="GZ33" s="51"/>
      <c r="HA33" s="51"/>
      <c r="HB33" s="51"/>
      <c r="HC33" s="51">
        <f>(DF33-CV33)/(10*CV33)</f>
        <v>-2.4050632911393373E-3</v>
      </c>
      <c r="HD33" s="51"/>
      <c r="HE33" s="51"/>
      <c r="HF33" s="51"/>
      <c r="HG33" s="51"/>
      <c r="HH33" s="51"/>
      <c r="HI33" s="51"/>
      <c r="HJ33" s="51"/>
      <c r="HK33" s="51"/>
      <c r="HL33" s="51"/>
      <c r="HM33" s="51">
        <f>(DP33-DF33)/(10*DF33)</f>
        <v>-0.1</v>
      </c>
      <c r="HN33" s="51"/>
      <c r="HP33" s="51">
        <f t="shared" si="2"/>
        <v>8.3342553741314711E-3</v>
      </c>
      <c r="HQ33" s="51">
        <f t="shared" si="3"/>
        <v>-1.3718066657608888E-2</v>
      </c>
      <c r="HR33" s="51">
        <f t="shared" si="4"/>
        <v>1.5042577789854817E-2</v>
      </c>
      <c r="HS33" s="79">
        <f t="shared" si="5"/>
        <v>1.272321428571436E-2</v>
      </c>
      <c r="HT33" s="79">
        <f t="shared" si="6"/>
        <v>9.2625846335001646E-3</v>
      </c>
      <c r="HU33" s="103">
        <f t="shared" si="7"/>
        <v>2.0930232558139666E-2</v>
      </c>
      <c r="HW33" s="104" t="s">
        <v>47</v>
      </c>
      <c r="HX33" s="36">
        <v>2.0930232558139701E-2</v>
      </c>
      <c r="HY33" s="186" t="s">
        <v>108</v>
      </c>
    </row>
    <row r="34" spans="1:233" ht="15" customHeight="1" x14ac:dyDescent="0.2">
      <c r="A34" s="5" t="s">
        <v>106</v>
      </c>
      <c r="B34" s="48" t="s">
        <v>49</v>
      </c>
      <c r="C34" s="102"/>
      <c r="D34" s="102"/>
      <c r="E34" s="102"/>
      <c r="F34" s="102"/>
      <c r="G34" s="102"/>
      <c r="H34" s="102"/>
      <c r="I34" s="102"/>
      <c r="J34" s="102">
        <v>2352</v>
      </c>
      <c r="K34" s="102">
        <v>2352</v>
      </c>
      <c r="L34" s="102">
        <v>2352</v>
      </c>
      <c r="M34" s="102">
        <v>3304</v>
      </c>
      <c r="N34" s="102">
        <v>4256</v>
      </c>
      <c r="O34" s="102">
        <v>5208</v>
      </c>
      <c r="P34" s="102">
        <v>6160</v>
      </c>
      <c r="Q34" s="102">
        <v>6036.8</v>
      </c>
      <c r="R34" s="102">
        <v>5913.6</v>
      </c>
      <c r="S34" s="102">
        <v>5791.52</v>
      </c>
      <c r="T34" s="102">
        <v>5668.32</v>
      </c>
      <c r="U34" s="102">
        <v>4368</v>
      </c>
      <c r="V34" s="102">
        <v>3024</v>
      </c>
      <c r="W34" s="102">
        <v>1680</v>
      </c>
      <c r="X34" s="102">
        <v>366.24</v>
      </c>
      <c r="Y34" s="102">
        <v>1008</v>
      </c>
      <c r="Z34" s="102">
        <v>1680</v>
      </c>
      <c r="AA34" s="102">
        <v>2352</v>
      </c>
      <c r="AB34" s="102">
        <v>2942.24</v>
      </c>
      <c r="AC34" s="102">
        <v>3248</v>
      </c>
      <c r="AD34" s="102">
        <v>3584</v>
      </c>
      <c r="AE34" s="102">
        <v>3886.4</v>
      </c>
      <c r="AF34" s="102">
        <v>4180.96</v>
      </c>
      <c r="AG34" s="102">
        <v>3584</v>
      </c>
      <c r="AH34" s="102">
        <v>2912</v>
      </c>
      <c r="AI34" s="102">
        <v>2240</v>
      </c>
      <c r="AJ34" s="102">
        <v>1584.8</v>
      </c>
      <c r="AK34" s="102">
        <v>1960</v>
      </c>
      <c r="AL34" s="102">
        <v>2352</v>
      </c>
      <c r="AM34" s="102">
        <v>2727.2</v>
      </c>
      <c r="AN34" s="102">
        <v>3101.28</v>
      </c>
      <c r="AO34" s="102">
        <v>4490.08</v>
      </c>
      <c r="AP34" s="102">
        <v>3541.44</v>
      </c>
      <c r="AQ34" s="102">
        <v>5556.32</v>
      </c>
      <c r="AR34" s="102">
        <v>5712</v>
      </c>
      <c r="AS34" s="102">
        <v>5729.92</v>
      </c>
      <c r="AT34" s="102">
        <v>5997.6</v>
      </c>
      <c r="AU34" s="102">
        <v>7817.6</v>
      </c>
      <c r="AV34" s="102">
        <v>8500.7999999999993</v>
      </c>
      <c r="AW34" s="102">
        <v>8998.08</v>
      </c>
      <c r="AX34" s="102">
        <v>10416</v>
      </c>
      <c r="AY34" s="102">
        <v>9856</v>
      </c>
      <c r="AZ34" s="102">
        <v>10640</v>
      </c>
      <c r="BA34" s="102">
        <v>9408</v>
      </c>
      <c r="BB34" s="102">
        <v>8624</v>
      </c>
      <c r="BC34" s="102">
        <v>9632</v>
      </c>
      <c r="BD34" s="102">
        <v>9856</v>
      </c>
      <c r="BE34" s="102">
        <v>9632</v>
      </c>
      <c r="BF34" s="102">
        <v>10976</v>
      </c>
      <c r="BG34" s="102">
        <v>10640</v>
      </c>
      <c r="BH34" s="102">
        <v>18800</v>
      </c>
      <c r="BI34" s="102">
        <v>17100</v>
      </c>
      <c r="BJ34" s="102">
        <v>18500</v>
      </c>
      <c r="BK34" s="102">
        <v>19600</v>
      </c>
      <c r="BL34" s="102">
        <v>19900</v>
      </c>
      <c r="BM34" s="102">
        <v>26000</v>
      </c>
      <c r="BN34" s="102">
        <v>29400</v>
      </c>
      <c r="BO34" s="102">
        <v>30300</v>
      </c>
      <c r="BP34" s="102">
        <v>28700</v>
      </c>
      <c r="BQ34" s="102">
        <v>30600</v>
      </c>
      <c r="BR34" s="102">
        <v>38000</v>
      </c>
      <c r="BS34" s="102">
        <v>35000</v>
      </c>
      <c r="BT34" s="102">
        <v>32800</v>
      </c>
      <c r="BU34" s="102">
        <v>28200</v>
      </c>
      <c r="BV34" s="102">
        <v>31100</v>
      </c>
      <c r="BW34" s="102">
        <v>31700</v>
      </c>
      <c r="BX34" s="102">
        <v>32500</v>
      </c>
      <c r="BY34" s="102">
        <v>31900</v>
      </c>
      <c r="BZ34" s="102">
        <v>33600</v>
      </c>
      <c r="CA34" s="102">
        <v>35900</v>
      </c>
      <c r="CB34" s="102">
        <v>33900</v>
      </c>
      <c r="CC34" s="102">
        <v>31300</v>
      </c>
      <c r="CD34" s="102">
        <v>28200</v>
      </c>
      <c r="CE34" s="102">
        <v>33400</v>
      </c>
      <c r="CF34" s="102">
        <v>33900</v>
      </c>
      <c r="CG34" s="102">
        <v>33700</v>
      </c>
      <c r="CH34" s="102">
        <v>35100</v>
      </c>
      <c r="CI34" s="102">
        <v>37100</v>
      </c>
      <c r="CJ34" s="102">
        <v>41800</v>
      </c>
      <c r="CK34" s="102">
        <v>42800</v>
      </c>
      <c r="CL34" s="102">
        <v>43000</v>
      </c>
      <c r="CM34" s="102">
        <v>58000</v>
      </c>
      <c r="CN34" s="102">
        <v>60000</v>
      </c>
      <c r="CO34" s="102">
        <v>41000</v>
      </c>
      <c r="CP34" s="102">
        <v>40200</v>
      </c>
      <c r="CQ34" s="102">
        <v>58200</v>
      </c>
      <c r="CR34" s="102">
        <v>55700</v>
      </c>
      <c r="CS34" s="102">
        <v>58500</v>
      </c>
      <c r="CT34" s="102">
        <v>55500</v>
      </c>
      <c r="CU34" s="102">
        <v>53500</v>
      </c>
      <c r="CV34" s="102">
        <v>57600</v>
      </c>
      <c r="CW34" s="102">
        <v>62400</v>
      </c>
      <c r="CX34" s="102">
        <v>74000</v>
      </c>
      <c r="CY34" s="102">
        <v>79000</v>
      </c>
      <c r="CZ34" s="102">
        <v>82700</v>
      </c>
      <c r="DA34" s="102">
        <v>77800</v>
      </c>
      <c r="DB34" s="102">
        <v>79000</v>
      </c>
      <c r="DC34" s="102">
        <v>71200</v>
      </c>
      <c r="DD34" s="102">
        <v>71200</v>
      </c>
      <c r="DE34" s="102">
        <v>86800</v>
      </c>
      <c r="DF34" s="35">
        <v>105000</v>
      </c>
      <c r="DG34" s="102">
        <v>110000</v>
      </c>
      <c r="DH34" s="5"/>
      <c r="DJ34" s="5"/>
      <c r="DK34" s="5"/>
      <c r="DL34" s="5"/>
      <c r="DM34" s="5"/>
      <c r="DN34" s="5"/>
      <c r="DO34" s="5"/>
      <c r="DP34" s="5"/>
      <c r="DQ34" s="5"/>
      <c r="DR34" s="51">
        <f t="shared" ref="DR34:GC37" si="30">(K34-J34)/J34</f>
        <v>0</v>
      </c>
      <c r="DS34" s="51">
        <f t="shared" si="30"/>
        <v>0</v>
      </c>
      <c r="DT34" s="51">
        <f t="shared" si="30"/>
        <v>0.40476190476190477</v>
      </c>
      <c r="DU34" s="51">
        <f t="shared" si="30"/>
        <v>0.28813559322033899</v>
      </c>
      <c r="DV34" s="51">
        <f t="shared" si="30"/>
        <v>0.22368421052631579</v>
      </c>
      <c r="DW34" s="51">
        <f t="shared" si="30"/>
        <v>0.18279569892473119</v>
      </c>
      <c r="DX34" s="51">
        <f t="shared" si="30"/>
        <v>-1.9999999999999969E-2</v>
      </c>
      <c r="DY34" s="51">
        <f t="shared" si="30"/>
        <v>-2.0408163265306093E-2</v>
      </c>
      <c r="DZ34" s="51">
        <f t="shared" si="30"/>
        <v>-2.0643939393939381E-2</v>
      </c>
      <c r="EA34" s="51">
        <f t="shared" si="30"/>
        <v>-2.1272481144846381E-2</v>
      </c>
      <c r="EB34" s="51">
        <f t="shared" si="30"/>
        <v>-0.22940130409010073</v>
      </c>
      <c r="EC34" s="51">
        <f t="shared" si="30"/>
        <v>-0.30769230769230771</v>
      </c>
      <c r="ED34" s="51">
        <f t="shared" si="30"/>
        <v>-0.44444444444444442</v>
      </c>
      <c r="EE34" s="51">
        <f t="shared" si="30"/>
        <v>-0.78200000000000003</v>
      </c>
      <c r="EF34" s="51">
        <f t="shared" si="30"/>
        <v>1.7522935779816513</v>
      </c>
      <c r="EG34" s="51">
        <f t="shared" si="30"/>
        <v>0.66666666666666663</v>
      </c>
      <c r="EH34" s="51">
        <f t="shared" si="30"/>
        <v>0.4</v>
      </c>
      <c r="EI34" s="51">
        <f t="shared" si="30"/>
        <v>0.25095238095238087</v>
      </c>
      <c r="EJ34" s="51">
        <f t="shared" si="30"/>
        <v>0.10392082223068147</v>
      </c>
      <c r="EK34" s="51">
        <f t="shared" si="30"/>
        <v>0.10344827586206896</v>
      </c>
      <c r="EL34" s="51">
        <f t="shared" si="30"/>
        <v>8.4375000000000019E-2</v>
      </c>
      <c r="EM34" s="51">
        <f t="shared" si="30"/>
        <v>7.5792507204610934E-2</v>
      </c>
      <c r="EN34" s="51">
        <f t="shared" si="30"/>
        <v>-0.14278060541119744</v>
      </c>
      <c r="EO34" s="51">
        <f t="shared" si="30"/>
        <v>-0.1875</v>
      </c>
      <c r="EP34" s="51">
        <f t="shared" si="30"/>
        <v>-0.23076923076923078</v>
      </c>
      <c r="EQ34" s="51">
        <f t="shared" si="30"/>
        <v>-0.29250000000000004</v>
      </c>
      <c r="ER34" s="51">
        <f t="shared" si="30"/>
        <v>0.2367491166077739</v>
      </c>
      <c r="ES34" s="51">
        <f t="shared" si="30"/>
        <v>0.2</v>
      </c>
      <c r="ET34" s="51">
        <f t="shared" si="30"/>
        <v>0.15952380952380946</v>
      </c>
      <c r="EU34" s="51">
        <f t="shared" si="30"/>
        <v>0.13716632443531843</v>
      </c>
      <c r="EV34" s="51">
        <f t="shared" si="30"/>
        <v>0.44781509570241951</v>
      </c>
      <c r="EW34" s="51">
        <f t="shared" si="30"/>
        <v>-0.21127463207782488</v>
      </c>
      <c r="EX34" s="51">
        <f t="shared" si="30"/>
        <v>0.56894370651486392</v>
      </c>
      <c r="EY34" s="51">
        <f t="shared" si="30"/>
        <v>2.8018544648256455E-2</v>
      </c>
      <c r="EZ34" s="51">
        <f t="shared" si="30"/>
        <v>3.1372549019607972E-3</v>
      </c>
      <c r="FA34" s="51">
        <f t="shared" si="30"/>
        <v>4.6716184519155643E-2</v>
      </c>
      <c r="FB34" s="51">
        <f t="shared" si="30"/>
        <v>0.30345471521942108</v>
      </c>
      <c r="FC34" s="51">
        <f t="shared" si="30"/>
        <v>8.7392550143266329E-2</v>
      </c>
      <c r="FD34" s="51">
        <f t="shared" si="30"/>
        <v>5.8498023715415098E-2</v>
      </c>
      <c r="FE34" s="51">
        <f t="shared" si="30"/>
        <v>0.15758028379387604</v>
      </c>
      <c r="FF34" s="51">
        <f t="shared" si="30"/>
        <v>-5.3763440860215055E-2</v>
      </c>
      <c r="FG34" s="51">
        <f t="shared" si="30"/>
        <v>7.9545454545454544E-2</v>
      </c>
      <c r="FH34" s="51">
        <f t="shared" si="30"/>
        <v>-0.11578947368421053</v>
      </c>
      <c r="FI34" s="51">
        <f t="shared" si="30"/>
        <v>-8.3333333333333329E-2</v>
      </c>
      <c r="FJ34" s="51">
        <f t="shared" si="30"/>
        <v>0.11688311688311688</v>
      </c>
      <c r="FK34" s="51">
        <f t="shared" si="30"/>
        <v>2.3255813953488372E-2</v>
      </c>
      <c r="FL34" s="51">
        <f t="shared" si="30"/>
        <v>-2.2727272727272728E-2</v>
      </c>
      <c r="FM34" s="51">
        <f t="shared" si="30"/>
        <v>0.13953488372093023</v>
      </c>
      <c r="FN34" s="51">
        <f t="shared" si="30"/>
        <v>-3.0612244897959183E-2</v>
      </c>
      <c r="FO34" s="51">
        <f t="shared" si="30"/>
        <v>0.76691729323308266</v>
      </c>
      <c r="FP34" s="51">
        <f t="shared" si="30"/>
        <v>-9.0425531914893623E-2</v>
      </c>
      <c r="FQ34" s="51">
        <f t="shared" si="30"/>
        <v>8.1871345029239762E-2</v>
      </c>
      <c r="FR34" s="51">
        <f t="shared" si="30"/>
        <v>5.9459459459459463E-2</v>
      </c>
      <c r="FS34" s="51">
        <f t="shared" si="30"/>
        <v>1.5306122448979591E-2</v>
      </c>
      <c r="FT34" s="51">
        <f t="shared" si="30"/>
        <v>0.30653266331658291</v>
      </c>
      <c r="FU34" s="51">
        <f t="shared" si="30"/>
        <v>0.13076923076923078</v>
      </c>
      <c r="FV34" s="51">
        <f t="shared" si="30"/>
        <v>3.0612244897959183E-2</v>
      </c>
      <c r="FW34" s="51">
        <f t="shared" si="30"/>
        <v>-5.2805280528052806E-2</v>
      </c>
      <c r="FX34" s="51">
        <f t="shared" si="30"/>
        <v>6.6202090592334492E-2</v>
      </c>
      <c r="FY34" s="51">
        <f t="shared" si="30"/>
        <v>0.24183006535947713</v>
      </c>
      <c r="FZ34" s="51">
        <f t="shared" si="30"/>
        <v>-7.8947368421052627E-2</v>
      </c>
      <c r="GA34" s="51">
        <f t="shared" si="30"/>
        <v>-6.2857142857142861E-2</v>
      </c>
      <c r="GB34" s="51">
        <f t="shared" si="30"/>
        <v>-0.1402439024390244</v>
      </c>
      <c r="GC34" s="51">
        <f t="shared" si="30"/>
        <v>0.10283687943262411</v>
      </c>
      <c r="GD34" s="51">
        <f t="shared" ref="GD34:HN37" si="31">(BW34-BV34)/BV34</f>
        <v>1.9292604501607719E-2</v>
      </c>
      <c r="GE34" s="51">
        <f t="shared" si="31"/>
        <v>2.5236593059936908E-2</v>
      </c>
      <c r="GF34" s="51">
        <f t="shared" si="31"/>
        <v>-1.8461538461538463E-2</v>
      </c>
      <c r="GG34" s="51">
        <f t="shared" si="31"/>
        <v>5.329153605015674E-2</v>
      </c>
      <c r="GH34" s="51">
        <f t="shared" si="31"/>
        <v>6.8452380952380959E-2</v>
      </c>
      <c r="GI34" s="51">
        <f t="shared" si="31"/>
        <v>-5.5710306406685235E-2</v>
      </c>
      <c r="GJ34" s="51">
        <f t="shared" si="31"/>
        <v>-7.6696165191740412E-2</v>
      </c>
      <c r="GK34" s="51">
        <f t="shared" si="31"/>
        <v>-9.9041533546325874E-2</v>
      </c>
      <c r="GL34" s="51">
        <f t="shared" si="31"/>
        <v>0.18439716312056736</v>
      </c>
      <c r="GM34" s="51">
        <f t="shared" si="31"/>
        <v>1.4970059880239521E-2</v>
      </c>
      <c r="GN34" s="51">
        <f t="shared" si="31"/>
        <v>-5.8997050147492625E-3</v>
      </c>
      <c r="GO34" s="51">
        <f t="shared" si="31"/>
        <v>4.1543026706231452E-2</v>
      </c>
      <c r="GP34" s="51">
        <f t="shared" si="31"/>
        <v>5.6980056980056981E-2</v>
      </c>
      <c r="GQ34" s="51">
        <f t="shared" si="31"/>
        <v>0.12668463611859837</v>
      </c>
      <c r="GR34" s="51">
        <f t="shared" si="31"/>
        <v>2.3923444976076555E-2</v>
      </c>
      <c r="GS34" s="51">
        <f t="shared" si="31"/>
        <v>4.6728971962616819E-3</v>
      </c>
      <c r="GT34" s="51">
        <f t="shared" si="31"/>
        <v>0.34883720930232559</v>
      </c>
      <c r="GU34" s="51">
        <f t="shared" si="31"/>
        <v>3.4482758620689655E-2</v>
      </c>
      <c r="GV34" s="51">
        <f t="shared" si="31"/>
        <v>-0.31666666666666665</v>
      </c>
      <c r="GW34" s="51">
        <f t="shared" si="31"/>
        <v>-1.9512195121951219E-2</v>
      </c>
      <c r="GX34" s="51">
        <f t="shared" si="31"/>
        <v>0.44776119402985076</v>
      </c>
      <c r="GY34" s="51">
        <f t="shared" si="31"/>
        <v>-4.29553264604811E-2</v>
      </c>
      <c r="GZ34" s="51">
        <f t="shared" si="31"/>
        <v>5.0269299820466788E-2</v>
      </c>
      <c r="HA34" s="51">
        <f t="shared" si="31"/>
        <v>-5.128205128205128E-2</v>
      </c>
      <c r="HB34" s="51">
        <f t="shared" si="31"/>
        <v>-3.6036036036036036E-2</v>
      </c>
      <c r="HC34" s="51">
        <f t="shared" si="31"/>
        <v>7.6635514018691592E-2</v>
      </c>
      <c r="HD34" s="51">
        <f t="shared" si="31"/>
        <v>8.3333333333333329E-2</v>
      </c>
      <c r="HE34" s="51">
        <f t="shared" si="31"/>
        <v>0.1858974358974359</v>
      </c>
      <c r="HF34" s="51">
        <f t="shared" si="31"/>
        <v>6.7567567567567571E-2</v>
      </c>
      <c r="HG34" s="51">
        <f t="shared" si="31"/>
        <v>4.6835443037974683E-2</v>
      </c>
      <c r="HH34" s="51">
        <f t="shared" si="31"/>
        <v>-5.92503022974607E-2</v>
      </c>
      <c r="HI34" s="51">
        <f t="shared" si="31"/>
        <v>1.5424164524421594E-2</v>
      </c>
      <c r="HJ34" s="51">
        <f t="shared" si="31"/>
        <v>-9.8734177215189872E-2</v>
      </c>
      <c r="HK34" s="51">
        <f t="shared" si="31"/>
        <v>0</v>
      </c>
      <c r="HL34" s="51">
        <f t="shared" si="31"/>
        <v>0.21910112359550563</v>
      </c>
      <c r="HM34" s="51">
        <f t="shared" si="31"/>
        <v>0.20967741935483872</v>
      </c>
      <c r="HN34" s="51">
        <f t="shared" si="31"/>
        <v>4.7619047619047616E-2</v>
      </c>
      <c r="HP34" s="51">
        <f t="shared" si="2"/>
        <v>6.9938878399107743E-2</v>
      </c>
      <c r="HQ34" s="51">
        <f t="shared" si="3"/>
        <v>4.4525885326901375E-2</v>
      </c>
      <c r="HR34" s="51">
        <f t="shared" si="4"/>
        <v>3.3201659583683311E-2</v>
      </c>
      <c r="HS34" s="103">
        <f t="shared" si="5"/>
        <v>4.1543026706231452E-2</v>
      </c>
      <c r="HT34" s="79">
        <f t="shared" si="6"/>
        <v>2.9203101798383105E-2</v>
      </c>
      <c r="HU34" s="79">
        <f t="shared" si="7"/>
        <v>1.9673804750249074E-2</v>
      </c>
      <c r="HW34" s="104" t="s">
        <v>49</v>
      </c>
      <c r="HX34" s="16">
        <v>4.1543026706231501E-2</v>
      </c>
      <c r="HY34" s="17" t="s">
        <v>105</v>
      </c>
    </row>
    <row r="35" spans="1:233" ht="15" customHeight="1" x14ac:dyDescent="0.2">
      <c r="A35" s="5" t="s">
        <v>106</v>
      </c>
      <c r="B35" s="48" t="s">
        <v>50</v>
      </c>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v>77.232409476643895</v>
      </c>
      <c r="BN35" s="102">
        <v>80.373034330912901</v>
      </c>
      <c r="BO35" s="102">
        <v>112.94941839998999</v>
      </c>
      <c r="BP35" s="102">
        <v>137.38745476225799</v>
      </c>
      <c r="BQ35" s="102">
        <v>150.456120475674</v>
      </c>
      <c r="BR35" s="102">
        <v>129.362734616994</v>
      </c>
      <c r="BS35" s="102">
        <v>125.790041550526</v>
      </c>
      <c r="BT35" s="102">
        <v>104.836268766427</v>
      </c>
      <c r="BU35" s="102">
        <v>159.877995038482</v>
      </c>
      <c r="BV35" s="102">
        <v>190.66090624423501</v>
      </c>
      <c r="BW35" s="102">
        <v>561.48961108100195</v>
      </c>
      <c r="BX35" s="102">
        <v>606.56801919136399</v>
      </c>
      <c r="BY35" s="102">
        <v>698.36050534170602</v>
      </c>
      <c r="BZ35" s="102">
        <v>809.77977074379805</v>
      </c>
      <c r="CA35" s="102">
        <v>885.69117123049102</v>
      </c>
      <c r="CB35" s="102">
        <v>789.94069772494504</v>
      </c>
      <c r="CC35" s="102">
        <v>723.11068283631505</v>
      </c>
      <c r="CD35" s="102">
        <v>876.60632089735702</v>
      </c>
      <c r="CE35" s="102">
        <v>928.41922905877902</v>
      </c>
      <c r="CF35" s="102">
        <v>930.07411251924702</v>
      </c>
      <c r="CG35" s="102">
        <v>1884.82028850604</v>
      </c>
      <c r="CH35" s="102">
        <v>2046.8832714709099</v>
      </c>
      <c r="CI35" s="102">
        <v>1960.9442977357501</v>
      </c>
      <c r="CJ35" s="102">
        <v>2379.81816883175</v>
      </c>
      <c r="CK35" s="102">
        <v>2546.78375192266</v>
      </c>
      <c r="CL35" s="102">
        <v>2662.8615111162098</v>
      </c>
      <c r="CM35" s="102">
        <v>2942.02781485577</v>
      </c>
      <c r="CN35" s="102">
        <v>3212.8866288218501</v>
      </c>
      <c r="CO35" s="102">
        <v>3356.4605255420602</v>
      </c>
      <c r="CP35" s="102">
        <v>3590.7758337823102</v>
      </c>
      <c r="CQ35" s="102">
        <v>4336.3332752425804</v>
      </c>
      <c r="CR35" s="102">
        <v>4854.5643303094803</v>
      </c>
      <c r="CS35" s="102">
        <v>4410.3246612918701</v>
      </c>
      <c r="CT35" s="102">
        <v>4538.94232038055</v>
      </c>
      <c r="CU35" s="102">
        <v>4707.8898894202603</v>
      </c>
      <c r="CV35" s="102">
        <v>4325.7148071764796</v>
      </c>
      <c r="CW35" s="102">
        <v>3835.0995017401801</v>
      </c>
      <c r="CX35" s="102">
        <v>3662.7760208372601</v>
      </c>
      <c r="CY35" s="102">
        <v>3471.4246086420899</v>
      </c>
      <c r="CZ35" s="102">
        <v>5102.5534517409596</v>
      </c>
      <c r="DA35" s="102">
        <v>5135.9235751173001</v>
      </c>
      <c r="DB35" s="102">
        <v>5357.2539224937</v>
      </c>
      <c r="DC35" s="102">
        <v>5928.8168570749103</v>
      </c>
      <c r="DD35" s="102">
        <v>7920.4759524746696</v>
      </c>
      <c r="DE35" s="102">
        <v>7750.5118774113998</v>
      </c>
      <c r="DF35" s="102">
        <v>6423.4613344233403</v>
      </c>
      <c r="DG35" s="102"/>
      <c r="DH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1">
        <f t="shared" si="30"/>
        <v>4.0664597615833457E-2</v>
      </c>
      <c r="FV35" s="51">
        <f t="shared" si="30"/>
        <v>0.40531484645650157</v>
      </c>
      <c r="FW35" s="51">
        <f t="shared" si="30"/>
        <v>0.21636265780249611</v>
      </c>
      <c r="FX35" s="51">
        <f t="shared" si="30"/>
        <v>9.5122700511707362E-2</v>
      </c>
      <c r="FY35" s="51">
        <f t="shared" si="30"/>
        <v>-0.1401962631496298</v>
      </c>
      <c r="FZ35" s="51">
        <f t="shared" si="30"/>
        <v>-2.7617637158380472E-2</v>
      </c>
      <c r="GA35" s="51">
        <f t="shared" si="30"/>
        <v>-0.16657735799922219</v>
      </c>
      <c r="GB35" s="51">
        <f t="shared" si="30"/>
        <v>0.52502561298406003</v>
      </c>
      <c r="GC35" s="51">
        <f t="shared" si="30"/>
        <v>0.19254001276625771</v>
      </c>
      <c r="GD35" s="51">
        <f t="shared" si="31"/>
        <v>1.9449645558787942</v>
      </c>
      <c r="GE35" s="51">
        <f t="shared" si="31"/>
        <v>8.0283601371671509E-2</v>
      </c>
      <c r="GF35" s="51">
        <f t="shared" si="31"/>
        <v>0.15133090312396233</v>
      </c>
      <c r="GG35" s="51">
        <f t="shared" si="31"/>
        <v>0.15954405289224491</v>
      </c>
      <c r="GH35" s="51">
        <f t="shared" si="31"/>
        <v>9.3743266044997525E-2</v>
      </c>
      <c r="GI35" s="51">
        <f t="shared" si="31"/>
        <v>-0.10810819461203369</v>
      </c>
      <c r="GJ35" s="51">
        <f t="shared" si="31"/>
        <v>-8.4601306251345973E-2</v>
      </c>
      <c r="GK35" s="51">
        <f t="shared" si="31"/>
        <v>0.21227129083333926</v>
      </c>
      <c r="GL35" s="51">
        <f t="shared" si="31"/>
        <v>5.9106245216647077E-2</v>
      </c>
      <c r="GM35" s="51">
        <f t="shared" si="31"/>
        <v>1.7824743485178585E-3</v>
      </c>
      <c r="GN35" s="51">
        <f t="shared" si="31"/>
        <v>1.026526986543812</v>
      </c>
      <c r="GO35" s="51">
        <f t="shared" si="31"/>
        <v>8.5983254718318761E-2</v>
      </c>
      <c r="GP35" s="51">
        <f t="shared" si="31"/>
        <v>-4.1985283153642299E-2</v>
      </c>
      <c r="GQ35" s="51">
        <f t="shared" si="31"/>
        <v>0.21360824556804717</v>
      </c>
      <c r="GR35" s="51">
        <f t="shared" si="31"/>
        <v>7.0158966461237357E-2</v>
      </c>
      <c r="GS35" s="51">
        <f t="shared" si="31"/>
        <v>4.557817643760232E-2</v>
      </c>
      <c r="GT35" s="51">
        <f t="shared" si="31"/>
        <v>0.10483695925385925</v>
      </c>
      <c r="GU35" s="51">
        <f t="shared" si="31"/>
        <v>9.2065347784401785E-2</v>
      </c>
      <c r="GV35" s="51">
        <f t="shared" si="31"/>
        <v>4.4686885441973384E-2</v>
      </c>
      <c r="GW35" s="51">
        <f t="shared" si="31"/>
        <v>6.9810238034129321E-2</v>
      </c>
      <c r="GX35" s="51">
        <f t="shared" si="31"/>
        <v>0.20763129640285682</v>
      </c>
      <c r="GY35" s="51">
        <f t="shared" si="31"/>
        <v>0.11950904650840273</v>
      </c>
      <c r="GZ35" s="51">
        <f t="shared" si="31"/>
        <v>-9.1509688365647782E-2</v>
      </c>
      <c r="HA35" s="51">
        <f t="shared" si="31"/>
        <v>2.9162855110763025E-2</v>
      </c>
      <c r="HB35" s="51">
        <f t="shared" si="31"/>
        <v>3.722179246057164E-2</v>
      </c>
      <c r="HC35" s="51">
        <f t="shared" si="31"/>
        <v>-8.1177574501608105E-2</v>
      </c>
      <c r="HD35" s="51">
        <f t="shared" si="31"/>
        <v>-0.11341831981672837</v>
      </c>
      <c r="HE35" s="51">
        <f t="shared" si="31"/>
        <v>-4.4933249013416221E-2</v>
      </c>
      <c r="HF35" s="51">
        <f t="shared" si="31"/>
        <v>-5.2242182188205429E-2</v>
      </c>
      <c r="HG35" s="51">
        <f t="shared" si="31"/>
        <v>0.46987304262295793</v>
      </c>
      <c r="HH35" s="51">
        <f t="shared" si="31"/>
        <v>6.5398870765292494E-3</v>
      </c>
      <c r="HI35" s="51">
        <f t="shared" si="31"/>
        <v>4.30945562447052E-2</v>
      </c>
      <c r="HJ35" s="51">
        <f t="shared" si="31"/>
        <v>0.1066895358798223</v>
      </c>
      <c r="HK35" s="51">
        <f t="shared" si="31"/>
        <v>0.33592859138886955</v>
      </c>
      <c r="HL35" s="51">
        <f t="shared" si="31"/>
        <v>-2.1458820919741103E-2</v>
      </c>
      <c r="HM35" s="51">
        <f t="shared" si="31"/>
        <v>-0.17122101920206104</v>
      </c>
      <c r="HN35" s="5"/>
      <c r="HP35" s="51">
        <f t="shared" si="2"/>
        <v>0.13648701301009397</v>
      </c>
      <c r="HQ35" s="51">
        <f t="shared" si="3"/>
        <v>8.2948710848804313E-2</v>
      </c>
      <c r="HR35" s="51">
        <f t="shared" si="4"/>
        <v>9.5313444014990881E-2</v>
      </c>
      <c r="HS35" s="79">
        <f t="shared" si="5"/>
        <v>6.9810238034129321E-2</v>
      </c>
      <c r="HT35" s="79">
        <f t="shared" si="6"/>
        <v>4.4686885441973384E-2</v>
      </c>
      <c r="HU35" s="103">
        <f t="shared" si="7"/>
        <v>4.557817643760232E-2</v>
      </c>
      <c r="HW35" s="104" t="s">
        <v>50</v>
      </c>
      <c r="HX35" s="16">
        <v>4.5578176437603098E-2</v>
      </c>
      <c r="HY35" s="186" t="s">
        <v>108</v>
      </c>
    </row>
    <row r="36" spans="1:233" ht="15" customHeight="1" x14ac:dyDescent="0.2">
      <c r="A36" s="5" t="s">
        <v>106</v>
      </c>
      <c r="B36" s="48" t="s">
        <v>51</v>
      </c>
      <c r="C36" s="102"/>
      <c r="D36" s="102"/>
      <c r="E36" s="102"/>
      <c r="F36" s="102"/>
      <c r="G36" s="102"/>
      <c r="H36" s="102"/>
      <c r="I36" s="102"/>
      <c r="J36" s="102">
        <v>789600</v>
      </c>
      <c r="K36" s="102">
        <v>480480</v>
      </c>
      <c r="L36" s="102">
        <v>764960</v>
      </c>
      <c r="M36" s="102">
        <v>1043840</v>
      </c>
      <c r="N36" s="102">
        <v>1108800</v>
      </c>
      <c r="O36" s="102">
        <v>1254400</v>
      </c>
      <c r="P36" s="102">
        <v>1355200</v>
      </c>
      <c r="Q36" s="102">
        <v>1456000</v>
      </c>
      <c r="R36" s="102">
        <v>1556800</v>
      </c>
      <c r="S36" s="102">
        <v>1601600</v>
      </c>
      <c r="T36" s="102">
        <v>1534400</v>
      </c>
      <c r="U36" s="102">
        <v>1097600</v>
      </c>
      <c r="V36" s="102">
        <v>873600</v>
      </c>
      <c r="W36" s="102">
        <v>1086400</v>
      </c>
      <c r="X36" s="102">
        <v>1288000</v>
      </c>
      <c r="Y36" s="102">
        <v>1467200</v>
      </c>
      <c r="Z36" s="102">
        <v>1624000</v>
      </c>
      <c r="AA36" s="102">
        <v>1803200</v>
      </c>
      <c r="AB36" s="102">
        <v>1736000</v>
      </c>
      <c r="AC36" s="102">
        <v>1792000</v>
      </c>
      <c r="AD36" s="102">
        <v>1803200</v>
      </c>
      <c r="AE36" s="102">
        <v>1948800</v>
      </c>
      <c r="AF36" s="102">
        <v>2004800</v>
      </c>
      <c r="AG36" s="102">
        <v>2027200</v>
      </c>
      <c r="AH36" s="102">
        <v>1808800</v>
      </c>
      <c r="AI36" s="102">
        <v>1394400</v>
      </c>
      <c r="AJ36" s="102">
        <v>1540000</v>
      </c>
      <c r="AK36" s="102">
        <v>1756160</v>
      </c>
      <c r="AL36" s="102">
        <v>1914080</v>
      </c>
      <c r="AM36" s="102">
        <v>2074240</v>
      </c>
      <c r="AN36" s="102">
        <v>2172800</v>
      </c>
      <c r="AO36" s="102">
        <v>2334080</v>
      </c>
      <c r="AP36" s="102">
        <v>2460640</v>
      </c>
      <c r="AQ36" s="102">
        <v>2600640</v>
      </c>
      <c r="AR36" s="102">
        <v>2646560</v>
      </c>
      <c r="AS36" s="102">
        <v>2912000</v>
      </c>
      <c r="AT36" s="102">
        <v>3024000</v>
      </c>
      <c r="AU36" s="102">
        <v>3136000</v>
      </c>
      <c r="AV36" s="102">
        <v>3024000</v>
      </c>
      <c r="AW36" s="102">
        <v>3136000</v>
      </c>
      <c r="AX36" s="102">
        <v>3248000</v>
      </c>
      <c r="AY36" s="102">
        <v>3584000</v>
      </c>
      <c r="AZ36" s="102">
        <v>3696000</v>
      </c>
      <c r="BA36" s="102">
        <v>3920000</v>
      </c>
      <c r="BB36" s="102">
        <v>4368000</v>
      </c>
      <c r="BC36" s="102">
        <v>4592000</v>
      </c>
      <c r="BD36" s="102">
        <v>4816000</v>
      </c>
      <c r="BE36" s="102">
        <v>5152000</v>
      </c>
      <c r="BF36" s="102">
        <v>5264000</v>
      </c>
      <c r="BG36" s="102">
        <v>5712000</v>
      </c>
      <c r="BH36" s="102">
        <v>5400000</v>
      </c>
      <c r="BI36" s="102">
        <v>5400000</v>
      </c>
      <c r="BJ36" s="102">
        <v>5600000</v>
      </c>
      <c r="BK36" s="102">
        <v>5700000</v>
      </c>
      <c r="BL36" s="102">
        <v>5700000</v>
      </c>
      <c r="BM36" s="102">
        <v>6200000</v>
      </c>
      <c r="BN36" s="102">
        <v>6200000</v>
      </c>
      <c r="BO36" s="102">
        <v>6600000</v>
      </c>
      <c r="BP36" s="102">
        <v>6400000</v>
      </c>
      <c r="BQ36" s="102">
        <v>6300000</v>
      </c>
      <c r="BR36" s="102">
        <v>6200000</v>
      </c>
      <c r="BS36" s="102">
        <v>6100000</v>
      </c>
      <c r="BT36" s="102">
        <v>6400000</v>
      </c>
      <c r="BU36" s="102">
        <v>6500000</v>
      </c>
      <c r="BV36" s="102">
        <v>6800000</v>
      </c>
      <c r="BW36" s="102">
        <v>7100000</v>
      </c>
      <c r="BX36" s="102">
        <v>7000000</v>
      </c>
      <c r="BY36" s="102">
        <v>7400000</v>
      </c>
      <c r="BZ36" s="102">
        <v>7100000</v>
      </c>
      <c r="CA36" s="102">
        <v>7300000</v>
      </c>
      <c r="CB36" s="102">
        <v>7160000</v>
      </c>
      <c r="CC36" s="102">
        <v>7260000</v>
      </c>
      <c r="CD36" s="102">
        <v>7230000</v>
      </c>
      <c r="CE36" s="102">
        <v>6960000</v>
      </c>
      <c r="CF36" s="102">
        <v>6810000</v>
      </c>
      <c r="CG36" s="102">
        <v>7120000</v>
      </c>
      <c r="CH36" s="102">
        <v>7440000</v>
      </c>
      <c r="CI36" s="102">
        <v>7460000</v>
      </c>
      <c r="CJ36" s="102">
        <v>7550000</v>
      </c>
      <c r="CK36" s="102">
        <v>8040000</v>
      </c>
      <c r="CL36" s="102">
        <v>8730000</v>
      </c>
      <c r="CM36" s="102">
        <v>8850000</v>
      </c>
      <c r="CN36" s="102">
        <v>8360000</v>
      </c>
      <c r="CO36" s="102">
        <v>9010000</v>
      </c>
      <c r="CP36" s="102">
        <v>9600000</v>
      </c>
      <c r="CQ36" s="102">
        <v>9800000</v>
      </c>
      <c r="CR36" s="102">
        <v>10000000</v>
      </c>
      <c r="CS36" s="102">
        <v>10900000</v>
      </c>
      <c r="CT36" s="102">
        <v>11600000</v>
      </c>
      <c r="CU36" s="102">
        <v>11200000</v>
      </c>
      <c r="CV36" s="102">
        <v>12000000</v>
      </c>
      <c r="CW36" s="102">
        <v>12800000</v>
      </c>
      <c r="CX36" s="102">
        <v>13500000</v>
      </c>
      <c r="CY36" s="102">
        <v>13400000</v>
      </c>
      <c r="CZ36" s="102">
        <v>13300000</v>
      </c>
      <c r="DA36" s="102">
        <v>12800000</v>
      </c>
      <c r="DB36" s="102">
        <v>12600000</v>
      </c>
      <c r="DC36" s="102">
        <v>12500000</v>
      </c>
      <c r="DD36" s="102">
        <v>12500000</v>
      </c>
      <c r="DE36" s="102">
        <v>12700000</v>
      </c>
      <c r="DF36" s="35">
        <v>12000000</v>
      </c>
      <c r="DG36" s="102">
        <v>13000000</v>
      </c>
      <c r="DH36" s="5"/>
      <c r="DJ36" s="5"/>
      <c r="DK36" s="5"/>
      <c r="DL36" s="5"/>
      <c r="DM36" s="5"/>
      <c r="DN36" s="5"/>
      <c r="DO36" s="5"/>
      <c r="DP36" s="5"/>
      <c r="DQ36" s="5"/>
      <c r="DR36" s="51">
        <f t="shared" ref="DR36:FT37" si="32">(K36-J36)/J36</f>
        <v>-0.39148936170212767</v>
      </c>
      <c r="DS36" s="51">
        <f t="shared" si="32"/>
        <v>0.59207459207459212</v>
      </c>
      <c r="DT36" s="51">
        <f t="shared" si="32"/>
        <v>0.36456808199121521</v>
      </c>
      <c r="DU36" s="51">
        <f t="shared" si="32"/>
        <v>6.2231759656652362E-2</v>
      </c>
      <c r="DV36" s="51">
        <f t="shared" si="32"/>
        <v>0.13131313131313133</v>
      </c>
      <c r="DW36" s="51">
        <f t="shared" si="32"/>
        <v>8.0357142857142863E-2</v>
      </c>
      <c r="DX36" s="51">
        <f t="shared" si="32"/>
        <v>7.43801652892562E-2</v>
      </c>
      <c r="DY36" s="51">
        <f t="shared" si="32"/>
        <v>6.9230769230769235E-2</v>
      </c>
      <c r="DZ36" s="51">
        <f t="shared" si="32"/>
        <v>2.8776978417266189E-2</v>
      </c>
      <c r="EA36" s="51">
        <f t="shared" si="32"/>
        <v>-4.195804195804196E-2</v>
      </c>
      <c r="EB36" s="51">
        <f t="shared" si="32"/>
        <v>-0.28467153284671531</v>
      </c>
      <c r="EC36" s="51">
        <f t="shared" si="32"/>
        <v>-0.20408163265306123</v>
      </c>
      <c r="ED36" s="51">
        <f t="shared" si="32"/>
        <v>0.24358974358974358</v>
      </c>
      <c r="EE36" s="51">
        <f t="shared" si="32"/>
        <v>0.18556701030927836</v>
      </c>
      <c r="EF36" s="51">
        <f t="shared" si="32"/>
        <v>0.1391304347826087</v>
      </c>
      <c r="EG36" s="51">
        <f t="shared" si="32"/>
        <v>0.10687022900763359</v>
      </c>
      <c r="EH36" s="51">
        <f t="shared" si="32"/>
        <v>0.1103448275862069</v>
      </c>
      <c r="EI36" s="51">
        <f t="shared" si="32"/>
        <v>-3.7267080745341616E-2</v>
      </c>
      <c r="EJ36" s="51">
        <f t="shared" si="32"/>
        <v>3.2258064516129031E-2</v>
      </c>
      <c r="EK36" s="51">
        <f t="shared" si="32"/>
        <v>6.2500000000000003E-3</v>
      </c>
      <c r="EL36" s="51">
        <f t="shared" si="32"/>
        <v>8.0745341614906832E-2</v>
      </c>
      <c r="EM36" s="51">
        <f t="shared" si="32"/>
        <v>2.8735632183908046E-2</v>
      </c>
      <c r="EN36" s="51">
        <f t="shared" si="32"/>
        <v>1.11731843575419E-2</v>
      </c>
      <c r="EO36" s="51">
        <f t="shared" si="32"/>
        <v>-0.10773480662983426</v>
      </c>
      <c r="EP36" s="51">
        <f t="shared" si="32"/>
        <v>-0.22910216718266255</v>
      </c>
      <c r="EQ36" s="51">
        <f t="shared" si="32"/>
        <v>0.10441767068273092</v>
      </c>
      <c r="ER36" s="51">
        <f t="shared" si="32"/>
        <v>0.14036363636363636</v>
      </c>
      <c r="ES36" s="51">
        <f t="shared" si="32"/>
        <v>8.9923469387755098E-2</v>
      </c>
      <c r="ET36" s="51">
        <f t="shared" si="32"/>
        <v>8.3674663545933295E-2</v>
      </c>
      <c r="EU36" s="51">
        <f t="shared" si="32"/>
        <v>4.7516198704103674E-2</v>
      </c>
      <c r="EV36" s="51">
        <f t="shared" si="32"/>
        <v>7.422680412371134E-2</v>
      </c>
      <c r="EW36" s="51">
        <f t="shared" si="32"/>
        <v>5.4222648752399231E-2</v>
      </c>
      <c r="EX36" s="51">
        <f t="shared" si="32"/>
        <v>5.6895766954938552E-2</v>
      </c>
      <c r="EY36" s="51">
        <f t="shared" si="32"/>
        <v>1.7657192075796729E-2</v>
      </c>
      <c r="EZ36" s="51">
        <f t="shared" si="32"/>
        <v>0.10029623360135421</v>
      </c>
      <c r="FA36" s="51">
        <f t="shared" si="32"/>
        <v>3.8461538461538464E-2</v>
      </c>
      <c r="FB36" s="51">
        <f t="shared" si="32"/>
        <v>3.7037037037037035E-2</v>
      </c>
      <c r="FC36" s="51">
        <f t="shared" si="32"/>
        <v>-3.5714285714285712E-2</v>
      </c>
      <c r="FD36" s="51">
        <f t="shared" si="32"/>
        <v>3.7037037037037035E-2</v>
      </c>
      <c r="FE36" s="51">
        <f t="shared" si="32"/>
        <v>3.5714285714285712E-2</v>
      </c>
      <c r="FF36" s="51">
        <f t="shared" si="32"/>
        <v>0.10344827586206896</v>
      </c>
      <c r="FG36" s="51">
        <f t="shared" si="32"/>
        <v>3.125E-2</v>
      </c>
      <c r="FH36" s="51">
        <f t="shared" si="32"/>
        <v>6.0606060606060608E-2</v>
      </c>
      <c r="FI36" s="51">
        <f t="shared" si="32"/>
        <v>0.11428571428571428</v>
      </c>
      <c r="FJ36" s="51">
        <f t="shared" si="32"/>
        <v>5.128205128205128E-2</v>
      </c>
      <c r="FK36" s="51">
        <f t="shared" si="32"/>
        <v>4.878048780487805E-2</v>
      </c>
      <c r="FL36" s="51">
        <f t="shared" si="32"/>
        <v>6.9767441860465115E-2</v>
      </c>
      <c r="FM36" s="51">
        <f t="shared" si="32"/>
        <v>2.1739130434782608E-2</v>
      </c>
      <c r="FN36" s="51">
        <f t="shared" si="32"/>
        <v>8.5106382978723402E-2</v>
      </c>
      <c r="FO36" s="51">
        <f t="shared" si="32"/>
        <v>-5.4621848739495799E-2</v>
      </c>
      <c r="FP36" s="51">
        <f t="shared" si="32"/>
        <v>0</v>
      </c>
      <c r="FQ36" s="51">
        <f t="shared" si="32"/>
        <v>3.7037037037037035E-2</v>
      </c>
      <c r="FR36" s="51">
        <f t="shared" si="32"/>
        <v>1.7857142857142856E-2</v>
      </c>
      <c r="FS36" s="51">
        <f t="shared" si="32"/>
        <v>0</v>
      </c>
      <c r="FT36" s="51">
        <f t="shared" si="32"/>
        <v>8.771929824561403E-2</v>
      </c>
      <c r="FU36" s="51">
        <f t="shared" si="30"/>
        <v>0</v>
      </c>
      <c r="FV36" s="51">
        <f t="shared" si="30"/>
        <v>6.4516129032258063E-2</v>
      </c>
      <c r="FW36" s="51">
        <f t="shared" si="30"/>
        <v>-3.0303030303030304E-2</v>
      </c>
      <c r="FX36" s="51">
        <f t="shared" si="30"/>
        <v>-1.5625E-2</v>
      </c>
      <c r="FY36" s="51">
        <f t="shared" si="30"/>
        <v>-1.5873015873015872E-2</v>
      </c>
      <c r="FZ36" s="51">
        <f t="shared" si="30"/>
        <v>-1.6129032258064516E-2</v>
      </c>
      <c r="GA36" s="51">
        <f t="shared" si="30"/>
        <v>4.9180327868852458E-2</v>
      </c>
      <c r="GB36" s="51">
        <f t="shared" si="30"/>
        <v>1.5625E-2</v>
      </c>
      <c r="GC36" s="51">
        <f t="shared" si="30"/>
        <v>4.6153846153846156E-2</v>
      </c>
      <c r="GD36" s="51">
        <f t="shared" si="31"/>
        <v>4.4117647058823532E-2</v>
      </c>
      <c r="GE36" s="51">
        <f t="shared" si="31"/>
        <v>-1.4084507042253521E-2</v>
      </c>
      <c r="GF36" s="51">
        <f t="shared" si="31"/>
        <v>5.7142857142857141E-2</v>
      </c>
      <c r="GG36" s="51">
        <f t="shared" si="31"/>
        <v>-4.0540540540540543E-2</v>
      </c>
      <c r="GH36" s="51">
        <f t="shared" si="31"/>
        <v>2.8169014084507043E-2</v>
      </c>
      <c r="GI36" s="51">
        <f t="shared" si="31"/>
        <v>-1.9178082191780823E-2</v>
      </c>
      <c r="GJ36" s="51">
        <f t="shared" si="31"/>
        <v>1.3966480446927373E-2</v>
      </c>
      <c r="GK36" s="51">
        <f t="shared" si="31"/>
        <v>-4.1322314049586778E-3</v>
      </c>
      <c r="GL36" s="51">
        <f t="shared" si="31"/>
        <v>-3.7344398340248962E-2</v>
      </c>
      <c r="GM36" s="51">
        <f t="shared" si="31"/>
        <v>-2.1551724137931036E-2</v>
      </c>
      <c r="GN36" s="51">
        <f t="shared" si="31"/>
        <v>4.552129221732746E-2</v>
      </c>
      <c r="GO36" s="51">
        <f t="shared" si="31"/>
        <v>4.49438202247191E-2</v>
      </c>
      <c r="GP36" s="51">
        <f t="shared" si="31"/>
        <v>2.6881720430107529E-3</v>
      </c>
      <c r="GQ36" s="51">
        <f t="shared" si="31"/>
        <v>1.2064343163538873E-2</v>
      </c>
      <c r="GR36" s="51">
        <f t="shared" si="31"/>
        <v>6.4900662251655625E-2</v>
      </c>
      <c r="GS36" s="51">
        <f t="shared" si="31"/>
        <v>8.5820895522388058E-2</v>
      </c>
      <c r="GT36" s="51">
        <f t="shared" si="31"/>
        <v>1.3745704467353952E-2</v>
      </c>
      <c r="GU36" s="51">
        <f t="shared" si="31"/>
        <v>-5.5367231638418078E-2</v>
      </c>
      <c r="GV36" s="51">
        <f t="shared" si="31"/>
        <v>7.7751196172248807E-2</v>
      </c>
      <c r="GW36" s="51">
        <f t="shared" si="31"/>
        <v>6.5482796892341849E-2</v>
      </c>
      <c r="GX36" s="51">
        <f t="shared" si="31"/>
        <v>2.0833333333333332E-2</v>
      </c>
      <c r="GY36" s="51">
        <f t="shared" si="31"/>
        <v>2.0408163265306121E-2</v>
      </c>
      <c r="GZ36" s="51">
        <f t="shared" si="31"/>
        <v>0.09</v>
      </c>
      <c r="HA36" s="51">
        <f t="shared" si="31"/>
        <v>6.4220183486238536E-2</v>
      </c>
      <c r="HB36" s="51">
        <f t="shared" si="31"/>
        <v>-3.4482758620689655E-2</v>
      </c>
      <c r="HC36" s="51">
        <f t="shared" si="31"/>
        <v>7.1428571428571425E-2</v>
      </c>
      <c r="HD36" s="51">
        <f t="shared" si="31"/>
        <v>6.6666666666666666E-2</v>
      </c>
      <c r="HE36" s="51">
        <f t="shared" si="31"/>
        <v>5.46875E-2</v>
      </c>
      <c r="HF36" s="51">
        <f t="shared" si="31"/>
        <v>-7.4074074074074077E-3</v>
      </c>
      <c r="HG36" s="51">
        <f t="shared" si="31"/>
        <v>-7.462686567164179E-3</v>
      </c>
      <c r="HH36" s="51">
        <f t="shared" si="31"/>
        <v>-3.7593984962406013E-2</v>
      </c>
      <c r="HI36" s="51">
        <f t="shared" si="31"/>
        <v>-1.5625E-2</v>
      </c>
      <c r="HJ36" s="51">
        <f t="shared" si="31"/>
        <v>-7.9365079365079361E-3</v>
      </c>
      <c r="HK36" s="51">
        <f t="shared" si="31"/>
        <v>0</v>
      </c>
      <c r="HL36" s="51">
        <f t="shared" si="31"/>
        <v>1.6E-2</v>
      </c>
      <c r="HM36" s="51">
        <f t="shared" si="31"/>
        <v>-5.5118110236220472E-2</v>
      </c>
      <c r="HN36" s="51">
        <f>(DG36-DF36)/DF36</f>
        <v>8.3333333333333329E-2</v>
      </c>
      <c r="HP36" s="51">
        <f t="shared" si="2"/>
        <v>3.3573190327709709E-2</v>
      </c>
      <c r="HQ36" s="51">
        <f t="shared" si="3"/>
        <v>1.9101968483475874E-2</v>
      </c>
      <c r="HR36" s="51">
        <f t="shared" si="4"/>
        <v>2.1679370056914948E-2</v>
      </c>
      <c r="HS36" s="103">
        <f t="shared" si="5"/>
        <v>3.7037037037037035E-2</v>
      </c>
      <c r="HT36" s="79">
        <f t="shared" si="6"/>
        <v>1.3856092457140663E-2</v>
      </c>
      <c r="HU36" s="79">
        <f t="shared" si="7"/>
        <v>1.3856092457140663E-2</v>
      </c>
      <c r="HW36" s="104" t="s">
        <v>51</v>
      </c>
      <c r="HX36" s="16">
        <v>3.7037037037037E-2</v>
      </c>
      <c r="HY36" s="17" t="s">
        <v>105</v>
      </c>
    </row>
    <row r="37" spans="1:233" ht="15.75" customHeight="1" x14ac:dyDescent="0.2">
      <c r="A37" s="5" t="s">
        <v>106</v>
      </c>
      <c r="B37" s="48" t="s">
        <v>52</v>
      </c>
      <c r="C37" s="102"/>
      <c r="D37" s="102"/>
      <c r="E37" s="102"/>
      <c r="F37" s="102"/>
      <c r="G37" s="102"/>
      <c r="H37" s="102"/>
      <c r="I37" s="102"/>
      <c r="J37" s="102"/>
      <c r="K37" s="102"/>
      <c r="L37" s="102"/>
      <c r="M37" s="102"/>
      <c r="N37" s="102"/>
      <c r="O37" s="102"/>
      <c r="P37" s="102"/>
      <c r="Q37" s="102"/>
      <c r="R37" s="102"/>
      <c r="S37" s="102"/>
      <c r="T37" s="102"/>
      <c r="U37" s="102"/>
      <c r="V37" s="102"/>
      <c r="W37" s="102"/>
      <c r="X37" s="102"/>
      <c r="Y37" s="102">
        <v>988.88954120339599</v>
      </c>
      <c r="Z37" s="102">
        <v>994.44510042364004</v>
      </c>
      <c r="AA37" s="102">
        <v>997.22288003376104</v>
      </c>
      <c r="AB37" s="102">
        <v>1000.00065964388</v>
      </c>
      <c r="AC37" s="102">
        <v>2416.6682608060501</v>
      </c>
      <c r="AD37" s="102">
        <v>3833.3358619682199</v>
      </c>
      <c r="AE37" s="102">
        <v>5250.0034631303897</v>
      </c>
      <c r="AF37" s="102">
        <v>6666.67106429256</v>
      </c>
      <c r="AG37" s="102">
        <v>8472.2278108717892</v>
      </c>
      <c r="AH37" s="102">
        <v>10277.784557450999</v>
      </c>
      <c r="AI37" s="102">
        <v>12083.3413040303</v>
      </c>
      <c r="AJ37" s="102">
        <v>13888.898050609499</v>
      </c>
      <c r="AK37" s="102">
        <v>17222.233582755802</v>
      </c>
      <c r="AL37" s="102">
        <v>20000.013192877701</v>
      </c>
      <c r="AM37" s="102">
        <v>22777.7928029996</v>
      </c>
      <c r="AN37" s="102">
        <v>25555.572413121499</v>
      </c>
      <c r="AO37" s="102">
        <v>25416.683432615398</v>
      </c>
      <c r="AP37" s="102">
        <v>25277.794452109301</v>
      </c>
      <c r="AQ37" s="102">
        <v>25138.905471603201</v>
      </c>
      <c r="AR37" s="102">
        <v>25000.0164910971</v>
      </c>
      <c r="AS37" s="102">
        <v>33333.355321462797</v>
      </c>
      <c r="AT37" s="102">
        <v>41111.138229804099</v>
      </c>
      <c r="AU37" s="102">
        <v>49444.477060169796</v>
      </c>
      <c r="AV37" s="102">
        <v>57222.259968511098</v>
      </c>
      <c r="AW37" s="102">
        <v>63333.3751107793</v>
      </c>
      <c r="AX37" s="102">
        <v>69444.490253047494</v>
      </c>
      <c r="AY37" s="102">
        <v>75555.605395315593</v>
      </c>
      <c r="AZ37" s="102">
        <v>81111.164615559406</v>
      </c>
      <c r="BA37" s="102">
        <v>93888.950822120198</v>
      </c>
      <c r="BB37" s="102">
        <v>106666.737028681</v>
      </c>
      <c r="BC37" s="102">
        <v>119444.523235242</v>
      </c>
      <c r="BD37" s="102">
        <v>132222.309441802</v>
      </c>
      <c r="BE37" s="102">
        <v>165555.664763265</v>
      </c>
      <c r="BF37" s="102">
        <v>198333.46416270401</v>
      </c>
      <c r="BG37" s="102">
        <v>231111.263562142</v>
      </c>
      <c r="BH37" s="102">
        <v>236210.47327500899</v>
      </c>
      <c r="BI37" s="102">
        <v>248809.68793520401</v>
      </c>
      <c r="BJ37" s="102">
        <v>320436.71931049001</v>
      </c>
      <c r="BK37" s="102">
        <v>241418.810043987</v>
      </c>
      <c r="BL37" s="102">
        <v>255357.31130192001</v>
      </c>
      <c r="BM37" s="102">
        <v>274305.73649953702</v>
      </c>
      <c r="BN37" s="102">
        <v>291170.82698956301</v>
      </c>
      <c r="BO37" s="102">
        <v>283234.31381778599</v>
      </c>
      <c r="BP37" s="102">
        <v>290178.76284309098</v>
      </c>
      <c r="BQ37" s="102">
        <v>342262.130532877</v>
      </c>
      <c r="BR37" s="102">
        <v>377976.43980587297</v>
      </c>
      <c r="BS37" s="102">
        <v>354662.932363778</v>
      </c>
      <c r="BT37" s="102">
        <v>367063.73419467901</v>
      </c>
      <c r="BU37" s="102">
        <v>356647.06065672199</v>
      </c>
      <c r="BV37" s="102">
        <v>390377.24163677398</v>
      </c>
      <c r="BW37" s="102">
        <v>438988.38481390697</v>
      </c>
      <c r="BX37" s="102">
        <v>408234.396273272</v>
      </c>
      <c r="BY37" s="102">
        <v>418155.037737993</v>
      </c>
      <c r="BZ37" s="102">
        <v>470734.43750101398</v>
      </c>
      <c r="CA37" s="102">
        <v>475694.75823337497</v>
      </c>
      <c r="CB37" s="102">
        <v>422619.32639711699</v>
      </c>
      <c r="CC37" s="102">
        <v>394345.49822266202</v>
      </c>
      <c r="CD37" s="102">
        <v>383928.824684705</v>
      </c>
      <c r="CE37" s="102">
        <v>390377.24163677398</v>
      </c>
      <c r="CF37" s="102">
        <v>441468.54518008698</v>
      </c>
      <c r="CG37" s="102">
        <v>444940.76969274</v>
      </c>
      <c r="CH37" s="102">
        <v>425099.48676329799</v>
      </c>
      <c r="CI37" s="102">
        <v>459325.69981658499</v>
      </c>
      <c r="CJ37" s="102">
        <v>403770.10761414701</v>
      </c>
      <c r="CK37" s="102">
        <v>466270.14884188998</v>
      </c>
      <c r="CL37" s="102">
        <v>515873.356165495</v>
      </c>
      <c r="CM37" s="102">
        <v>446428.86591244797</v>
      </c>
      <c r="CN37" s="102">
        <v>411706.62078592402</v>
      </c>
      <c r="CO37" s="102">
        <v>426587.58298300602</v>
      </c>
      <c r="CP37" s="102">
        <v>421627.26225064503</v>
      </c>
      <c r="CQ37" s="102">
        <v>436508.22444772703</v>
      </c>
      <c r="CR37" s="102">
        <v>585317.84641854302</v>
      </c>
      <c r="CS37" s="102">
        <v>709325.86472755601</v>
      </c>
      <c r="CT37" s="102">
        <v>634921.05374214798</v>
      </c>
      <c r="CU37" s="102">
        <v>575397.20495382196</v>
      </c>
      <c r="CV37" s="102">
        <v>620040.09154506598</v>
      </c>
      <c r="CW37" s="102">
        <v>803571.95864240604</v>
      </c>
      <c r="CX37" s="102">
        <v>724206.82692463801</v>
      </c>
      <c r="CY37" s="102">
        <v>749008.43058644002</v>
      </c>
      <c r="CZ37" s="102">
        <v>704365.543995196</v>
      </c>
      <c r="DA37" s="102">
        <v>753968.75131880096</v>
      </c>
      <c r="DB37" s="102">
        <v>654762.33667158999</v>
      </c>
      <c r="DC37" s="102">
        <v>768849.71351588296</v>
      </c>
      <c r="DD37" s="102">
        <v>734127.46838935895</v>
      </c>
      <c r="DE37" s="102">
        <v>704365.543995196</v>
      </c>
      <c r="DF37" s="35">
        <v>595238.48788326397</v>
      </c>
      <c r="DG37" s="35">
        <v>595238.48788326397</v>
      </c>
      <c r="DH37" s="5"/>
      <c r="DJ37" s="5"/>
      <c r="DK37" s="5"/>
      <c r="DL37" s="5"/>
      <c r="DM37" s="5"/>
      <c r="DN37" s="5"/>
      <c r="DO37" s="5"/>
      <c r="DP37" s="5"/>
      <c r="DQ37" s="5"/>
      <c r="DR37" s="5"/>
      <c r="DS37" s="5"/>
      <c r="DT37" s="5"/>
      <c r="DU37" s="5"/>
      <c r="DV37" s="5"/>
      <c r="DW37" s="5"/>
      <c r="DX37" s="5"/>
      <c r="DY37" s="5"/>
      <c r="DZ37" s="5"/>
      <c r="EA37" s="5"/>
      <c r="EB37" s="5"/>
      <c r="EC37" s="5"/>
      <c r="ED37" s="5"/>
      <c r="EE37" s="5"/>
      <c r="EF37" s="5"/>
      <c r="EG37" s="51">
        <f t="shared" si="32"/>
        <v>5.6179775280901425E-3</v>
      </c>
      <c r="EH37" s="51">
        <f t="shared" si="32"/>
        <v>2.7932960893845716E-3</v>
      </c>
      <c r="EI37" s="51">
        <f t="shared" si="32"/>
        <v>2.7855153203313115E-3</v>
      </c>
      <c r="EJ37" s="51">
        <f t="shared" si="32"/>
        <v>1.4166666666666734</v>
      </c>
      <c r="EK37" s="51">
        <f t="shared" si="32"/>
        <v>0.5862068965517252</v>
      </c>
      <c r="EL37" s="51">
        <f t="shared" si="32"/>
        <v>0.36956521739130477</v>
      </c>
      <c r="EM37" s="51">
        <f t="shared" si="32"/>
        <v>0.26984126984127016</v>
      </c>
      <c r="EN37" s="51">
        <f t="shared" si="32"/>
        <v>0.27083333333333248</v>
      </c>
      <c r="EO37" s="51">
        <f t="shared" si="32"/>
        <v>0.21311475409835787</v>
      </c>
      <c r="EP37" s="51">
        <f t="shared" si="32"/>
        <v>0.17567567567568262</v>
      </c>
      <c r="EQ37" s="51">
        <f t="shared" si="32"/>
        <v>0.14942528735631844</v>
      </c>
      <c r="ER37" s="51">
        <f t="shared" si="32"/>
        <v>0.2400000000000016</v>
      </c>
      <c r="ES37" s="51">
        <f t="shared" si="32"/>
        <v>0.16129032258064491</v>
      </c>
      <c r="ET37" s="51">
        <f t="shared" si="32"/>
        <v>0.1388888888888887</v>
      </c>
      <c r="EU37" s="51">
        <f t="shared" si="32"/>
        <v>0.12195121951219498</v>
      </c>
      <c r="EV37" s="51">
        <f t="shared" si="32"/>
        <v>-5.4347826086958741E-3</v>
      </c>
      <c r="EW37" s="51">
        <f t="shared" si="32"/>
        <v>-5.4644808743170214E-3</v>
      </c>
      <c r="EX37" s="51">
        <f t="shared" si="32"/>
        <v>-5.4945054945057204E-3</v>
      </c>
      <c r="EY37" s="51">
        <f t="shared" si="32"/>
        <v>-5.5248618784532674E-3</v>
      </c>
      <c r="EZ37" s="51">
        <f t="shared" si="32"/>
        <v>0.33333333333333326</v>
      </c>
      <c r="FA37" s="51">
        <f t="shared" si="32"/>
        <v>0.23333333333333281</v>
      </c>
      <c r="FB37" s="51">
        <f t="shared" si="32"/>
        <v>0.20270270270270274</v>
      </c>
      <c r="FC37" s="51">
        <f t="shared" si="32"/>
        <v>0.15730337078651654</v>
      </c>
      <c r="FD37" s="51">
        <f t="shared" si="32"/>
        <v>0.10679611650485482</v>
      </c>
      <c r="FE37" s="51">
        <f t="shared" si="32"/>
        <v>9.6491228070175697E-2</v>
      </c>
      <c r="FF37" s="51">
        <f t="shared" si="32"/>
        <v>8.7999999999998857E-2</v>
      </c>
      <c r="FG37" s="51">
        <f t="shared" si="32"/>
        <v>7.3529411764706135E-2</v>
      </c>
      <c r="FH37" s="51">
        <f t="shared" si="32"/>
        <v>0.15753424657534323</v>
      </c>
      <c r="FI37" s="51">
        <f t="shared" si="32"/>
        <v>0.13609467455621374</v>
      </c>
      <c r="FJ37" s="51">
        <f t="shared" si="32"/>
        <v>0.11979166666666902</v>
      </c>
      <c r="FK37" s="51">
        <f t="shared" si="32"/>
        <v>0.1069767441860401</v>
      </c>
      <c r="FL37" s="51">
        <f t="shared" si="32"/>
        <v>0.25210084033613672</v>
      </c>
      <c r="FM37" s="51">
        <f t="shared" si="32"/>
        <v>0.19798657718121193</v>
      </c>
      <c r="FN37" s="51">
        <f t="shared" si="32"/>
        <v>0.16526610644257458</v>
      </c>
      <c r="FO37" s="51">
        <f t="shared" si="32"/>
        <v>2.2063873626375165E-2</v>
      </c>
      <c r="FP37" s="51">
        <f t="shared" si="32"/>
        <v>5.3338933221332388E-2</v>
      </c>
      <c r="FQ37" s="51">
        <f t="shared" si="32"/>
        <v>0.28787878787878785</v>
      </c>
      <c r="FR37" s="51">
        <f t="shared" si="32"/>
        <v>-0.24659442724458147</v>
      </c>
      <c r="FS37" s="51">
        <f t="shared" si="32"/>
        <v>5.7735771522498112E-2</v>
      </c>
      <c r="FT37" s="51">
        <f t="shared" si="32"/>
        <v>7.4203574203573361E-2</v>
      </c>
      <c r="FU37" s="51">
        <f t="shared" si="30"/>
        <v>6.1482820976492623E-2</v>
      </c>
      <c r="FV37" s="51">
        <f t="shared" si="30"/>
        <v>-2.7257240204429878E-2</v>
      </c>
      <c r="FW37" s="51">
        <f t="shared" si="30"/>
        <v>2.4518388791594587E-2</v>
      </c>
      <c r="FX37" s="51">
        <f t="shared" si="30"/>
        <v>0.17948717948718104</v>
      </c>
      <c r="FY37" s="51">
        <f t="shared" si="30"/>
        <v>0.10434782608695686</v>
      </c>
      <c r="FZ37" s="51">
        <f t="shared" si="30"/>
        <v>-6.1679790026247884E-2</v>
      </c>
      <c r="GA37" s="51">
        <f t="shared" si="30"/>
        <v>3.4965034965034059E-2</v>
      </c>
      <c r="GB37" s="51">
        <f t="shared" si="30"/>
        <v>-2.837837837837813E-2</v>
      </c>
      <c r="GC37" s="51">
        <f t="shared" si="30"/>
        <v>9.4575799721836981E-2</v>
      </c>
      <c r="GD37" s="51">
        <f t="shared" si="31"/>
        <v>0.12452350698856357</v>
      </c>
      <c r="GE37" s="51">
        <f t="shared" si="31"/>
        <v>-7.0056497175140536E-2</v>
      </c>
      <c r="GF37" s="51">
        <f t="shared" si="31"/>
        <v>2.4301336573511384E-2</v>
      </c>
      <c r="GG37" s="51">
        <f t="shared" si="31"/>
        <v>0.12574139976275045</v>
      </c>
      <c r="GH37" s="51">
        <f t="shared" si="31"/>
        <v>1.0537407797682769E-2</v>
      </c>
      <c r="GI37" s="51">
        <f t="shared" si="31"/>
        <v>-0.1115745568300319</v>
      </c>
      <c r="GJ37" s="51">
        <f t="shared" si="31"/>
        <v>-6.6901408450704136E-2</v>
      </c>
      <c r="GK37" s="51">
        <f t="shared" si="31"/>
        <v>-2.6415094339622403E-2</v>
      </c>
      <c r="GL37" s="51">
        <f t="shared" si="31"/>
        <v>1.6795865633075682E-2</v>
      </c>
      <c r="GM37" s="51">
        <f t="shared" si="31"/>
        <v>0.13087674714104067</v>
      </c>
      <c r="GN37" s="51">
        <f t="shared" si="31"/>
        <v>7.8651685393273107E-3</v>
      </c>
      <c r="GO37" s="51">
        <f t="shared" si="31"/>
        <v>-4.4593088071348645E-2</v>
      </c>
      <c r="GP37" s="51">
        <f t="shared" si="31"/>
        <v>8.0513418903148892E-2</v>
      </c>
      <c r="GQ37" s="51">
        <f t="shared" si="31"/>
        <v>-0.1209503239740822</v>
      </c>
      <c r="GR37" s="51">
        <f t="shared" si="31"/>
        <v>0.15479115479115557</v>
      </c>
      <c r="GS37" s="51">
        <f t="shared" si="31"/>
        <v>0.10638297872340362</v>
      </c>
      <c r="GT37" s="51">
        <f t="shared" si="31"/>
        <v>-0.13461538461538389</v>
      </c>
      <c r="GU37" s="51">
        <f t="shared" si="31"/>
        <v>-7.7777777777778265E-2</v>
      </c>
      <c r="GV37" s="51">
        <f t="shared" si="31"/>
        <v>3.614457831325401E-2</v>
      </c>
      <c r="GW37" s="51">
        <f t="shared" si="31"/>
        <v>-1.1627906976745268E-2</v>
      </c>
      <c r="GX37" s="51">
        <f t="shared" si="31"/>
        <v>3.5294117647059801E-2</v>
      </c>
      <c r="GY37" s="51">
        <f t="shared" si="31"/>
        <v>0.34090909090909083</v>
      </c>
      <c r="GZ37" s="51">
        <f t="shared" si="31"/>
        <v>0.2118644067796604</v>
      </c>
      <c r="HA37" s="51">
        <f t="shared" si="31"/>
        <v>-0.10489510489510497</v>
      </c>
      <c r="HB37" s="51">
        <f t="shared" si="31"/>
        <v>-9.3749999999999445E-2</v>
      </c>
      <c r="HC37" s="51">
        <f t="shared" si="31"/>
        <v>7.7586206896550367E-2</v>
      </c>
      <c r="HD37" s="51">
        <f t="shared" si="31"/>
        <v>0.29600000000000087</v>
      </c>
      <c r="HE37" s="51">
        <f t="shared" si="31"/>
        <v>-9.8765432098764858E-2</v>
      </c>
      <c r="HF37" s="51">
        <f t="shared" si="31"/>
        <v>3.4246575342464849E-2</v>
      </c>
      <c r="HG37" s="51">
        <f t="shared" si="31"/>
        <v>-5.9602649006621523E-2</v>
      </c>
      <c r="HH37" s="51">
        <f t="shared" si="31"/>
        <v>7.0422535211267054E-2</v>
      </c>
      <c r="HI37" s="51">
        <f t="shared" si="31"/>
        <v>-0.13157894736842146</v>
      </c>
      <c r="HJ37" s="51">
        <f t="shared" si="31"/>
        <v>0.17424242424242542</v>
      </c>
      <c r="HK37" s="51">
        <f t="shared" si="31"/>
        <v>-4.5161290322580989E-2</v>
      </c>
      <c r="HL37" s="51">
        <f t="shared" si="31"/>
        <v>-4.0540540540540203E-2</v>
      </c>
      <c r="HM37" s="51">
        <f t="shared" si="31"/>
        <v>-0.15492957746478911</v>
      </c>
      <c r="HN37" s="51">
        <f>(DG37-DF37)/DF37</f>
        <v>0</v>
      </c>
      <c r="HP37" s="51">
        <f t="shared" si="2"/>
        <v>9.0999645782951638E-2</v>
      </c>
      <c r="HQ37" s="51">
        <f t="shared" si="3"/>
        <v>1.407050582313769E-2</v>
      </c>
      <c r="HR37" s="51">
        <f t="shared" si="4"/>
        <v>2.1524210144857846E-2</v>
      </c>
      <c r="HS37" s="79">
        <f t="shared" si="5"/>
        <v>7.1975973487986594E-2</v>
      </c>
      <c r="HT37" s="79">
        <f t="shared" si="6"/>
        <v>-5.8139534883726342E-3</v>
      </c>
      <c r="HU37" s="79">
        <f t="shared" si="7"/>
        <v>3.9325842696636554E-3</v>
      </c>
      <c r="HW37" s="104" t="s">
        <v>52</v>
      </c>
      <c r="HX37" s="28">
        <v>7.1975973487986802E-2</v>
      </c>
      <c r="HY37" s="17" t="s">
        <v>105</v>
      </c>
    </row>
    <row r="38" spans="1:233" ht="19.5" customHeight="1" x14ac:dyDescent="0.2">
      <c r="DS38" s="37"/>
      <c r="DV38" s="37"/>
    </row>
    <row r="39" spans="1:233" ht="15" customHeight="1" x14ac:dyDescent="0.2">
      <c r="A39" s="95" t="s">
        <v>97</v>
      </c>
      <c r="B39" s="96" t="s">
        <v>226</v>
      </c>
      <c r="DS39" s="37"/>
      <c r="DV39" s="37"/>
    </row>
    <row r="40" spans="1:233" ht="15" customHeight="1" x14ac:dyDescent="0.2">
      <c r="A40" s="5" t="s">
        <v>106</v>
      </c>
      <c r="B40" s="5" t="s">
        <v>46</v>
      </c>
      <c r="J40" s="102">
        <v>3289.1855858563099</v>
      </c>
      <c r="K40" s="102">
        <v>4312.8606916585304</v>
      </c>
      <c r="L40" s="102">
        <v>5336.5357974607496</v>
      </c>
      <c r="M40" s="102">
        <v>6360.2109032629696</v>
      </c>
      <c r="N40" s="102">
        <v>7383.8860090651897</v>
      </c>
      <c r="O40" s="102">
        <v>12250.5381514036</v>
      </c>
      <c r="P40" s="102">
        <v>17117.190293742002</v>
      </c>
      <c r="Q40" s="102">
        <v>22151.658027195601</v>
      </c>
      <c r="R40" s="102">
        <v>26850.4945784189</v>
      </c>
      <c r="S40" s="102">
        <v>30878.068765181699</v>
      </c>
      <c r="T40" s="102">
        <v>34905.642951944501</v>
      </c>
      <c r="U40" s="102">
        <v>38933.217138707303</v>
      </c>
      <c r="V40" s="102">
        <v>42960.7913254702</v>
      </c>
      <c r="W40" s="102">
        <v>63769.924623744802</v>
      </c>
      <c r="X40" s="102">
        <v>85250.320286479895</v>
      </c>
      <c r="Y40" s="102">
        <v>128211.11161194999</v>
      </c>
      <c r="Z40" s="102">
        <v>147677.720181304</v>
      </c>
      <c r="AA40" s="102">
        <v>167815.591115118</v>
      </c>
      <c r="AB40" s="102">
        <v>213461.43189842999</v>
      </c>
      <c r="AC40" s="102">
        <v>196008.610422458</v>
      </c>
      <c r="AD40" s="102">
        <v>179227.051310946</v>
      </c>
      <c r="AE40" s="102">
        <v>161774.22983497399</v>
      </c>
      <c r="AF40" s="102">
        <v>144992.67072346201</v>
      </c>
      <c r="AG40" s="102">
        <v>196679.87278691799</v>
      </c>
      <c r="AH40" s="102">
        <v>249038.33721483499</v>
      </c>
      <c r="AI40" s="102">
        <v>301396.80164275202</v>
      </c>
      <c r="AJ40" s="102">
        <v>353084.00370620802</v>
      </c>
      <c r="AK40" s="102">
        <v>416182.66596549202</v>
      </c>
      <c r="AL40" s="102">
        <v>478610.06586031598</v>
      </c>
      <c r="AM40" s="102">
        <v>541708.72811959998</v>
      </c>
      <c r="AN40" s="102">
        <v>604136.128014424</v>
      </c>
      <c r="AO40" s="102">
        <v>832365.33193098498</v>
      </c>
      <c r="AP40" s="102">
        <v>765239.09548493696</v>
      </c>
      <c r="AQ40" s="102">
        <v>677974.98810507602</v>
      </c>
      <c r="AR40" s="102">
        <v>889422.63291012496</v>
      </c>
      <c r="AS40" s="102">
        <v>1074019.7831367501</v>
      </c>
      <c r="AT40" s="102">
        <v>1396225.71807778</v>
      </c>
      <c r="AU40" s="102">
        <v>1611029.67470513</v>
      </c>
      <c r="AV40" s="102">
        <v>1275398.4924749001</v>
      </c>
      <c r="AW40" s="102">
        <v>1409650.9653669901</v>
      </c>
      <c r="AX40" s="102">
        <v>1747295.93469061</v>
      </c>
      <c r="AY40" s="102">
        <v>1862753.0613778101</v>
      </c>
      <c r="AZ40" s="102">
        <v>1633852.59509679</v>
      </c>
      <c r="BA40" s="102">
        <v>1743939.62286831</v>
      </c>
      <c r="BB40" s="102">
        <v>2209795.7038038699</v>
      </c>
      <c r="BC40" s="102">
        <v>2228591.0500087701</v>
      </c>
      <c r="BD40" s="102">
        <v>2315855.1573886299</v>
      </c>
      <c r="BE40" s="102">
        <v>2546769.4107630299</v>
      </c>
      <c r="BF40" s="102">
        <v>2688405.7696641898</v>
      </c>
      <c r="BG40" s="102">
        <v>2862933.9844239098</v>
      </c>
      <c r="BH40" s="102">
        <v>3094998.9732802501</v>
      </c>
      <c r="BI40" s="102">
        <v>2932577.4547366798</v>
      </c>
      <c r="BJ40" s="102">
        <v>2902610.3848946998</v>
      </c>
      <c r="BK40" s="102">
        <v>3092601.6076928899</v>
      </c>
      <c r="BL40" s="102">
        <v>3111181.1909949202</v>
      </c>
      <c r="BM40" s="102">
        <v>1389273.35787444</v>
      </c>
      <c r="BN40" s="102">
        <v>1527721.2205444099</v>
      </c>
      <c r="BO40" s="102">
        <v>1511539.0028297401</v>
      </c>
      <c r="BP40" s="102">
        <v>1572671.82530739</v>
      </c>
      <c r="BQ40" s="102">
        <v>1682950.6423259</v>
      </c>
      <c r="BR40" s="102">
        <v>2218162.5097037498</v>
      </c>
      <c r="BS40" s="102">
        <v>2156430.3458292601</v>
      </c>
      <c r="BT40" s="102">
        <v>1832785.9915358201</v>
      </c>
      <c r="BU40" s="102">
        <v>1596645.4811809801</v>
      </c>
      <c r="BV40" s="102">
        <v>1857958.3302030901</v>
      </c>
      <c r="BW40" s="102">
        <v>2327841.9853254198</v>
      </c>
      <c r="BX40" s="102">
        <v>2310461.08481707</v>
      </c>
      <c r="BY40" s="102">
        <v>2554393.0333308298</v>
      </c>
      <c r="BZ40" s="102">
        <v>2558588.42310871</v>
      </c>
      <c r="CA40" s="102">
        <v>2830689.4172739298</v>
      </c>
      <c r="CB40" s="102">
        <v>2728801.3798111798</v>
      </c>
      <c r="CC40" s="102">
        <v>2318851.8643728201</v>
      </c>
      <c r="CD40" s="102">
        <v>2299672.93967395</v>
      </c>
      <c r="CE40" s="102">
        <v>2423736.6088197702</v>
      </c>
      <c r="CF40" s="102">
        <v>2157629.0286229402</v>
      </c>
      <c r="CG40" s="102">
        <v>2285888.0875466401</v>
      </c>
      <c r="CH40" s="102">
        <v>2406355.7083114199</v>
      </c>
      <c r="CI40" s="102">
        <v>2430329.3641850101</v>
      </c>
      <c r="CJ40" s="102">
        <v>2768957.2533994401</v>
      </c>
      <c r="CK40" s="102">
        <v>2697036.2857786799</v>
      </c>
      <c r="CL40" s="102">
        <v>2816904.5651466199</v>
      </c>
      <c r="CM40" s="102">
        <v>2996706.9841985302</v>
      </c>
      <c r="CN40" s="102">
        <v>2876838.7048305902</v>
      </c>
      <c r="CO40" s="102">
        <v>3176509.4032504498</v>
      </c>
      <c r="CP40" s="102">
        <v>2996706.9841985302</v>
      </c>
      <c r="CQ40" s="102">
        <v>3116575.2635664698</v>
      </c>
      <c r="CR40" s="102">
        <v>3476180.1016703001</v>
      </c>
      <c r="CS40" s="102">
        <v>3769857.3861217499</v>
      </c>
      <c r="CT40" s="102">
        <v>3829791.5258057299</v>
      </c>
      <c r="CU40" s="102">
        <v>3476180.1016703001</v>
      </c>
      <c r="CV40" s="102">
        <v>3835784.9397741202</v>
      </c>
      <c r="CW40" s="102">
        <v>4015587.35882603</v>
      </c>
      <c r="CX40" s="102">
        <v>4333238.2991510797</v>
      </c>
      <c r="CY40" s="102">
        <v>4435126.3366138302</v>
      </c>
      <c r="CZ40" s="102">
        <v>3620022.0369118298</v>
      </c>
      <c r="DA40" s="102">
        <v>4159429.2940675602</v>
      </c>
      <c r="DB40" s="102">
        <v>3775850.80009015</v>
      </c>
      <c r="DC40" s="102">
        <v>3775850.80009015</v>
      </c>
      <c r="DD40" s="102">
        <v>4471086.8204242103</v>
      </c>
      <c r="DE40" s="102">
        <v>5034467.7334535401</v>
      </c>
      <c r="DF40" s="35">
        <v>5154336.0128214797</v>
      </c>
      <c r="DG40" s="35">
        <v>5394072.5715573598</v>
      </c>
      <c r="DJ40" s="5"/>
      <c r="DK40" s="5"/>
      <c r="DL40" s="5"/>
      <c r="DM40" s="5"/>
      <c r="DN40" s="5"/>
      <c r="DO40" s="5"/>
      <c r="DP40" s="5"/>
      <c r="DQ40" s="5"/>
      <c r="DR40" s="51">
        <f t="shared" ref="DR40:GC40" si="33">(K40-J40)/J40</f>
        <v>0.31122448979591888</v>
      </c>
      <c r="DS40" s="51">
        <f t="shared" si="33"/>
        <v>0.2373540856031128</v>
      </c>
      <c r="DT40" s="51">
        <f t="shared" si="33"/>
        <v>0.19182389937106933</v>
      </c>
      <c r="DU40" s="51">
        <f t="shared" si="33"/>
        <v>0.16094986807387873</v>
      </c>
      <c r="DV40" s="51">
        <f t="shared" si="33"/>
        <v>0.65909090909090773</v>
      </c>
      <c r="DW40" s="51">
        <f t="shared" si="33"/>
        <v>0.39726027397260155</v>
      </c>
      <c r="DX40" s="51">
        <f t="shared" si="33"/>
        <v>0.29411764705882759</v>
      </c>
      <c r="DY40" s="51">
        <f t="shared" si="33"/>
        <v>0.21212121212121168</v>
      </c>
      <c r="DZ40" s="51">
        <f t="shared" si="33"/>
        <v>0.14999999999999863</v>
      </c>
      <c r="EA40" s="51">
        <f t="shared" si="33"/>
        <v>0.13043478260869473</v>
      </c>
      <c r="EB40" s="51">
        <f t="shared" si="33"/>
        <v>0.11538461538461467</v>
      </c>
      <c r="EC40" s="51">
        <f t="shared" si="33"/>
        <v>0.10344827586207082</v>
      </c>
      <c r="ED40" s="51">
        <f t="shared" si="33"/>
        <v>0.48437499999999939</v>
      </c>
      <c r="EE40" s="51">
        <f t="shared" si="33"/>
        <v>0.33684210526315794</v>
      </c>
      <c r="EF40" s="51">
        <f t="shared" si="33"/>
        <v>0.50393700787401474</v>
      </c>
      <c r="EG40" s="51">
        <f t="shared" si="33"/>
        <v>0.15183246073298698</v>
      </c>
      <c r="EH40" s="51">
        <f t="shared" si="33"/>
        <v>0.13636363636363516</v>
      </c>
      <c r="EI40" s="51">
        <f t="shared" si="33"/>
        <v>0.27199999999999935</v>
      </c>
      <c r="EJ40" s="51">
        <f t="shared" si="33"/>
        <v>-8.1761006289306867E-2</v>
      </c>
      <c r="EK40" s="51">
        <f t="shared" si="33"/>
        <v>-8.561643835616535E-2</v>
      </c>
      <c r="EL40" s="51">
        <f t="shared" si="33"/>
        <v>-9.7378277153556625E-2</v>
      </c>
      <c r="EM40" s="51">
        <f t="shared" si="33"/>
        <v>-0.10373443983402583</v>
      </c>
      <c r="EN40" s="51">
        <f t="shared" si="33"/>
        <v>0.35648148148147879</v>
      </c>
      <c r="EO40" s="51">
        <f t="shared" si="33"/>
        <v>0.26621160409556449</v>
      </c>
      <c r="EP40" s="51">
        <f t="shared" si="33"/>
        <v>0.21024258760107914</v>
      </c>
      <c r="EQ40" s="51">
        <f t="shared" si="33"/>
        <v>0.1714922048997761</v>
      </c>
      <c r="ER40" s="51">
        <f t="shared" si="33"/>
        <v>0.17870722433459985</v>
      </c>
      <c r="ES40" s="51">
        <f t="shared" si="33"/>
        <v>0.15000000000000038</v>
      </c>
      <c r="ET40" s="51">
        <f t="shared" si="33"/>
        <v>0.13183730715287456</v>
      </c>
      <c r="EU40" s="51">
        <f t="shared" si="33"/>
        <v>0.11524163568773277</v>
      </c>
      <c r="EV40" s="51">
        <f t="shared" si="33"/>
        <v>0.3777777777777791</v>
      </c>
      <c r="EW40" s="51">
        <f t="shared" si="33"/>
        <v>-8.0645161290323591E-2</v>
      </c>
      <c r="EX40" s="51">
        <f t="shared" si="33"/>
        <v>-0.11403508771929786</v>
      </c>
      <c r="EY40" s="51">
        <f t="shared" si="33"/>
        <v>0.3118811881188126</v>
      </c>
      <c r="EZ40" s="51">
        <f t="shared" si="33"/>
        <v>0.20754716981131563</v>
      </c>
      <c r="FA40" s="51">
        <f t="shared" si="33"/>
        <v>0.30000000000000449</v>
      </c>
      <c r="FB40" s="51">
        <f t="shared" si="33"/>
        <v>0.15384615384615336</v>
      </c>
      <c r="FC40" s="51">
        <f t="shared" si="33"/>
        <v>-0.20833333333332993</v>
      </c>
      <c r="FD40" s="51">
        <f t="shared" si="33"/>
        <v>0.1052631578947331</v>
      </c>
      <c r="FE40" s="51">
        <f t="shared" si="33"/>
        <v>0.23952380952381153</v>
      </c>
      <c r="FF40" s="51">
        <f t="shared" si="33"/>
        <v>6.6077602766038482E-2</v>
      </c>
      <c r="FG40" s="51">
        <f t="shared" si="33"/>
        <v>-0.12288288288288239</v>
      </c>
      <c r="FH40" s="51">
        <f t="shared" si="33"/>
        <v>6.7378800328678587E-2</v>
      </c>
      <c r="FI40" s="51">
        <f t="shared" si="33"/>
        <v>0.2671285604310959</v>
      </c>
      <c r="FJ40" s="51">
        <f t="shared" si="33"/>
        <v>8.5054678007322072E-3</v>
      </c>
      <c r="FK40" s="51">
        <f t="shared" si="33"/>
        <v>3.9156626506023334E-2</v>
      </c>
      <c r="FL40" s="51">
        <f t="shared" si="33"/>
        <v>9.9710144927535188E-2</v>
      </c>
      <c r="FM40" s="51">
        <f t="shared" si="33"/>
        <v>5.5614127569847245E-2</v>
      </c>
      <c r="FN40" s="51">
        <f t="shared" si="33"/>
        <v>6.4918851435704375E-2</v>
      </c>
      <c r="FO40" s="51">
        <f t="shared" si="33"/>
        <v>8.1058449170995209E-2</v>
      </c>
      <c r="FP40" s="51">
        <f t="shared" si="33"/>
        <v>-5.2478698683194408E-2</v>
      </c>
      <c r="FQ40" s="51">
        <f t="shared" si="33"/>
        <v>-1.0218679746574942E-2</v>
      </c>
      <c r="FR40" s="51">
        <f t="shared" si="33"/>
        <v>6.5455296303944879E-2</v>
      </c>
      <c r="FS40" s="51">
        <f t="shared" si="33"/>
        <v>6.0077519379843061E-3</v>
      </c>
      <c r="FT40" s="51">
        <f t="shared" si="33"/>
        <v>-0.55345790791755001</v>
      </c>
      <c r="FU40" s="51">
        <f t="shared" si="33"/>
        <v>9.9654874892146722E-2</v>
      </c>
      <c r="FV40" s="51">
        <f t="shared" si="33"/>
        <v>-1.059238917222298E-2</v>
      </c>
      <c r="FW40" s="51">
        <f t="shared" si="33"/>
        <v>4.0444091990483627E-2</v>
      </c>
      <c r="FX40" s="51">
        <f t="shared" si="33"/>
        <v>7.0121951219514783E-2</v>
      </c>
      <c r="FY40" s="51">
        <f t="shared" si="33"/>
        <v>0.31801994301993741</v>
      </c>
      <c r="FZ40" s="51">
        <f t="shared" si="33"/>
        <v>-2.7830316130775495E-2</v>
      </c>
      <c r="GA40" s="51">
        <f t="shared" si="33"/>
        <v>-0.15008337965536367</v>
      </c>
      <c r="GB40" s="51">
        <f t="shared" si="33"/>
        <v>-0.12884238064093956</v>
      </c>
      <c r="GC40" s="51">
        <f t="shared" si="33"/>
        <v>0.16366366366366217</v>
      </c>
      <c r="GD40" s="51">
        <f t="shared" ref="GD40:HN40" si="34">(BW40-BV40)/BV40</f>
        <v>0.25290322580645153</v>
      </c>
      <c r="GE40" s="51">
        <f t="shared" si="34"/>
        <v>-7.4665293511836052E-3</v>
      </c>
      <c r="GF40" s="51">
        <f t="shared" si="34"/>
        <v>0.10557717250324214</v>
      </c>
      <c r="GG40" s="51">
        <f t="shared" si="34"/>
        <v>1.6424213984053721E-3</v>
      </c>
      <c r="GH40" s="51">
        <f t="shared" si="34"/>
        <v>0.10634809088779291</v>
      </c>
      <c r="GI40" s="51">
        <f t="shared" si="34"/>
        <v>-3.5994071564683469E-2</v>
      </c>
      <c r="GJ40" s="51">
        <f t="shared" si="34"/>
        <v>-0.15023061717548908</v>
      </c>
      <c r="GK40" s="51">
        <f t="shared" si="34"/>
        <v>-8.2708710261047598E-3</v>
      </c>
      <c r="GL40" s="51">
        <f t="shared" si="34"/>
        <v>5.3948397185301519E-2</v>
      </c>
      <c r="GM40" s="51">
        <f t="shared" si="34"/>
        <v>-0.10979228486646909</v>
      </c>
      <c r="GN40" s="51">
        <f t="shared" si="34"/>
        <v>5.9444444444445785E-2</v>
      </c>
      <c r="GO40" s="51">
        <f t="shared" si="34"/>
        <v>5.2700576822233385E-2</v>
      </c>
      <c r="GP40" s="51">
        <f t="shared" si="34"/>
        <v>9.9626400996271937E-3</v>
      </c>
      <c r="GQ40" s="51">
        <f t="shared" si="34"/>
        <v>0.13933415536374674</v>
      </c>
      <c r="GR40" s="51">
        <f t="shared" si="34"/>
        <v>-2.5974025974024359E-2</v>
      </c>
      <c r="GS40" s="51">
        <f t="shared" si="34"/>
        <v>4.4444444444443967E-2</v>
      </c>
      <c r="GT40" s="51">
        <f t="shared" si="34"/>
        <v>6.3829787234041979E-2</v>
      </c>
      <c r="GU40" s="51">
        <f t="shared" si="34"/>
        <v>-3.9999999999999605E-2</v>
      </c>
      <c r="GV40" s="51">
        <f t="shared" si="34"/>
        <v>0.10416666666666892</v>
      </c>
      <c r="GW40" s="51">
        <f t="shared" si="34"/>
        <v>-5.6603773584907972E-2</v>
      </c>
      <c r="GX40" s="51">
        <f t="shared" si="34"/>
        <v>3.9999999999999453E-2</v>
      </c>
      <c r="GY40" s="51">
        <f t="shared" si="34"/>
        <v>0.1153846153846176</v>
      </c>
      <c r="GZ40" s="51">
        <f t="shared" si="34"/>
        <v>8.4482758620687742E-2</v>
      </c>
      <c r="HA40" s="51">
        <f t="shared" si="34"/>
        <v>1.5898251192371343E-2</v>
      </c>
      <c r="HB40" s="51">
        <f t="shared" si="34"/>
        <v>-9.2331768388107055E-2</v>
      </c>
      <c r="HC40" s="51">
        <f t="shared" si="34"/>
        <v>0.1034482758620678</v>
      </c>
      <c r="HD40" s="51">
        <f t="shared" si="34"/>
        <v>4.6874999999999459E-2</v>
      </c>
      <c r="HE40" s="51">
        <f t="shared" si="34"/>
        <v>7.910447761194167E-2</v>
      </c>
      <c r="HF40" s="51">
        <f t="shared" si="34"/>
        <v>2.3513139695712379E-2</v>
      </c>
      <c r="HG40" s="51">
        <f t="shared" si="34"/>
        <v>-0.18378378378378357</v>
      </c>
      <c r="HH40" s="51">
        <f t="shared" si="34"/>
        <v>0.14900662251655467</v>
      </c>
      <c r="HI40" s="51">
        <f t="shared" si="34"/>
        <v>-9.2219020172910268E-2</v>
      </c>
      <c r="HJ40" s="51">
        <f t="shared" si="34"/>
        <v>0</v>
      </c>
      <c r="HK40" s="51">
        <f t="shared" si="34"/>
        <v>0.18412698412698439</v>
      </c>
      <c r="HL40" s="51">
        <f t="shared" si="34"/>
        <v>0.12600536193029618</v>
      </c>
      <c r="HM40" s="51">
        <f t="shared" si="34"/>
        <v>2.380952380952344E-2</v>
      </c>
      <c r="HN40" s="51">
        <f t="shared" si="34"/>
        <v>4.6511627906976216E-2</v>
      </c>
      <c r="HP40" s="51">
        <f>AVERAGE(DK40:HN40)</f>
        <v>8.9499418932551519E-2</v>
      </c>
      <c r="HQ40" s="51">
        <f>AVERAGE(GI40:HN40)</f>
        <v>2.4087422949430073E-2</v>
      </c>
      <c r="HR40" s="51">
        <f>AVERAGE(GI40:HK40,HN40)</f>
        <v>2.0699421621398092E-2</v>
      </c>
      <c r="HS40" s="79">
        <f>MEDIAN($DK40:$HN40)</f>
        <v>7.910447761194167E-2</v>
      </c>
      <c r="HT40" s="79">
        <f>MEDIAN($GI40:$HN40)</f>
        <v>4.222222222222171E-2</v>
      </c>
      <c r="HU40" s="103">
        <f>MEDIAN($GI40:$HK40,$HN40)</f>
        <v>4.222222222222171E-2</v>
      </c>
      <c r="HW40" s="5" t="s">
        <v>46</v>
      </c>
      <c r="HX40" s="36">
        <v>4.2222222222222203E-2</v>
      </c>
      <c r="HY40" s="186" t="s">
        <v>108</v>
      </c>
    </row>
    <row r="41" spans="1:233" ht="15" customHeight="1" x14ac:dyDescent="0.2">
      <c r="DS41" s="37"/>
      <c r="DV41" s="37"/>
    </row>
    <row r="42" spans="1:233" ht="15" customHeight="1" thickBot="1" x14ac:dyDescent="0.25">
      <c r="AI42" s="129"/>
      <c r="AJ42" s="129"/>
      <c r="AK42" s="129"/>
      <c r="AL42" s="129"/>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29"/>
      <c r="BQ42" s="129"/>
      <c r="BR42" s="130"/>
      <c r="BS42" s="129"/>
      <c r="BT42" s="129"/>
      <c r="BU42" s="129"/>
      <c r="BV42" s="129"/>
      <c r="BW42" s="129"/>
      <c r="BX42" s="129"/>
      <c r="BY42" s="129"/>
      <c r="BZ42" s="129"/>
      <c r="CA42" s="129"/>
      <c r="CB42" s="129"/>
      <c r="CC42" s="129"/>
      <c r="CD42" s="129"/>
      <c r="CE42" s="129"/>
      <c r="CF42" s="129"/>
      <c r="CG42" s="129"/>
      <c r="CH42" s="129"/>
      <c r="CI42" s="129"/>
      <c r="CJ42" s="129"/>
      <c r="CK42" s="129"/>
      <c r="CL42" s="129"/>
      <c r="CM42" s="129"/>
      <c r="CN42" s="129"/>
      <c r="CO42" s="129"/>
      <c r="CP42" s="129"/>
      <c r="CQ42" s="129"/>
      <c r="CR42" s="129"/>
      <c r="CS42" s="129"/>
      <c r="CT42" s="129"/>
      <c r="CU42" s="129"/>
      <c r="CV42" s="129"/>
      <c r="CW42" s="129"/>
      <c r="CX42" s="129"/>
      <c r="CY42" s="129"/>
      <c r="CZ42" s="129"/>
      <c r="DA42" s="129"/>
      <c r="DB42" s="129"/>
      <c r="DC42" s="129"/>
      <c r="DD42" s="129"/>
      <c r="DE42" s="129"/>
      <c r="DF42" s="80"/>
      <c r="DG42" s="129"/>
      <c r="EG42" s="52"/>
      <c r="EH42" s="52"/>
      <c r="EI42" s="52"/>
      <c r="EJ42" s="52"/>
      <c r="EK42" s="52"/>
      <c r="EL42" s="52"/>
      <c r="EM42" s="52"/>
      <c r="EN42" s="52"/>
      <c r="EO42" s="52"/>
      <c r="EP42" s="52"/>
      <c r="EQ42" s="52"/>
      <c r="ER42" s="52"/>
      <c r="ES42" s="52"/>
      <c r="ET42" s="52"/>
      <c r="EU42" s="52"/>
      <c r="EV42" s="52"/>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c r="GF42" s="52"/>
      <c r="GG42" s="52"/>
      <c r="GH42" s="52"/>
      <c r="GI42" s="52"/>
      <c r="GJ42" s="52"/>
      <c r="GK42" s="52"/>
      <c r="GL42" s="52"/>
      <c r="GM42" s="52"/>
      <c r="GN42" s="52"/>
      <c r="GO42" s="52"/>
      <c r="GP42" s="52"/>
      <c r="GQ42" s="52"/>
      <c r="GR42" s="52"/>
      <c r="GS42" s="52"/>
      <c r="GT42" s="52"/>
      <c r="GU42" s="52"/>
      <c r="GV42" s="52"/>
      <c r="GW42" s="52"/>
      <c r="GX42" s="52"/>
      <c r="GY42" s="52"/>
      <c r="GZ42" s="52"/>
      <c r="HA42" s="52"/>
      <c r="HB42" s="52"/>
      <c r="HC42" s="52"/>
      <c r="HD42" s="52"/>
      <c r="HE42" s="52"/>
      <c r="HF42" s="52"/>
      <c r="HG42" s="52"/>
      <c r="HH42" s="52"/>
      <c r="HI42" s="52"/>
      <c r="HJ42" s="52"/>
    </row>
    <row r="43" spans="1:233" ht="15" customHeight="1" thickBot="1" x14ac:dyDescent="0.3">
      <c r="A43" s="212" t="s">
        <v>227</v>
      </c>
      <c r="B43" s="212"/>
      <c r="C43" s="212"/>
      <c r="D43" s="212"/>
      <c r="E43" s="212"/>
      <c r="F43" s="212"/>
      <c r="G43" s="212"/>
      <c r="H43" s="212"/>
      <c r="I43" s="212"/>
      <c r="J43" s="212"/>
      <c r="K43" s="212"/>
      <c r="L43" s="212"/>
      <c r="M43" s="212"/>
      <c r="N43" s="212"/>
    </row>
    <row r="44" spans="1:233" ht="15" customHeight="1" x14ac:dyDescent="0.2">
      <c r="A44" s="82"/>
      <c r="B44" s="83"/>
      <c r="C44" s="83"/>
      <c r="D44" s="83"/>
      <c r="E44" s="83"/>
      <c r="F44" s="83"/>
      <c r="G44" s="83"/>
      <c r="H44" s="83"/>
      <c r="I44" s="83"/>
      <c r="J44" s="83"/>
      <c r="K44" s="83"/>
      <c r="L44" s="83"/>
      <c r="M44" s="83"/>
      <c r="N44" s="84"/>
    </row>
    <row r="45" spans="1:233" ht="15" customHeight="1" x14ac:dyDescent="0.2">
      <c r="A45" s="131" t="s">
        <v>130</v>
      </c>
      <c r="B45" s="81"/>
      <c r="C45" s="81"/>
      <c r="D45" s="81"/>
      <c r="E45" s="81"/>
      <c r="F45" s="81"/>
      <c r="G45" s="81"/>
      <c r="H45" s="5" t="s">
        <v>228</v>
      </c>
      <c r="I45" s="81"/>
      <c r="J45" s="81"/>
      <c r="K45" s="81"/>
      <c r="L45" s="132" t="s">
        <v>229</v>
      </c>
      <c r="M45" s="81"/>
      <c r="N45" s="86"/>
      <c r="AX45" s="133">
        <v>1900</v>
      </c>
      <c r="AY45" s="133">
        <v>1910</v>
      </c>
      <c r="AZ45" s="133">
        <v>1920</v>
      </c>
      <c r="BA45" s="133">
        <f t="shared" ref="BA45:BJ45" si="35">AZ45+10</f>
        <v>1930</v>
      </c>
      <c r="BB45" s="133">
        <f t="shared" si="35"/>
        <v>1940</v>
      </c>
      <c r="BC45" s="133">
        <f t="shared" si="35"/>
        <v>1950</v>
      </c>
      <c r="BD45" s="133">
        <f t="shared" si="35"/>
        <v>1960</v>
      </c>
      <c r="BE45" s="133">
        <f t="shared" si="35"/>
        <v>1970</v>
      </c>
      <c r="BF45" s="133">
        <f t="shared" si="35"/>
        <v>1980</v>
      </c>
      <c r="BG45" s="133">
        <f t="shared" si="35"/>
        <v>1990</v>
      </c>
      <c r="BH45" s="133">
        <f t="shared" si="35"/>
        <v>2000</v>
      </c>
      <c r="BI45" s="133">
        <f t="shared" si="35"/>
        <v>2010</v>
      </c>
      <c r="BJ45" s="133">
        <f t="shared" si="35"/>
        <v>2020</v>
      </c>
      <c r="DJ45" s="52"/>
      <c r="DK45" s="52"/>
      <c r="DL45" s="52"/>
      <c r="DM45" s="52"/>
      <c r="DN45" s="52"/>
      <c r="DO45" s="52"/>
      <c r="DP45" s="52"/>
      <c r="DQ45" s="52"/>
      <c r="DR45" s="52"/>
      <c r="DS45" s="52"/>
      <c r="DT45" s="52"/>
      <c r="DU45" s="52"/>
      <c r="DV45" s="52"/>
    </row>
    <row r="46" spans="1:233" ht="15" customHeight="1" x14ac:dyDescent="0.2">
      <c r="A46" s="134" t="s">
        <v>228</v>
      </c>
      <c r="B46" s="81"/>
      <c r="C46" s="81"/>
      <c r="D46" s="81"/>
      <c r="E46" s="81"/>
      <c r="F46" s="81"/>
      <c r="G46" s="81"/>
      <c r="H46" s="99" t="s">
        <v>230</v>
      </c>
      <c r="I46" s="99" t="s">
        <v>231</v>
      </c>
      <c r="J46" s="97" t="s">
        <v>137</v>
      </c>
      <c r="K46" s="97" t="s">
        <v>232</v>
      </c>
      <c r="L46" s="53" t="s">
        <v>233</v>
      </c>
      <c r="M46" s="81"/>
      <c r="N46" s="86"/>
      <c r="AX46" s="5">
        <v>71760.7973421926</v>
      </c>
      <c r="AY46" s="5">
        <v>119601.32890365399</v>
      </c>
      <c r="AZ46" s="5">
        <v>82392.026578072997</v>
      </c>
      <c r="BA46" s="5">
        <v>159468.43853820601</v>
      </c>
      <c r="BB46" s="5">
        <v>111627.90697674399</v>
      </c>
      <c r="BC46" s="5">
        <v>164784.05315614599</v>
      </c>
      <c r="BD46" s="5">
        <v>198449.61240310001</v>
      </c>
      <c r="BE46" s="5">
        <v>223698.781838316</v>
      </c>
      <c r="BF46" s="5">
        <v>220598.006644518</v>
      </c>
      <c r="BG46" s="5">
        <v>228571.428571428</v>
      </c>
      <c r="BH46" s="5">
        <v>276411.96013288997</v>
      </c>
      <c r="BI46" s="5">
        <v>349944.62901439599</v>
      </c>
      <c r="BJ46" s="5">
        <v>341528.23920265702</v>
      </c>
      <c r="DJ46" s="52"/>
      <c r="DK46" s="52"/>
      <c r="DL46" s="52"/>
      <c r="DM46" s="52"/>
      <c r="DN46" s="52"/>
      <c r="DO46" s="52"/>
      <c r="DP46" s="52"/>
      <c r="DQ46" s="52"/>
      <c r="DR46" s="52"/>
      <c r="DS46" s="52"/>
      <c r="DT46" s="52"/>
      <c r="DU46" s="52"/>
      <c r="DV46" s="52"/>
      <c r="HP46" s="52"/>
      <c r="HQ46" s="52"/>
      <c r="HR46" s="52"/>
      <c r="HS46" s="52"/>
      <c r="HU46" s="52"/>
    </row>
    <row r="47" spans="1:233" ht="15" customHeight="1" x14ac:dyDescent="0.2">
      <c r="A47" s="134" t="s">
        <v>229</v>
      </c>
      <c r="B47" s="81"/>
      <c r="C47" s="81"/>
      <c r="D47" s="81"/>
      <c r="E47" s="81"/>
      <c r="F47" s="81"/>
      <c r="G47" s="81"/>
      <c r="H47" s="135" t="s">
        <v>14</v>
      </c>
      <c r="I47" s="136">
        <v>24000</v>
      </c>
      <c r="J47" s="135" t="s">
        <v>51</v>
      </c>
      <c r="K47" s="13">
        <v>12000000</v>
      </c>
      <c r="L47" s="5">
        <f t="shared" ref="L47:L53" si="36">I47/K47</f>
        <v>2E-3</v>
      </c>
      <c r="M47" s="81"/>
      <c r="N47" s="86"/>
      <c r="DJ47" s="52"/>
      <c r="DK47" s="52"/>
      <c r="DL47" s="52"/>
      <c r="DM47" s="52"/>
      <c r="DN47" s="52"/>
      <c r="DO47" s="52"/>
      <c r="DP47" s="52"/>
      <c r="DQ47" s="52"/>
      <c r="DR47" s="52"/>
      <c r="DS47" s="52"/>
      <c r="DT47" s="52"/>
      <c r="DU47" s="52"/>
      <c r="DV47" s="52"/>
      <c r="HP47" s="52"/>
      <c r="HQ47" s="52"/>
      <c r="HS47" s="52"/>
      <c r="HU47" s="52"/>
    </row>
    <row r="48" spans="1:233" ht="15" customHeight="1" x14ac:dyDescent="0.2">
      <c r="A48" s="134" t="s">
        <v>234</v>
      </c>
      <c r="B48" s="81"/>
      <c r="C48" s="81"/>
      <c r="D48" s="81"/>
      <c r="E48" s="81"/>
      <c r="F48" s="81"/>
      <c r="G48" s="81"/>
      <c r="H48" s="135" t="s">
        <v>20</v>
      </c>
      <c r="I48" s="136">
        <v>327</v>
      </c>
      <c r="J48" s="135" t="s">
        <v>220</v>
      </c>
      <c r="K48" s="13">
        <v>65100000</v>
      </c>
      <c r="L48" s="5">
        <f t="shared" si="36"/>
        <v>5.0230414746543782E-6</v>
      </c>
      <c r="M48" s="81"/>
      <c r="N48" s="86"/>
      <c r="DS48" s="37"/>
      <c r="DV48" s="37"/>
    </row>
    <row r="49" spans="1:126" ht="15" customHeight="1" x14ac:dyDescent="0.2">
      <c r="A49" s="137"/>
      <c r="B49" s="81"/>
      <c r="C49" s="81"/>
      <c r="D49" s="81"/>
      <c r="E49" s="81"/>
      <c r="F49" s="81"/>
      <c r="G49" s="81"/>
      <c r="H49" s="135" t="s">
        <v>23</v>
      </c>
      <c r="I49" s="136">
        <v>75</v>
      </c>
      <c r="J49" s="135" t="s">
        <v>46</v>
      </c>
      <c r="K49" s="35">
        <v>5154336.0128214797</v>
      </c>
      <c r="L49" s="5">
        <f t="shared" si="36"/>
        <v>1.4550855786940646E-5</v>
      </c>
      <c r="M49" s="138"/>
      <c r="N49" s="86"/>
      <c r="DS49" s="37"/>
      <c r="DV49" s="37"/>
    </row>
    <row r="50" spans="1:126" ht="15" customHeight="1" x14ac:dyDescent="0.2">
      <c r="A50" s="85"/>
      <c r="B50" s="81"/>
      <c r="C50" s="81"/>
      <c r="D50" s="81"/>
      <c r="E50" s="81"/>
      <c r="F50" s="81"/>
      <c r="G50" s="81"/>
      <c r="H50" s="135" t="s">
        <v>24</v>
      </c>
      <c r="I50" s="136">
        <v>960</v>
      </c>
      <c r="J50" s="135" t="s">
        <v>51</v>
      </c>
      <c r="K50" s="13">
        <v>12000000</v>
      </c>
      <c r="L50" s="5">
        <f t="shared" si="36"/>
        <v>8.0000000000000007E-5</v>
      </c>
      <c r="M50" s="81"/>
      <c r="N50" s="86"/>
      <c r="DS50" s="37"/>
      <c r="DV50" s="37"/>
    </row>
    <row r="51" spans="1:126" ht="15" customHeight="1" x14ac:dyDescent="0.2">
      <c r="A51" s="85"/>
      <c r="B51" s="81"/>
      <c r="C51" s="81"/>
      <c r="D51" s="81"/>
      <c r="E51" s="81"/>
      <c r="F51" s="81"/>
      <c r="G51" s="81"/>
      <c r="H51" s="135" t="s">
        <v>40</v>
      </c>
      <c r="I51" s="136">
        <v>3120</v>
      </c>
      <c r="J51" s="135" t="s">
        <v>18</v>
      </c>
      <c r="K51" s="13">
        <v>20600000</v>
      </c>
      <c r="L51" s="5">
        <f t="shared" si="36"/>
        <v>1.5145631067961166E-4</v>
      </c>
      <c r="M51" s="81"/>
      <c r="N51" s="86"/>
      <c r="DS51" s="37"/>
      <c r="DV51" s="37"/>
    </row>
    <row r="52" spans="1:126" ht="15" customHeight="1" x14ac:dyDescent="0.2">
      <c r="A52" s="85"/>
      <c r="B52" s="81"/>
      <c r="C52" s="81"/>
      <c r="D52" s="81"/>
      <c r="E52" s="81"/>
      <c r="F52" s="81"/>
      <c r="G52" s="81"/>
      <c r="H52" s="135" t="s">
        <v>44</v>
      </c>
      <c r="I52" s="136">
        <v>562</v>
      </c>
      <c r="J52" s="135" t="s">
        <v>18</v>
      </c>
      <c r="K52" s="13">
        <v>20600000</v>
      </c>
      <c r="L52" s="5">
        <f t="shared" si="36"/>
        <v>2.7281553398058253E-5</v>
      </c>
      <c r="M52" s="81"/>
      <c r="N52" s="86"/>
      <c r="DS52" s="37"/>
      <c r="DV52" s="37"/>
    </row>
    <row r="53" spans="1:126" ht="18" customHeight="1" x14ac:dyDescent="0.2">
      <c r="A53" s="85"/>
      <c r="B53" s="81"/>
      <c r="C53" s="81"/>
      <c r="D53" s="81"/>
      <c r="E53" s="81"/>
      <c r="F53" s="81"/>
      <c r="G53" s="81"/>
      <c r="H53" s="135" t="s">
        <v>52</v>
      </c>
      <c r="I53" s="136">
        <v>595238.48788326397</v>
      </c>
      <c r="J53" s="135" t="s">
        <v>46</v>
      </c>
      <c r="K53" s="35">
        <v>5154336.0128214797</v>
      </c>
      <c r="L53" s="5">
        <f t="shared" si="36"/>
        <v>0.11548305861367987</v>
      </c>
      <c r="M53" s="81"/>
      <c r="N53" s="86"/>
      <c r="DS53" s="37"/>
      <c r="DV53" s="37"/>
    </row>
    <row r="54" spans="1:126" ht="15" customHeight="1" x14ac:dyDescent="0.2">
      <c r="A54" s="85"/>
      <c r="B54" s="81"/>
      <c r="C54" s="81"/>
      <c r="D54" s="81"/>
      <c r="E54" s="81"/>
      <c r="F54" s="81"/>
      <c r="G54" s="81"/>
      <c r="H54" s="81"/>
      <c r="I54" s="81"/>
      <c r="J54" s="81"/>
      <c r="K54" s="81"/>
      <c r="L54" s="81"/>
      <c r="M54" s="81"/>
      <c r="N54" s="86"/>
      <c r="DS54" s="37"/>
      <c r="DV54" s="37"/>
    </row>
    <row r="55" spans="1:126" ht="15" customHeight="1" x14ac:dyDescent="0.2">
      <c r="A55" s="85"/>
      <c r="B55" s="81"/>
      <c r="C55" s="81"/>
      <c r="D55" s="81"/>
      <c r="E55" s="81"/>
      <c r="F55" s="81"/>
      <c r="G55" s="81"/>
      <c r="H55" s="81"/>
      <c r="I55" s="139"/>
      <c r="J55" s="81"/>
      <c r="K55" s="140"/>
      <c r="L55" s="81"/>
      <c r="M55" s="81"/>
      <c r="N55" s="86"/>
      <c r="DS55" s="37"/>
      <c r="DV55" s="37"/>
    </row>
    <row r="56" spans="1:126" ht="15" customHeight="1" x14ac:dyDescent="0.2">
      <c r="A56" s="85"/>
      <c r="B56" s="81"/>
      <c r="C56" s="81"/>
      <c r="D56" s="81"/>
      <c r="E56" s="81"/>
      <c r="F56" s="81"/>
      <c r="G56" s="81"/>
      <c r="H56" s="97" t="s">
        <v>235</v>
      </c>
      <c r="I56" s="141" t="s">
        <v>175</v>
      </c>
      <c r="J56" s="141" t="s">
        <v>176</v>
      </c>
      <c r="K56" s="141" t="s">
        <v>177</v>
      </c>
      <c r="L56" s="141" t="s">
        <v>150</v>
      </c>
      <c r="M56" s="141" t="s">
        <v>236</v>
      </c>
      <c r="N56" s="86"/>
      <c r="DS56" s="37"/>
      <c r="DV56" s="37"/>
    </row>
    <row r="57" spans="1:126" ht="15" customHeight="1" x14ac:dyDescent="0.2">
      <c r="A57" s="85"/>
      <c r="B57" s="81"/>
      <c r="C57" s="81"/>
      <c r="D57" s="81"/>
      <c r="E57" s="81"/>
      <c r="F57" s="81"/>
      <c r="G57" s="81"/>
      <c r="H57" s="142" t="s">
        <v>12</v>
      </c>
      <c r="I57" s="13">
        <v>65100000</v>
      </c>
      <c r="J57" s="26">
        <v>117910627.508994</v>
      </c>
      <c r="K57" s="26">
        <v>213562458.979489</v>
      </c>
      <c r="L57" s="26">
        <v>386809271.13111103</v>
      </c>
      <c r="M57" s="5" t="s">
        <v>99</v>
      </c>
      <c r="N57" s="86"/>
      <c r="DS57" s="37"/>
      <c r="DV57" s="37"/>
    </row>
    <row r="58" spans="1:126" ht="15" customHeight="1" x14ac:dyDescent="0.2">
      <c r="A58" s="85"/>
      <c r="B58" s="81"/>
      <c r="C58" s="81"/>
      <c r="D58" s="81"/>
      <c r="E58" s="81"/>
      <c r="F58" s="81"/>
      <c r="G58" s="81"/>
      <c r="H58" s="96" t="s">
        <v>18</v>
      </c>
      <c r="I58" s="32">
        <v>20600000</v>
      </c>
      <c r="J58" s="26">
        <v>24300000</v>
      </c>
      <c r="K58" s="26">
        <v>16600000</v>
      </c>
      <c r="L58" s="43">
        <v>21529487.561476499</v>
      </c>
      <c r="M58" s="4" t="s">
        <v>237</v>
      </c>
      <c r="N58" s="86"/>
      <c r="DS58" s="37"/>
      <c r="DV58" s="37"/>
    </row>
    <row r="59" spans="1:126" ht="15" customHeight="1" x14ac:dyDescent="0.2">
      <c r="A59" s="85"/>
      <c r="B59" s="81"/>
      <c r="C59" s="81"/>
      <c r="D59" s="81"/>
      <c r="E59" s="81"/>
      <c r="F59" s="81"/>
      <c r="G59" s="81"/>
      <c r="H59" s="142" t="s">
        <v>46</v>
      </c>
      <c r="I59" s="35">
        <v>5154336.0128214797</v>
      </c>
      <c r="J59" s="143">
        <v>7794280.2350282297</v>
      </c>
      <c r="K59" s="26">
        <v>11786349.246737801</v>
      </c>
      <c r="L59" s="26">
        <v>17823073.379087001</v>
      </c>
      <c r="M59" s="5" t="s">
        <v>99</v>
      </c>
      <c r="N59" s="86"/>
      <c r="DS59" s="37"/>
      <c r="DV59" s="37"/>
    </row>
    <row r="60" spans="1:126" ht="15" customHeight="1" x14ac:dyDescent="0.2">
      <c r="A60" s="85"/>
      <c r="B60" s="81"/>
      <c r="C60" s="81"/>
      <c r="D60" s="81"/>
      <c r="E60" s="81"/>
      <c r="F60" s="81"/>
      <c r="G60" s="81"/>
      <c r="H60" s="142" t="s">
        <v>51</v>
      </c>
      <c r="I60" s="13">
        <v>12000000</v>
      </c>
      <c r="J60" s="144">
        <v>17263303.9810143</v>
      </c>
      <c r="K60" s="45">
        <v>24835138.695075199</v>
      </c>
      <c r="L60" s="45">
        <v>35728045.7253111</v>
      </c>
      <c r="M60" s="5" t="s">
        <v>99</v>
      </c>
      <c r="N60" s="86"/>
      <c r="DS60" s="37"/>
      <c r="DV60" s="37"/>
    </row>
    <row r="61" spans="1:126" ht="15" customHeight="1" x14ac:dyDescent="0.2">
      <c r="A61" s="85"/>
      <c r="B61" s="81"/>
      <c r="C61" s="81"/>
      <c r="D61" s="81"/>
      <c r="E61" s="81"/>
      <c r="F61" s="81"/>
      <c r="G61" s="81"/>
      <c r="H61" s="81"/>
      <c r="I61" s="81"/>
      <c r="J61" s="81"/>
      <c r="K61" s="81"/>
      <c r="L61" s="81"/>
      <c r="M61" s="81"/>
      <c r="N61" s="86"/>
      <c r="DS61" s="37"/>
      <c r="DV61" s="37"/>
    </row>
    <row r="62" spans="1:126" ht="15" customHeight="1" x14ac:dyDescent="0.2">
      <c r="A62" s="85"/>
      <c r="B62" s="81"/>
      <c r="C62" s="81"/>
      <c r="D62" s="81"/>
      <c r="E62" s="81"/>
      <c r="F62" s="81"/>
      <c r="G62" s="81"/>
      <c r="H62" t="s">
        <v>234</v>
      </c>
      <c r="M62" s="81"/>
      <c r="N62" s="86"/>
      <c r="DS62" s="37"/>
      <c r="DV62" s="37"/>
    </row>
    <row r="63" spans="1:126" ht="15" customHeight="1" x14ac:dyDescent="0.2">
      <c r="A63" s="85"/>
      <c r="B63" s="81"/>
      <c r="C63" s="81"/>
      <c r="D63" s="81"/>
      <c r="E63" s="81"/>
      <c r="F63" s="81"/>
      <c r="G63" s="81"/>
      <c r="H63" s="99" t="s">
        <v>238</v>
      </c>
      <c r="I63" s="145" t="s">
        <v>175</v>
      </c>
      <c r="J63" s="145" t="s">
        <v>176</v>
      </c>
      <c r="K63" s="145" t="s">
        <v>177</v>
      </c>
      <c r="L63" s="145" t="s">
        <v>150</v>
      </c>
      <c r="M63" s="81"/>
      <c r="N63" s="86"/>
    </row>
    <row r="64" spans="1:126" ht="15" customHeight="1" x14ac:dyDescent="0.2">
      <c r="A64" s="85"/>
      <c r="B64" s="81"/>
      <c r="C64" s="81"/>
      <c r="D64" s="81"/>
      <c r="E64" s="81"/>
      <c r="F64" s="81"/>
      <c r="G64" s="81"/>
      <c r="H64" s="135" t="s">
        <v>14</v>
      </c>
      <c r="I64" s="146">
        <f>VLOOKUP($H64,$H$46:$L$53,5,TRUE())*I60</f>
        <v>24000</v>
      </c>
      <c r="J64" s="146">
        <f>VLOOKUP($H64,$H$46:$L$53,5,TRUE())*J60</f>
        <v>34526.607962028604</v>
      </c>
      <c r="K64" s="146">
        <f>VLOOKUP($H64,$H$46:$L$53,5,TRUE())*K60</f>
        <v>49670.277390150397</v>
      </c>
      <c r="L64" s="146">
        <f>VLOOKUP($H64,$H$46:$L$53,5,TRUE())*L60</f>
        <v>71456.091450622203</v>
      </c>
      <c r="M64" s="81"/>
      <c r="N64" s="86"/>
    </row>
    <row r="65" spans="1:14" ht="15" customHeight="1" x14ac:dyDescent="0.2">
      <c r="A65" s="85"/>
      <c r="B65" s="81"/>
      <c r="C65" s="81"/>
      <c r="D65" s="81"/>
      <c r="E65" s="81"/>
      <c r="F65" s="81"/>
      <c r="G65" s="81"/>
      <c r="H65" s="135" t="s">
        <v>20</v>
      </c>
      <c r="I65" s="146">
        <f>VLOOKUP($H65,$H$46:$L$53,5,TRUE())*I57</f>
        <v>327</v>
      </c>
      <c r="J65" s="146">
        <f>VLOOKUP($H65,$H$46:$L$53,5,TRUE())*J57</f>
        <v>592.26997228020025</v>
      </c>
      <c r="K65" s="146">
        <f>VLOOKUP($H65,$H$46:$L$53,5,TRUE())*K57</f>
        <v>1072.7330888831475</v>
      </c>
      <c r="L65" s="146">
        <f>VLOOKUP($H65,$H$46:$L$53,5,TRUE())*L57</f>
        <v>1942.9590116724012</v>
      </c>
      <c r="M65" s="81"/>
      <c r="N65" s="86"/>
    </row>
    <row r="66" spans="1:14" ht="15" customHeight="1" x14ac:dyDescent="0.2">
      <c r="A66" s="85"/>
      <c r="B66" s="81"/>
      <c r="C66" s="81"/>
      <c r="D66" s="81"/>
      <c r="E66" s="81"/>
      <c r="F66" s="81"/>
      <c r="G66" s="81"/>
      <c r="H66" s="135" t="s">
        <v>23</v>
      </c>
      <c r="I66" s="146">
        <f t="shared" ref="I66:L67" si="37">VLOOKUP($H66,$H$46:$L$53,5,TRUE())*I59</f>
        <v>75</v>
      </c>
      <c r="J66" s="146">
        <f t="shared" si="37"/>
        <v>113.41344766289761</v>
      </c>
      <c r="K66" s="146">
        <f t="shared" si="37"/>
        <v>171.50146814379823</v>
      </c>
      <c r="L66" s="146">
        <f t="shared" si="37"/>
        <v>259.34097041915584</v>
      </c>
      <c r="M66" s="81"/>
      <c r="N66" s="86"/>
    </row>
    <row r="67" spans="1:14" ht="15" customHeight="1" x14ac:dyDescent="0.2">
      <c r="A67" s="85"/>
      <c r="B67" s="81"/>
      <c r="C67" s="81"/>
      <c r="D67" s="81"/>
      <c r="E67" s="81"/>
      <c r="F67" s="81"/>
      <c r="G67" s="81"/>
      <c r="H67" s="135" t="s">
        <v>24</v>
      </c>
      <c r="I67" s="146">
        <f t="shared" si="37"/>
        <v>960.00000000000011</v>
      </c>
      <c r="J67" s="146">
        <f t="shared" si="37"/>
        <v>1381.064318481144</v>
      </c>
      <c r="K67" s="146">
        <f t="shared" si="37"/>
        <v>1986.8110956060161</v>
      </c>
      <c r="L67" s="146">
        <f t="shared" si="37"/>
        <v>2858.2436580248882</v>
      </c>
      <c r="M67" s="81"/>
      <c r="N67" s="86"/>
    </row>
    <row r="68" spans="1:14" ht="54.75" customHeight="1" x14ac:dyDescent="0.2">
      <c r="A68" s="85"/>
      <c r="B68" s="81"/>
      <c r="C68" s="81"/>
      <c r="D68" s="81"/>
      <c r="E68" s="81"/>
      <c r="F68" s="81"/>
      <c r="G68" s="81"/>
      <c r="H68" s="135" t="s">
        <v>40</v>
      </c>
      <c r="I68" s="146">
        <f>VLOOKUP($H68,$H$46:$L$53,5,TRUE())*I58</f>
        <v>3120</v>
      </c>
      <c r="J68" s="146">
        <f>VLOOKUP($H68,$H$46:$L$53,5,TRUE())*J58</f>
        <v>3680.3883495145633</v>
      </c>
      <c r="K68" s="146">
        <f>VLOOKUP($H68,$H$46:$L$53,5,TRUE())*K58</f>
        <v>2514.1747572815534</v>
      </c>
      <c r="L68" s="146">
        <f>VLOOKUP($H68,$H$46:$L$53,5,TRUE())*L58</f>
        <v>3260.7767568838194</v>
      </c>
      <c r="M68" s="81"/>
      <c r="N68" s="86"/>
    </row>
    <row r="69" spans="1:14" ht="15" customHeight="1" x14ac:dyDescent="0.2">
      <c r="A69" s="85"/>
      <c r="B69" s="81"/>
      <c r="C69" s="81"/>
      <c r="D69" s="81"/>
      <c r="E69" s="81"/>
      <c r="F69" s="81"/>
      <c r="G69" s="81"/>
      <c r="H69" s="135" t="s">
        <v>44</v>
      </c>
      <c r="I69" s="146">
        <f t="shared" ref="I69:L70" si="38">VLOOKUP($H69,$H$46:$L$53,5,TRUE())*I58</f>
        <v>562</v>
      </c>
      <c r="J69" s="146">
        <f t="shared" si="38"/>
        <v>662.94174757281553</v>
      </c>
      <c r="K69" s="146">
        <f t="shared" si="38"/>
        <v>452.873786407767</v>
      </c>
      <c r="L69" s="146">
        <f t="shared" si="38"/>
        <v>587.35786454125207</v>
      </c>
      <c r="M69" s="81"/>
      <c r="N69" s="86"/>
    </row>
    <row r="70" spans="1:14" ht="21" customHeight="1" x14ac:dyDescent="0.2">
      <c r="A70" s="85"/>
      <c r="B70" s="81"/>
      <c r="C70" s="81"/>
      <c r="D70" s="81"/>
      <c r="E70" s="81"/>
      <c r="F70" s="81"/>
      <c r="G70" s="81"/>
      <c r="H70" s="135" t="s">
        <v>52</v>
      </c>
      <c r="I70" s="146">
        <f t="shared" si="38"/>
        <v>595238.48788326397</v>
      </c>
      <c r="J70" s="146">
        <f t="shared" si="38"/>
        <v>900107.32123321155</v>
      </c>
      <c r="K70" s="146">
        <f t="shared" si="38"/>
        <v>1361123.660902323</v>
      </c>
      <c r="L70" s="146">
        <f t="shared" si="38"/>
        <v>2058263.0277130215</v>
      </c>
      <c r="M70" s="81"/>
      <c r="N70" s="86"/>
    </row>
    <row r="71" spans="1:14" ht="15" customHeight="1" x14ac:dyDescent="0.2">
      <c r="A71" s="85"/>
      <c r="B71" s="81"/>
      <c r="C71" s="81"/>
      <c r="D71" s="81"/>
      <c r="E71" s="81"/>
      <c r="F71" s="81"/>
      <c r="G71" s="81"/>
      <c r="H71" s="81"/>
      <c r="I71" s="81"/>
      <c r="J71" s="81"/>
      <c r="K71" s="81"/>
      <c r="L71" s="81"/>
      <c r="M71" s="81"/>
      <c r="N71" s="86"/>
    </row>
    <row r="72" spans="1:14" ht="15" customHeight="1" x14ac:dyDescent="0.2">
      <c r="A72" s="85"/>
      <c r="B72" s="81"/>
      <c r="C72" s="81"/>
      <c r="D72" s="81"/>
      <c r="E72" s="81"/>
      <c r="F72" s="81"/>
      <c r="H72" s="81"/>
      <c r="I72" s="81"/>
      <c r="J72" s="81"/>
      <c r="K72" s="81"/>
      <c r="L72" s="81"/>
      <c r="M72" s="81"/>
      <c r="N72" s="86"/>
    </row>
    <row r="73" spans="1:14" ht="15" customHeight="1" thickBot="1" x14ac:dyDescent="0.25">
      <c r="A73" s="147" t="s">
        <v>239</v>
      </c>
      <c r="B73" s="81"/>
      <c r="C73" s="81"/>
      <c r="D73" s="81"/>
      <c r="E73" s="81"/>
      <c r="F73" s="81"/>
      <c r="G73" s="81"/>
      <c r="H73" s="81"/>
      <c r="I73" s="81"/>
      <c r="J73" s="81"/>
      <c r="K73" s="81"/>
      <c r="L73" s="81"/>
      <c r="M73" s="81"/>
      <c r="N73" s="86"/>
    </row>
    <row r="74" spans="1:14" ht="15" customHeight="1" x14ac:dyDescent="0.2">
      <c r="A74" s="85"/>
      <c r="B74" s="81"/>
      <c r="C74" s="81"/>
      <c r="D74" s="81"/>
      <c r="E74" s="81"/>
      <c r="F74" s="81"/>
      <c r="G74" s="81"/>
      <c r="H74" s="81"/>
      <c r="I74" s="81"/>
      <c r="J74" s="81"/>
      <c r="K74" s="81"/>
      <c r="L74" s="81"/>
      <c r="M74" s="81"/>
      <c r="N74" s="86"/>
    </row>
    <row r="75" spans="1:14" ht="15" customHeight="1" thickBot="1" x14ac:dyDescent="0.25">
      <c r="A75" s="148"/>
      <c r="B75" s="87"/>
      <c r="C75" s="87"/>
      <c r="D75" s="87"/>
      <c r="E75" s="87"/>
      <c r="F75" s="87"/>
      <c r="G75" s="87"/>
      <c r="H75" s="87"/>
      <c r="I75" s="87"/>
      <c r="J75" s="87"/>
      <c r="K75" s="87"/>
      <c r="L75" s="87"/>
      <c r="M75" s="87"/>
      <c r="N75" s="88"/>
    </row>
  </sheetData>
  <mergeCells count="8">
    <mergeCell ref="A43:N43"/>
    <mergeCell ref="HX1:HX2"/>
    <mergeCell ref="HY1:HY2"/>
    <mergeCell ref="DJ1:HN1"/>
    <mergeCell ref="HW1:HW2"/>
    <mergeCell ref="C1:DG1"/>
    <mergeCell ref="HS1:HU1"/>
    <mergeCell ref="HP1:HR1"/>
  </mergeCells>
  <conditionalFormatting sqref="B23">
    <cfRule type="colorScale" priority="1">
      <colorScale>
        <cfvo type="min"/>
        <cfvo type="percentile" val="50"/>
        <cfvo type="max"/>
        <color rgb="FFF8696B"/>
        <color rgb="FFFFEB84"/>
        <color rgb="FF63BE7B"/>
      </colorScale>
    </cfRule>
  </conditionalFormatting>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9</vt:i4>
      </vt:variant>
    </vt:vector>
  </HeadingPairs>
  <TitlesOfParts>
    <vt:vector size="9" baseType="lpstr">
      <vt:lpstr>Table of content</vt:lpstr>
      <vt:lpstr>Materials</vt:lpstr>
      <vt:lpstr>Material_limits</vt:lpstr>
      <vt:lpstr>RoE_Demand</vt:lpstr>
      <vt:lpstr>MiningCapacity_Calcul</vt:lpstr>
      <vt:lpstr>Reserves_Resources_RR</vt:lpstr>
      <vt:lpstr>MiningCapacity_Results</vt:lpstr>
      <vt:lpstr>Ref&amp;Hp</vt:lpstr>
      <vt:lpstr>Calcul_Prod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Pénélope Bieuville</dc:creator>
  <cp:lastModifiedBy>Paolo Guilllaume Stéphane Cren</cp:lastModifiedBy>
  <cp:revision>0</cp:revision>
  <cp:lastPrinted>2025-09-03T10:29:45Z</cp:lastPrinted>
  <dcterms:created xsi:type="dcterms:W3CDTF">2015-06-05T18:17:20Z</dcterms:created>
  <dcterms:modified xsi:type="dcterms:W3CDTF">2026-10-05T19:35:01Z</dcterms:modified>
  <dc:language>fr-FR</dc:language>
</cp:coreProperties>
</file>