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8AD72593-1778-A748-AB02-A4BA406A9E15}" xr6:coauthVersionLast="47" xr6:coauthVersionMax="47" xr10:uidLastSave="{00000000-0000-0000-0000-000000000000}"/>
  <bookViews>
    <workbookView xWindow="0" yWindow="500" windowWidth="34600" windowHeight="20820" tabRatio="500" activeTab="2" xr2:uid="{00000000-000D-0000-FFFF-FFFF00000000}"/>
  </bookViews>
  <sheets>
    <sheet name="Table of content" sheetId="1" r:id="rId1"/>
    <sheet name="Materials" sheetId="3" r:id="rId2"/>
    <sheet name="Material_limits" sheetId="2" r:id="rId3"/>
    <sheet name="MiningCapacity_Calcul" sheetId="4" r:id="rId4"/>
    <sheet name="Reserves_Resources_RR" sheetId="6" r:id="rId5"/>
    <sheet name="Fig 2. MiningCapacity_Results" sheetId="9" r:id="rId6"/>
    <sheet name="Storage_Share_Summary" sheetId="10" r:id="rId7"/>
    <sheet name="Storage_Share_by_SSP" sheetId="11" r:id="rId8"/>
    <sheet name="Storage_Share_Detail" sheetId="12" r:id="rId9"/>
    <sheet name="Ref&amp;Hp" sheetId="17" r:id="rId10"/>
    <sheet name="Calcul_Prod" sheetId="18" r:id="rId11"/>
  </sheets>
  <definedNames>
    <definedName name="_xlnm._FilterDatabase" localSheetId="5" hidden="1">'Fig 2. MiningCapacity_Results'!$A$1:$I$89</definedName>
    <definedName name="_xlnm._FilterDatabase" localSheetId="4" hidden="1">Reserves_Resources_RR!$A$1:$L$34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 i="18" l="1"/>
  <c r="J64" i="18"/>
  <c r="J63" i="18"/>
  <c r="J62" i="18"/>
  <c r="J61" i="18"/>
  <c r="J60" i="18"/>
  <c r="J59" i="18"/>
  <c r="L48" i="18"/>
  <c r="L65" i="18" s="1"/>
  <c r="L47" i="18"/>
  <c r="L64" i="18" s="1"/>
  <c r="L46" i="18"/>
  <c r="L45" i="18"/>
  <c r="L62" i="18" s="1"/>
  <c r="L44" i="18"/>
  <c r="L61" i="18" s="1"/>
  <c r="L43" i="18"/>
  <c r="L60" i="18" s="1"/>
  <c r="L42" i="18"/>
  <c r="BC40" i="18"/>
  <c r="BD40" i="18" s="1"/>
  <c r="BE40" i="18" s="1"/>
  <c r="BF40" i="18" s="1"/>
  <c r="BG40" i="18" s="1"/>
  <c r="BH40" i="18" s="1"/>
  <c r="BI40" i="18" s="1"/>
  <c r="BJ40" i="18" s="1"/>
  <c r="BA40" i="18"/>
  <c r="BB40" i="18" s="1"/>
  <c r="HN35" i="18"/>
  <c r="HM35" i="18"/>
  <c r="HL35" i="18"/>
  <c r="HK35" i="18"/>
  <c r="HJ35" i="18"/>
  <c r="HI35" i="18"/>
  <c r="HH35" i="18"/>
  <c r="HG35" i="18"/>
  <c r="HF35" i="18"/>
  <c r="HE35" i="18"/>
  <c r="HD35" i="18"/>
  <c r="HC35" i="18"/>
  <c r="HB35" i="18"/>
  <c r="HA35" i="18"/>
  <c r="GZ35" i="18"/>
  <c r="GY35" i="18"/>
  <c r="GX35" i="18"/>
  <c r="GW35" i="18"/>
  <c r="GV35" i="18"/>
  <c r="GU35" i="18"/>
  <c r="GT35" i="18"/>
  <c r="GS35" i="18"/>
  <c r="GR35" i="18"/>
  <c r="GQ35" i="18"/>
  <c r="GP35" i="18"/>
  <c r="GO35" i="18"/>
  <c r="GN35" i="18"/>
  <c r="GM35" i="18"/>
  <c r="GL35" i="18"/>
  <c r="GK35" i="18"/>
  <c r="GJ35" i="18"/>
  <c r="GI35" i="18"/>
  <c r="GH35" i="18"/>
  <c r="GG35" i="18"/>
  <c r="GF35" i="18"/>
  <c r="GE35" i="18"/>
  <c r="GD35" i="18"/>
  <c r="GC35" i="18"/>
  <c r="GB35" i="18"/>
  <c r="GA35" i="18"/>
  <c r="FZ35" i="18"/>
  <c r="FY35" i="18"/>
  <c r="FX35" i="18"/>
  <c r="FW35" i="18"/>
  <c r="FV35" i="18"/>
  <c r="FU35" i="18"/>
  <c r="FT35" i="18"/>
  <c r="FS35" i="18"/>
  <c r="FR35" i="18"/>
  <c r="FQ35" i="18"/>
  <c r="FP35" i="18"/>
  <c r="FO35" i="18"/>
  <c r="FN35" i="18"/>
  <c r="FM35" i="18"/>
  <c r="FL35" i="18"/>
  <c r="FK35" i="18"/>
  <c r="FJ35" i="18"/>
  <c r="FI35" i="18"/>
  <c r="FH35" i="18"/>
  <c r="FG35" i="18"/>
  <c r="FF35" i="18"/>
  <c r="FE35" i="18"/>
  <c r="FD35" i="18"/>
  <c r="FC35" i="18"/>
  <c r="FB35" i="18"/>
  <c r="FA35" i="18"/>
  <c r="EZ35" i="18"/>
  <c r="EY35" i="18"/>
  <c r="EX35" i="18"/>
  <c r="EW35" i="18"/>
  <c r="EV35" i="18"/>
  <c r="EU35" i="18"/>
  <c r="ET35" i="18"/>
  <c r="ES35" i="18"/>
  <c r="ER35" i="18"/>
  <c r="EQ35" i="18"/>
  <c r="EP35" i="18"/>
  <c r="EO35" i="18"/>
  <c r="EN35" i="18"/>
  <c r="EM35" i="18"/>
  <c r="EL35" i="18"/>
  <c r="EK35" i="18"/>
  <c r="EJ35" i="18"/>
  <c r="EI35" i="18"/>
  <c r="EH35" i="18"/>
  <c r="EG35" i="18"/>
  <c r="EF35" i="18"/>
  <c r="EE35" i="18"/>
  <c r="ED35" i="18"/>
  <c r="EC35" i="18"/>
  <c r="EB35" i="18"/>
  <c r="EA35" i="18"/>
  <c r="DZ35" i="18"/>
  <c r="DY35" i="18"/>
  <c r="DX35" i="18"/>
  <c r="DW35" i="18"/>
  <c r="DV35" i="18"/>
  <c r="DU35" i="18"/>
  <c r="DT35" i="18"/>
  <c r="DS35" i="18"/>
  <c r="HP35" i="18" s="1"/>
  <c r="DR35" i="18"/>
  <c r="HS35" i="18" s="1"/>
  <c r="HN32" i="18"/>
  <c r="HM32" i="18"/>
  <c r="HL32" i="18"/>
  <c r="HK32" i="18"/>
  <c r="HJ32" i="18"/>
  <c r="HI32" i="18"/>
  <c r="HH32" i="18"/>
  <c r="HG32" i="18"/>
  <c r="HF32" i="18"/>
  <c r="HE32" i="18"/>
  <c r="HD32" i="18"/>
  <c r="HC32" i="18"/>
  <c r="HB32" i="18"/>
  <c r="HA32" i="18"/>
  <c r="GZ32" i="18"/>
  <c r="GY32" i="18"/>
  <c r="GX32" i="18"/>
  <c r="GW32" i="18"/>
  <c r="GV32" i="18"/>
  <c r="GU32" i="18"/>
  <c r="GT32" i="18"/>
  <c r="GS32" i="18"/>
  <c r="GR32" i="18"/>
  <c r="GQ32" i="18"/>
  <c r="GP32" i="18"/>
  <c r="GO32" i="18"/>
  <c r="GN32" i="18"/>
  <c r="GM32" i="18"/>
  <c r="GL32" i="18"/>
  <c r="GK32" i="18"/>
  <c r="GJ32" i="18"/>
  <c r="GI32" i="18"/>
  <c r="GH32" i="18"/>
  <c r="GG32" i="18"/>
  <c r="GF32" i="18"/>
  <c r="GE32" i="18"/>
  <c r="GD32" i="18"/>
  <c r="GC32" i="18"/>
  <c r="GB32" i="18"/>
  <c r="GA32" i="18"/>
  <c r="FZ32" i="18"/>
  <c r="FY32" i="18"/>
  <c r="FX32" i="18"/>
  <c r="FW32" i="18"/>
  <c r="FV32" i="18"/>
  <c r="FU32" i="18"/>
  <c r="FT32" i="18"/>
  <c r="FS32" i="18"/>
  <c r="FR32" i="18"/>
  <c r="FQ32" i="18"/>
  <c r="FP32" i="18"/>
  <c r="FO32" i="18"/>
  <c r="FN32" i="18"/>
  <c r="FM32" i="18"/>
  <c r="FL32" i="18"/>
  <c r="FK32" i="18"/>
  <c r="FJ32" i="18"/>
  <c r="FI32" i="18"/>
  <c r="FH32" i="18"/>
  <c r="FG32" i="18"/>
  <c r="FF32" i="18"/>
  <c r="FE32" i="18"/>
  <c r="FD32" i="18"/>
  <c r="FC32" i="18"/>
  <c r="FB32" i="18"/>
  <c r="FA32" i="18"/>
  <c r="EZ32" i="18"/>
  <c r="EY32" i="18"/>
  <c r="EX32" i="18"/>
  <c r="EW32" i="18"/>
  <c r="EV32" i="18"/>
  <c r="EU32" i="18"/>
  <c r="ET32" i="18"/>
  <c r="ES32" i="18"/>
  <c r="ER32" i="18"/>
  <c r="EQ32" i="18"/>
  <c r="EP32" i="18"/>
  <c r="EO32" i="18"/>
  <c r="EN32" i="18"/>
  <c r="EM32" i="18"/>
  <c r="EL32" i="18"/>
  <c r="EK32" i="18"/>
  <c r="EJ32" i="18"/>
  <c r="EI32" i="18"/>
  <c r="EH32" i="18"/>
  <c r="HS32" i="18" s="1"/>
  <c r="EG32" i="18"/>
  <c r="HP32" i="18" s="1"/>
  <c r="HS31" i="18"/>
  <c r="HN31" i="18"/>
  <c r="HM31" i="18"/>
  <c r="HL31" i="18"/>
  <c r="HK31" i="18"/>
  <c r="HJ31" i="18"/>
  <c r="HI31" i="18"/>
  <c r="HH31" i="18"/>
  <c r="HG31" i="18"/>
  <c r="HF31" i="18"/>
  <c r="HE31" i="18"/>
  <c r="HD31" i="18"/>
  <c r="HC31" i="18"/>
  <c r="HB31" i="18"/>
  <c r="HA31" i="18"/>
  <c r="GZ31" i="18"/>
  <c r="GY31" i="18"/>
  <c r="GX31" i="18"/>
  <c r="GW31" i="18"/>
  <c r="GV31" i="18"/>
  <c r="GU31" i="18"/>
  <c r="GT31" i="18"/>
  <c r="GS31" i="18"/>
  <c r="GR31" i="18"/>
  <c r="GQ31" i="18"/>
  <c r="GP31" i="18"/>
  <c r="GO31" i="18"/>
  <c r="GN31" i="18"/>
  <c r="GM31" i="18"/>
  <c r="GL31" i="18"/>
  <c r="GK31" i="18"/>
  <c r="GJ31" i="18"/>
  <c r="GI31" i="18"/>
  <c r="HU31" i="18" s="1"/>
  <c r="GH31" i="18"/>
  <c r="GG31" i="18"/>
  <c r="GF31" i="18"/>
  <c r="GE31" i="18"/>
  <c r="GD31" i="18"/>
  <c r="GC31" i="18"/>
  <c r="GB31" i="18"/>
  <c r="GA31" i="18"/>
  <c r="FZ31" i="18"/>
  <c r="FY31" i="18"/>
  <c r="FX31" i="18"/>
  <c r="FW31" i="18"/>
  <c r="FV31" i="18"/>
  <c r="FU31" i="18"/>
  <c r="FT31" i="18"/>
  <c r="FS31" i="18"/>
  <c r="FR31" i="18"/>
  <c r="FQ31" i="18"/>
  <c r="FP31" i="18"/>
  <c r="FO31" i="18"/>
  <c r="FN31" i="18"/>
  <c r="FM31" i="18"/>
  <c r="FL31" i="18"/>
  <c r="FK31" i="18"/>
  <c r="FJ31" i="18"/>
  <c r="FI31" i="18"/>
  <c r="FH31" i="18"/>
  <c r="FG31" i="18"/>
  <c r="FF31" i="18"/>
  <c r="FE31" i="18"/>
  <c r="FD31" i="18"/>
  <c r="FC31" i="18"/>
  <c r="FB31" i="18"/>
  <c r="FA31" i="18"/>
  <c r="EZ31" i="18"/>
  <c r="EY31" i="18"/>
  <c r="EX31" i="18"/>
  <c r="EW31" i="18"/>
  <c r="EV31" i="18"/>
  <c r="EU31" i="18"/>
  <c r="ET31" i="18"/>
  <c r="ES31" i="18"/>
  <c r="ER31" i="18"/>
  <c r="EQ31" i="18"/>
  <c r="EP31" i="18"/>
  <c r="EO31" i="18"/>
  <c r="EN31" i="18"/>
  <c r="EM31" i="18"/>
  <c r="EL31" i="18"/>
  <c r="EK31" i="18"/>
  <c r="EJ31" i="18"/>
  <c r="EI31" i="18"/>
  <c r="EH31" i="18"/>
  <c r="EG31" i="18"/>
  <c r="EF31" i="18"/>
  <c r="EE31" i="18"/>
  <c r="ED31" i="18"/>
  <c r="EC31" i="18"/>
  <c r="EB31" i="18"/>
  <c r="EA31" i="18"/>
  <c r="DZ31" i="18"/>
  <c r="DY31" i="18"/>
  <c r="DX31" i="18"/>
  <c r="DW31" i="18"/>
  <c r="DV31" i="18"/>
  <c r="DU31" i="18"/>
  <c r="DT31" i="18"/>
  <c r="DS31" i="18"/>
  <c r="DR31" i="18"/>
  <c r="HP31" i="18" s="1"/>
  <c r="HM30" i="18"/>
  <c r="HL30" i="18"/>
  <c r="HK30" i="18"/>
  <c r="HJ30" i="18"/>
  <c r="HI30" i="18"/>
  <c r="HH30" i="18"/>
  <c r="HG30" i="18"/>
  <c r="HF30" i="18"/>
  <c r="HE30" i="18"/>
  <c r="HD30" i="18"/>
  <c r="HC30" i="18"/>
  <c r="HB30" i="18"/>
  <c r="HA30" i="18"/>
  <c r="GZ30" i="18"/>
  <c r="GY30" i="18"/>
  <c r="GX30" i="18"/>
  <c r="GW30" i="18"/>
  <c r="GV30" i="18"/>
  <c r="GU30" i="18"/>
  <c r="GT30" i="18"/>
  <c r="GS30" i="18"/>
  <c r="GR30" i="18"/>
  <c r="GQ30" i="18"/>
  <c r="GP30" i="18"/>
  <c r="GO30" i="18"/>
  <c r="GN30" i="18"/>
  <c r="GM30" i="18"/>
  <c r="GL30" i="18"/>
  <c r="GK30" i="18"/>
  <c r="GJ30" i="18"/>
  <c r="HR30" i="18" s="1"/>
  <c r="GI30" i="18"/>
  <c r="GH30" i="18"/>
  <c r="GG30" i="18"/>
  <c r="GF30" i="18"/>
  <c r="GE30" i="18"/>
  <c r="GD30" i="18"/>
  <c r="GC30" i="18"/>
  <c r="GB30" i="18"/>
  <c r="GA30" i="18"/>
  <c r="FZ30" i="18"/>
  <c r="FY30" i="18"/>
  <c r="FX30" i="18"/>
  <c r="FW30" i="18"/>
  <c r="FV30" i="18"/>
  <c r="FU30" i="18"/>
  <c r="HN29" i="18"/>
  <c r="HM29" i="18"/>
  <c r="HL29" i="18"/>
  <c r="HK29" i="18"/>
  <c r="HJ29" i="18"/>
  <c r="HI29" i="18"/>
  <c r="HH29" i="18"/>
  <c r="HG29" i="18"/>
  <c r="HF29" i="18"/>
  <c r="HE29" i="18"/>
  <c r="HD29" i="18"/>
  <c r="HC29" i="18"/>
  <c r="HB29" i="18"/>
  <c r="HA29" i="18"/>
  <c r="GZ29" i="18"/>
  <c r="GY29" i="18"/>
  <c r="GX29" i="18"/>
  <c r="GW29" i="18"/>
  <c r="GV29" i="18"/>
  <c r="GU29" i="18"/>
  <c r="GT29" i="18"/>
  <c r="GS29" i="18"/>
  <c r="GR29" i="18"/>
  <c r="GQ29" i="18"/>
  <c r="GP29" i="18"/>
  <c r="GO29" i="18"/>
  <c r="GN29" i="18"/>
  <c r="GM29" i="18"/>
  <c r="GL29" i="18"/>
  <c r="GK29" i="18"/>
  <c r="GJ29" i="18"/>
  <c r="HQ29" i="18" s="1"/>
  <c r="GI29" i="18"/>
  <c r="GH29" i="18"/>
  <c r="GG29" i="18"/>
  <c r="GF29" i="18"/>
  <c r="GE29" i="18"/>
  <c r="GD29" i="18"/>
  <c r="GC29" i="18"/>
  <c r="GB29" i="18"/>
  <c r="GA29" i="18"/>
  <c r="FZ29" i="18"/>
  <c r="FY29" i="18"/>
  <c r="FX29" i="18"/>
  <c r="FW29" i="18"/>
  <c r="FV29" i="18"/>
  <c r="FU29" i="18"/>
  <c r="FT29" i="18"/>
  <c r="FS29" i="18"/>
  <c r="FR29" i="18"/>
  <c r="FQ29" i="18"/>
  <c r="FP29" i="18"/>
  <c r="FO29" i="18"/>
  <c r="FN29" i="18"/>
  <c r="FM29" i="18"/>
  <c r="FL29" i="18"/>
  <c r="FK29" i="18"/>
  <c r="FJ29" i="18"/>
  <c r="FI29" i="18"/>
  <c r="FH29" i="18"/>
  <c r="FG29" i="18"/>
  <c r="FF29" i="18"/>
  <c r="FE29" i="18"/>
  <c r="FD29" i="18"/>
  <c r="FC29" i="18"/>
  <c r="FB29" i="18"/>
  <c r="FA29" i="18"/>
  <c r="EZ29" i="18"/>
  <c r="EY29" i="18"/>
  <c r="EX29" i="18"/>
  <c r="EW29" i="18"/>
  <c r="EV29" i="18"/>
  <c r="EU29" i="18"/>
  <c r="ET29" i="18"/>
  <c r="ES29" i="18"/>
  <c r="ER29" i="18"/>
  <c r="EQ29" i="18"/>
  <c r="EP29" i="18"/>
  <c r="EO29" i="18"/>
  <c r="EN29" i="18"/>
  <c r="EM29" i="18"/>
  <c r="EL29" i="18"/>
  <c r="EK29" i="18"/>
  <c r="EJ29" i="18"/>
  <c r="EI29" i="18"/>
  <c r="EH29" i="18"/>
  <c r="EG29" i="18"/>
  <c r="EF29" i="18"/>
  <c r="EE29" i="18"/>
  <c r="ED29" i="18"/>
  <c r="EC29" i="18"/>
  <c r="EB29" i="18"/>
  <c r="EA29" i="18"/>
  <c r="DZ29" i="18"/>
  <c r="DY29" i="18"/>
  <c r="DX29" i="18"/>
  <c r="DW29" i="18"/>
  <c r="DV29" i="18"/>
  <c r="DU29" i="18"/>
  <c r="DT29" i="18"/>
  <c r="DS29" i="18"/>
  <c r="DR29" i="18"/>
  <c r="HM28" i="18"/>
  <c r="HC28" i="18"/>
  <c r="GS28" i="18"/>
  <c r="GI28" i="18"/>
  <c r="FY28" i="18"/>
  <c r="FO28" i="18"/>
  <c r="FE28" i="18"/>
  <c r="EU28" i="18"/>
  <c r="HP28" i="18" s="1"/>
  <c r="EK28" i="18"/>
  <c r="EA28" i="18"/>
  <c r="DQ28" i="18"/>
  <c r="HX27" i="18"/>
  <c r="HN27" i="18"/>
  <c r="HM27" i="18"/>
  <c r="HL27" i="18"/>
  <c r="HK27" i="18"/>
  <c r="HJ27" i="18"/>
  <c r="HI27" i="18"/>
  <c r="HH27" i="18"/>
  <c r="HG27" i="18"/>
  <c r="HF27" i="18"/>
  <c r="HE27" i="18"/>
  <c r="HD27" i="18"/>
  <c r="HC27" i="18"/>
  <c r="HB27" i="18"/>
  <c r="HA27" i="18"/>
  <c r="GZ27" i="18"/>
  <c r="GY27" i="18"/>
  <c r="GX27" i="18"/>
  <c r="GW27" i="18"/>
  <c r="GV27" i="18"/>
  <c r="GU27" i="18"/>
  <c r="GT27" i="18"/>
  <c r="GS27" i="18"/>
  <c r="GR27" i="18"/>
  <c r="GQ27" i="18"/>
  <c r="GP27" i="18"/>
  <c r="GO27" i="18"/>
  <c r="GN27" i="18"/>
  <c r="GM27" i="18"/>
  <c r="GL27" i="18"/>
  <c r="GK27" i="18"/>
  <c r="HR27" i="18" s="1"/>
  <c r="GJ27" i="18"/>
  <c r="HU27" i="18" s="1"/>
  <c r="GI27" i="18"/>
  <c r="GH27" i="18"/>
  <c r="GG27" i="18"/>
  <c r="GF27" i="18"/>
  <c r="GE27" i="18"/>
  <c r="GD27" i="18"/>
  <c r="GC27" i="18"/>
  <c r="GB27" i="18"/>
  <c r="HP27" i="18" s="1"/>
  <c r="HM26" i="18"/>
  <c r="HL26" i="18"/>
  <c r="HK26" i="18"/>
  <c r="HJ26" i="18"/>
  <c r="HI26" i="18"/>
  <c r="HH26" i="18"/>
  <c r="HG26" i="18"/>
  <c r="HF26" i="18"/>
  <c r="HE26" i="18"/>
  <c r="HD26" i="18"/>
  <c r="HC26" i="18"/>
  <c r="HB26" i="18"/>
  <c r="HA26" i="18"/>
  <c r="GZ26" i="18"/>
  <c r="GY26" i="18"/>
  <c r="GX26" i="18"/>
  <c r="GW26" i="18"/>
  <c r="GV26" i="18"/>
  <c r="GU26" i="18"/>
  <c r="GT26" i="18"/>
  <c r="GS26" i="18"/>
  <c r="GR26" i="18"/>
  <c r="GQ26" i="18"/>
  <c r="GP26" i="18"/>
  <c r="GO26" i="18"/>
  <c r="GN26" i="18"/>
  <c r="GM26" i="18"/>
  <c r="GL26" i="18"/>
  <c r="GK26" i="18"/>
  <c r="GJ26" i="18"/>
  <c r="HR26" i="18" s="1"/>
  <c r="GI26" i="18"/>
  <c r="HU26" i="18" s="1"/>
  <c r="GH26" i="18"/>
  <c r="GG26" i="18"/>
  <c r="GF26" i="18"/>
  <c r="GE26" i="18"/>
  <c r="GD26" i="18"/>
  <c r="GC26" i="18"/>
  <c r="GB26" i="18"/>
  <c r="GA26" i="18"/>
  <c r="FZ26" i="18"/>
  <c r="FY26" i="18"/>
  <c r="FX26" i="18"/>
  <c r="FW26" i="18"/>
  <c r="FV26" i="18"/>
  <c r="FU26" i="18"/>
  <c r="HP26" i="18" s="1"/>
  <c r="HR25" i="18"/>
  <c r="HN25" i="18"/>
  <c r="HM25" i="18"/>
  <c r="HL25" i="18"/>
  <c r="HK25" i="18"/>
  <c r="HJ25" i="18"/>
  <c r="HI25" i="18"/>
  <c r="HH25" i="18"/>
  <c r="HG25" i="18"/>
  <c r="HF25" i="18"/>
  <c r="HE25" i="18"/>
  <c r="HD25" i="18"/>
  <c r="HC25" i="18"/>
  <c r="HB25" i="18"/>
  <c r="HA25" i="18"/>
  <c r="GZ25" i="18"/>
  <c r="GY25" i="18"/>
  <c r="GX25" i="18"/>
  <c r="GW25" i="18"/>
  <c r="GV25" i="18"/>
  <c r="GU25" i="18"/>
  <c r="GT25" i="18"/>
  <c r="GS25" i="18"/>
  <c r="GR25" i="18"/>
  <c r="GQ25" i="18"/>
  <c r="GP25" i="18"/>
  <c r="GO25" i="18"/>
  <c r="GN25" i="18"/>
  <c r="GM25" i="18"/>
  <c r="GL25" i="18"/>
  <c r="GK25" i="18"/>
  <c r="GJ25" i="18"/>
  <c r="HU25" i="18" s="1"/>
  <c r="GI25" i="18"/>
  <c r="HT25" i="18" s="1"/>
  <c r="GH25" i="18"/>
  <c r="GG25" i="18"/>
  <c r="GF25" i="18"/>
  <c r="GE25" i="18"/>
  <c r="GD25" i="18"/>
  <c r="GC25" i="18"/>
  <c r="GB25" i="18"/>
  <c r="GA25" i="18"/>
  <c r="FZ25" i="18"/>
  <c r="FY25" i="18"/>
  <c r="FX25" i="18"/>
  <c r="FW25" i="18"/>
  <c r="FV25" i="18"/>
  <c r="FU25" i="18"/>
  <c r="FT25" i="18"/>
  <c r="FS25" i="18"/>
  <c r="FR25" i="18"/>
  <c r="FQ25" i="18"/>
  <c r="FP25" i="18"/>
  <c r="FO25" i="18"/>
  <c r="FN25" i="18"/>
  <c r="FM25" i="18"/>
  <c r="FL25" i="18"/>
  <c r="FK25" i="18"/>
  <c r="FJ25" i="18"/>
  <c r="FI25" i="18"/>
  <c r="FH25" i="18"/>
  <c r="FG25" i="18"/>
  <c r="FF25" i="18"/>
  <c r="FE25" i="18"/>
  <c r="FD25" i="18"/>
  <c r="FC25" i="18"/>
  <c r="FB25" i="18"/>
  <c r="FA25" i="18"/>
  <c r="EZ25" i="18"/>
  <c r="EY25" i="18"/>
  <c r="EX25" i="18"/>
  <c r="EW25" i="18"/>
  <c r="EV25" i="18"/>
  <c r="EU25" i="18"/>
  <c r="ET25" i="18"/>
  <c r="ES25" i="18"/>
  <c r="ER25" i="18"/>
  <c r="EQ25" i="18"/>
  <c r="EP25" i="18"/>
  <c r="EO25" i="18"/>
  <c r="EN25" i="18"/>
  <c r="EM25" i="18"/>
  <c r="EL25" i="18"/>
  <c r="EK25" i="18"/>
  <c r="EJ25" i="18"/>
  <c r="EI25" i="18"/>
  <c r="EH25" i="18"/>
  <c r="EG25" i="18"/>
  <c r="HN24" i="18"/>
  <c r="HM24" i="18"/>
  <c r="HL24" i="18"/>
  <c r="HK24" i="18"/>
  <c r="HJ24" i="18"/>
  <c r="HI24" i="18"/>
  <c r="HH24" i="18"/>
  <c r="HG24" i="18"/>
  <c r="HF24" i="18"/>
  <c r="HE24" i="18"/>
  <c r="HD24" i="18"/>
  <c r="HC24" i="18"/>
  <c r="HB24" i="18"/>
  <c r="HA24" i="18"/>
  <c r="HR24" i="18" s="1"/>
  <c r="GZ24" i="18"/>
  <c r="GY24" i="18"/>
  <c r="HN23" i="18"/>
  <c r="HM23" i="18"/>
  <c r="HL23" i="18"/>
  <c r="HK23" i="18"/>
  <c r="HJ23" i="18"/>
  <c r="HI23" i="18"/>
  <c r="HH23" i="18"/>
  <c r="HG23" i="18"/>
  <c r="HF23" i="18"/>
  <c r="HE23" i="18"/>
  <c r="HD23" i="18"/>
  <c r="HC23" i="18"/>
  <c r="HB23" i="18"/>
  <c r="HA23" i="18"/>
  <c r="GZ23" i="18"/>
  <c r="GY23" i="18"/>
  <c r="GX23" i="18"/>
  <c r="GW23" i="18"/>
  <c r="GV23" i="18"/>
  <c r="GU23" i="18"/>
  <c r="GT23" i="18"/>
  <c r="GS23" i="18"/>
  <c r="GR23" i="18"/>
  <c r="GQ23" i="18"/>
  <c r="GP23" i="18"/>
  <c r="GO23" i="18"/>
  <c r="GN23" i="18"/>
  <c r="GM23" i="18"/>
  <c r="GL23" i="18"/>
  <c r="GK23" i="18"/>
  <c r="GJ23" i="18"/>
  <c r="GI23" i="18"/>
  <c r="GH23" i="18"/>
  <c r="GG23" i="18"/>
  <c r="GF23" i="18"/>
  <c r="GE23" i="18"/>
  <c r="GD23" i="18"/>
  <c r="GC23" i="18"/>
  <c r="GB23" i="18"/>
  <c r="GA23" i="18"/>
  <c r="FZ23" i="18"/>
  <c r="FY23" i="18"/>
  <c r="FX23" i="18"/>
  <c r="FW23" i="18"/>
  <c r="FV23" i="18"/>
  <c r="FU23" i="18"/>
  <c r="FT23" i="18"/>
  <c r="FS23" i="18"/>
  <c r="FR23" i="18"/>
  <c r="FQ23" i="18"/>
  <c r="FP23" i="18"/>
  <c r="FO23" i="18"/>
  <c r="FN23" i="18"/>
  <c r="FM23" i="18"/>
  <c r="FL23" i="18"/>
  <c r="FK23" i="18"/>
  <c r="FJ23" i="18"/>
  <c r="FI23" i="18"/>
  <c r="FH23" i="18"/>
  <c r="FG23" i="18"/>
  <c r="FF23" i="18"/>
  <c r="FE23" i="18"/>
  <c r="FD23" i="18"/>
  <c r="FC23" i="18"/>
  <c r="FB23" i="18"/>
  <c r="FA23" i="18"/>
  <c r="EZ23" i="18"/>
  <c r="EY23" i="18"/>
  <c r="EX23" i="18"/>
  <c r="EW23" i="18"/>
  <c r="EV23" i="18"/>
  <c r="EU23" i="18"/>
  <c r="ET23" i="18"/>
  <c r="ES23" i="18"/>
  <c r="ER23" i="18"/>
  <c r="EQ23" i="18"/>
  <c r="EP23" i="18"/>
  <c r="EO23" i="18"/>
  <c r="EN23" i="18"/>
  <c r="EM23" i="18"/>
  <c r="EL23" i="18"/>
  <c r="EK23" i="18"/>
  <c r="EJ23" i="18"/>
  <c r="EI23" i="18"/>
  <c r="EH23" i="18"/>
  <c r="EG23" i="18"/>
  <c r="EF23" i="18"/>
  <c r="EE23" i="18"/>
  <c r="ED23" i="18"/>
  <c r="EC23" i="18"/>
  <c r="EB23" i="18"/>
  <c r="EA23" i="18"/>
  <c r="DZ23" i="18"/>
  <c r="DY23" i="18"/>
  <c r="DX23" i="18"/>
  <c r="DW23" i="18"/>
  <c r="DV23" i="18"/>
  <c r="DU23" i="18"/>
  <c r="DT23" i="18"/>
  <c r="DS23" i="18"/>
  <c r="HP23" i="18" s="1"/>
  <c r="DR23" i="18"/>
  <c r="HN22" i="18"/>
  <c r="HM22" i="18"/>
  <c r="HL22" i="18"/>
  <c r="HK22" i="18"/>
  <c r="HJ22" i="18"/>
  <c r="HI22" i="18"/>
  <c r="HH22" i="18"/>
  <c r="HG22" i="18"/>
  <c r="HF22" i="18"/>
  <c r="HE22" i="18"/>
  <c r="HD22" i="18"/>
  <c r="HC22" i="18"/>
  <c r="HB22" i="18"/>
  <c r="HA22" i="18"/>
  <c r="GZ22" i="18"/>
  <c r="GY22" i="18"/>
  <c r="GX22" i="18"/>
  <c r="GW22" i="18"/>
  <c r="GV22" i="18"/>
  <c r="GU22" i="18"/>
  <c r="GT22" i="18"/>
  <c r="GS22" i="18"/>
  <c r="GR22" i="18"/>
  <c r="GQ22" i="18"/>
  <c r="GP22" i="18"/>
  <c r="GO22" i="18"/>
  <c r="GN22" i="18"/>
  <c r="GM22" i="18"/>
  <c r="GL22" i="18"/>
  <c r="GK22" i="18"/>
  <c r="HR22" i="18" s="1"/>
  <c r="GJ22" i="18"/>
  <c r="GI22" i="18"/>
  <c r="GH22" i="18"/>
  <c r="GG22" i="18"/>
  <c r="GF22" i="18"/>
  <c r="GE22" i="18"/>
  <c r="GD22" i="18"/>
  <c r="GC22" i="18"/>
  <c r="GB22" i="18"/>
  <c r="GA22" i="18"/>
  <c r="FZ22" i="18"/>
  <c r="FY22" i="18"/>
  <c r="FX22" i="18"/>
  <c r="FW22" i="18"/>
  <c r="FV22" i="18"/>
  <c r="FU22" i="18"/>
  <c r="FT22" i="18"/>
  <c r="FS22" i="18"/>
  <c r="FR22" i="18"/>
  <c r="FQ22" i="18"/>
  <c r="FP22" i="18"/>
  <c r="FO22" i="18"/>
  <c r="FN22" i="18"/>
  <c r="FM22" i="18"/>
  <c r="FL22" i="18"/>
  <c r="FK22" i="18"/>
  <c r="FJ22" i="18"/>
  <c r="FI22" i="18"/>
  <c r="FH22" i="18"/>
  <c r="FG22" i="18"/>
  <c r="FF22" i="18"/>
  <c r="FE22" i="18"/>
  <c r="FD22" i="18"/>
  <c r="FC22" i="18"/>
  <c r="FB22" i="18"/>
  <c r="FA22" i="18"/>
  <c r="EZ22" i="18"/>
  <c r="EY22" i="18"/>
  <c r="EX22" i="18"/>
  <c r="EW22" i="18"/>
  <c r="EV22" i="18"/>
  <c r="EU22" i="18"/>
  <c r="ET22" i="18"/>
  <c r="ES22" i="18"/>
  <c r="ER22" i="18"/>
  <c r="EQ22" i="18"/>
  <c r="EP22" i="18"/>
  <c r="EO22" i="18"/>
  <c r="EN22" i="18"/>
  <c r="EM22" i="18"/>
  <c r="EL22" i="18"/>
  <c r="EK22" i="18"/>
  <c r="EJ22" i="18"/>
  <c r="EI22" i="18"/>
  <c r="EH22" i="18"/>
  <c r="HS22" i="18" s="1"/>
  <c r="EG22" i="18"/>
  <c r="HP22" i="18" s="1"/>
  <c r="HM21" i="18"/>
  <c r="HL21" i="18"/>
  <c r="HK21" i="18"/>
  <c r="HJ21" i="18"/>
  <c r="HI21" i="18"/>
  <c r="HH21" i="18"/>
  <c r="HG21" i="18"/>
  <c r="HF21" i="18"/>
  <c r="HE21" i="18"/>
  <c r="HD21" i="18"/>
  <c r="HC21" i="18"/>
  <c r="HB21" i="18"/>
  <c r="HA21" i="18"/>
  <c r="GZ21" i="18"/>
  <c r="GY21" i="18"/>
  <c r="GX21" i="18"/>
  <c r="GW21" i="18"/>
  <c r="GV21" i="18"/>
  <c r="GU21" i="18"/>
  <c r="GT21" i="18"/>
  <c r="GS21" i="18"/>
  <c r="GR21" i="18"/>
  <c r="GQ21" i="18"/>
  <c r="GP21" i="18"/>
  <c r="GO21" i="18"/>
  <c r="GN21" i="18"/>
  <c r="GM21" i="18"/>
  <c r="GL21" i="18"/>
  <c r="GK21" i="18"/>
  <c r="GJ21" i="18"/>
  <c r="HR21" i="18" s="1"/>
  <c r="GI21" i="18"/>
  <c r="HU21" i="18" s="1"/>
  <c r="GH21" i="18"/>
  <c r="GG21" i="18"/>
  <c r="GF21" i="18"/>
  <c r="GE21" i="18"/>
  <c r="GD21" i="18"/>
  <c r="GC21" i="18"/>
  <c r="GB21" i="18"/>
  <c r="GA21" i="18"/>
  <c r="FZ21" i="18"/>
  <c r="FY21" i="18"/>
  <c r="FX21" i="18"/>
  <c r="FW21" i="18"/>
  <c r="FV21" i="18"/>
  <c r="FU21" i="18"/>
  <c r="HP21" i="18" s="1"/>
  <c r="HR20" i="18"/>
  <c r="HN20" i="18"/>
  <c r="HM20" i="18"/>
  <c r="HL20" i="18"/>
  <c r="HK20" i="18"/>
  <c r="HJ20" i="18"/>
  <c r="HI20" i="18"/>
  <c r="HH20" i="18"/>
  <c r="HG20" i="18"/>
  <c r="HF20" i="18"/>
  <c r="HE20" i="18"/>
  <c r="HD20" i="18"/>
  <c r="HC20" i="18"/>
  <c r="HB20" i="18"/>
  <c r="HA20" i="18"/>
  <c r="GZ20" i="18"/>
  <c r="HU20" i="18" s="1"/>
  <c r="GY20" i="18"/>
  <c r="HT20" i="18" s="1"/>
  <c r="HT19" i="18"/>
  <c r="HN19" i="18"/>
  <c r="HM19" i="18"/>
  <c r="HL19" i="18"/>
  <c r="HK19" i="18"/>
  <c r="HJ19" i="18"/>
  <c r="HI19" i="18"/>
  <c r="HH19" i="18"/>
  <c r="HG19" i="18"/>
  <c r="HF19" i="18"/>
  <c r="HE19" i="18"/>
  <c r="HD19" i="18"/>
  <c r="HC19" i="18"/>
  <c r="HB19" i="18"/>
  <c r="HA19" i="18"/>
  <c r="GZ19" i="18"/>
  <c r="GY19" i="18"/>
  <c r="GX19" i="18"/>
  <c r="GW19" i="18"/>
  <c r="GV19" i="18"/>
  <c r="GU19" i="18"/>
  <c r="GT19" i="18"/>
  <c r="GS19" i="18"/>
  <c r="GR19" i="18"/>
  <c r="GQ19" i="18"/>
  <c r="GP19" i="18"/>
  <c r="GO19" i="18"/>
  <c r="GN19" i="18"/>
  <c r="GM19" i="18"/>
  <c r="GL19" i="18"/>
  <c r="GK19" i="18"/>
  <c r="GJ19" i="18"/>
  <c r="GI19" i="18"/>
  <c r="GH19" i="18"/>
  <c r="GG19" i="18"/>
  <c r="GF19" i="18"/>
  <c r="GE19" i="18"/>
  <c r="GD19" i="18"/>
  <c r="GC19" i="18"/>
  <c r="GB19" i="18"/>
  <c r="GA19" i="18"/>
  <c r="FZ19" i="18"/>
  <c r="FY19" i="18"/>
  <c r="FX19" i="18"/>
  <c r="FW19" i="18"/>
  <c r="FV19" i="18"/>
  <c r="FU19" i="18"/>
  <c r="FT19" i="18"/>
  <c r="FS19" i="18"/>
  <c r="FR19" i="18"/>
  <c r="FQ19" i="18"/>
  <c r="FP19" i="18"/>
  <c r="FO19" i="18"/>
  <c r="FN19" i="18"/>
  <c r="FM19" i="18"/>
  <c r="FL19" i="18"/>
  <c r="FK19" i="18"/>
  <c r="FJ19" i="18"/>
  <c r="FI19" i="18"/>
  <c r="FH19" i="18"/>
  <c r="FG19" i="18"/>
  <c r="FF19" i="18"/>
  <c r="FE19" i="18"/>
  <c r="FD19" i="18"/>
  <c r="FC19" i="18"/>
  <c r="FB19" i="18"/>
  <c r="FA19" i="18"/>
  <c r="EZ19" i="18"/>
  <c r="EY19" i="18"/>
  <c r="EX19" i="18"/>
  <c r="EW19" i="18"/>
  <c r="EV19" i="18"/>
  <c r="EU19" i="18"/>
  <c r="ET19" i="18"/>
  <c r="ES19" i="18"/>
  <c r="ER19" i="18"/>
  <c r="EQ19" i="18"/>
  <c r="EP19" i="18"/>
  <c r="EO19" i="18"/>
  <c r="EN19" i="18"/>
  <c r="EM19" i="18"/>
  <c r="EL19" i="18"/>
  <c r="EK19" i="18"/>
  <c r="EJ19" i="18"/>
  <c r="EI19" i="18"/>
  <c r="EH19" i="18"/>
  <c r="EG19" i="18"/>
  <c r="EF19" i="18"/>
  <c r="EE19" i="18"/>
  <c r="ED19" i="18"/>
  <c r="EC19" i="18"/>
  <c r="EB19" i="18"/>
  <c r="EA19" i="18"/>
  <c r="DZ19" i="18"/>
  <c r="DY19" i="18"/>
  <c r="DX19" i="18"/>
  <c r="DW19" i="18"/>
  <c r="DV19" i="18"/>
  <c r="DU19" i="18"/>
  <c r="DT19" i="18"/>
  <c r="DS19" i="18"/>
  <c r="HP19" i="18" s="1"/>
  <c r="DR19" i="18"/>
  <c r="HS19" i="18" s="1"/>
  <c r="HM18" i="18"/>
  <c r="HL18" i="18"/>
  <c r="HK18" i="18"/>
  <c r="HJ18" i="18"/>
  <c r="HI18" i="18"/>
  <c r="HH18" i="18"/>
  <c r="HG18" i="18"/>
  <c r="HF18" i="18"/>
  <c r="HE18" i="18"/>
  <c r="HD18" i="18"/>
  <c r="HC18" i="18"/>
  <c r="HB18" i="18"/>
  <c r="HA18" i="18"/>
  <c r="GZ18" i="18"/>
  <c r="GY18" i="18"/>
  <c r="GX18" i="18"/>
  <c r="GW18" i="18"/>
  <c r="GV18" i="18"/>
  <c r="GU18" i="18"/>
  <c r="GT18" i="18"/>
  <c r="GS18" i="18"/>
  <c r="GR18" i="18"/>
  <c r="GQ18" i="18"/>
  <c r="GP18" i="18"/>
  <c r="GO18" i="18"/>
  <c r="GN18" i="18"/>
  <c r="GM18" i="18"/>
  <c r="GL18" i="18"/>
  <c r="GK18" i="18"/>
  <c r="GJ18" i="18"/>
  <c r="GI18" i="18"/>
  <c r="GH18" i="18"/>
  <c r="GG18" i="18"/>
  <c r="GF18" i="18"/>
  <c r="GE18" i="18"/>
  <c r="GD18" i="18"/>
  <c r="GC18" i="18"/>
  <c r="GB18" i="18"/>
  <c r="GA18" i="18"/>
  <c r="FZ18" i="18"/>
  <c r="FY18" i="18"/>
  <c r="FX18" i="18"/>
  <c r="FW18" i="18"/>
  <c r="FV18" i="18"/>
  <c r="FU18" i="18"/>
  <c r="HP18" i="18" s="1"/>
  <c r="HN17" i="18"/>
  <c r="HM17" i="18"/>
  <c r="HL17" i="18"/>
  <c r="HK17" i="18"/>
  <c r="HJ17" i="18"/>
  <c r="HI17" i="18"/>
  <c r="HH17" i="18"/>
  <c r="HG17" i="18"/>
  <c r="HF17" i="18"/>
  <c r="HE17" i="18"/>
  <c r="HD17" i="18"/>
  <c r="HC17" i="18"/>
  <c r="HB17" i="18"/>
  <c r="HA17" i="18"/>
  <c r="GZ17" i="18"/>
  <c r="GY17" i="18"/>
  <c r="GX17" i="18"/>
  <c r="GW17" i="18"/>
  <c r="GV17" i="18"/>
  <c r="GU17" i="18"/>
  <c r="GT17" i="18"/>
  <c r="GS17" i="18"/>
  <c r="GR17" i="18"/>
  <c r="GQ17" i="18"/>
  <c r="GP17" i="18"/>
  <c r="GO17" i="18"/>
  <c r="GN17" i="18"/>
  <c r="GM17" i="18"/>
  <c r="GL17" i="18"/>
  <c r="GK17" i="18"/>
  <c r="HR17" i="18" s="1"/>
  <c r="GJ17" i="18"/>
  <c r="HU17" i="18" s="1"/>
  <c r="GI17" i="18"/>
  <c r="GH17" i="18"/>
  <c r="GG17" i="18"/>
  <c r="GF17" i="18"/>
  <c r="GE17" i="18"/>
  <c r="GD17" i="18"/>
  <c r="GC17" i="18"/>
  <c r="GB17" i="18"/>
  <c r="HP17" i="18" s="1"/>
  <c r="HN16" i="18"/>
  <c r="HM16" i="18"/>
  <c r="HL16" i="18"/>
  <c r="HK16" i="18"/>
  <c r="HJ16" i="18"/>
  <c r="HI16" i="18"/>
  <c r="HH16" i="18"/>
  <c r="HG16" i="18"/>
  <c r="HF16" i="18"/>
  <c r="HE16" i="18"/>
  <c r="HD16" i="18"/>
  <c r="HC16" i="18"/>
  <c r="HB16" i="18"/>
  <c r="HA16" i="18"/>
  <c r="GZ16" i="18"/>
  <c r="GY16" i="18"/>
  <c r="GX16" i="18"/>
  <c r="GW16" i="18"/>
  <c r="GV16" i="18"/>
  <c r="GU16" i="18"/>
  <c r="GT16" i="18"/>
  <c r="GS16" i="18"/>
  <c r="GR16" i="18"/>
  <c r="GQ16" i="18"/>
  <c r="GP16" i="18"/>
  <c r="GO16" i="18"/>
  <c r="GN16" i="18"/>
  <c r="GM16" i="18"/>
  <c r="GL16" i="18"/>
  <c r="GK16" i="18"/>
  <c r="HR16" i="18" s="1"/>
  <c r="GJ16" i="18"/>
  <c r="GI16" i="18"/>
  <c r="GH16" i="18"/>
  <c r="GG16" i="18"/>
  <c r="GF16" i="18"/>
  <c r="GE16" i="18"/>
  <c r="GD16" i="18"/>
  <c r="GC16" i="18"/>
  <c r="GB16" i="18"/>
  <c r="GA16" i="18"/>
  <c r="FZ16" i="18"/>
  <c r="FY16" i="18"/>
  <c r="FX16" i="18"/>
  <c r="FW16" i="18"/>
  <c r="FV16" i="18"/>
  <c r="FU16" i="18"/>
  <c r="FT16" i="18"/>
  <c r="FS16" i="18"/>
  <c r="FR16" i="18"/>
  <c r="FQ16" i="18"/>
  <c r="FP16" i="18"/>
  <c r="FO16" i="18"/>
  <c r="FN16" i="18"/>
  <c r="FM16" i="18"/>
  <c r="FL16" i="18"/>
  <c r="FK16" i="18"/>
  <c r="FJ16" i="18"/>
  <c r="FI16" i="18"/>
  <c r="FH16" i="18"/>
  <c r="FG16" i="18"/>
  <c r="FF16" i="18"/>
  <c r="FE16" i="18"/>
  <c r="FD16" i="18"/>
  <c r="FC16" i="18"/>
  <c r="FB16" i="18"/>
  <c r="FA16" i="18"/>
  <c r="EZ16" i="18"/>
  <c r="EY16" i="18"/>
  <c r="EX16" i="18"/>
  <c r="EW16" i="18"/>
  <c r="EV16" i="18"/>
  <c r="EU16" i="18"/>
  <c r="ET16" i="18"/>
  <c r="ES16" i="18"/>
  <c r="ER16" i="18"/>
  <c r="EQ16" i="18"/>
  <c r="EP16" i="18"/>
  <c r="EO16" i="18"/>
  <c r="EN16" i="18"/>
  <c r="EM16" i="18"/>
  <c r="EL16" i="18"/>
  <c r="EK16" i="18"/>
  <c r="EJ16" i="18"/>
  <c r="EI16" i="18"/>
  <c r="EH16" i="18"/>
  <c r="EG16" i="18"/>
  <c r="EF16" i="18"/>
  <c r="EE16" i="18"/>
  <c r="ED16" i="18"/>
  <c r="EC16" i="18"/>
  <c r="EB16" i="18"/>
  <c r="EA16" i="18"/>
  <c r="DZ16" i="18"/>
  <c r="DY16" i="18"/>
  <c r="DX16" i="18"/>
  <c r="DW16" i="18"/>
  <c r="DV16" i="18"/>
  <c r="DU16" i="18"/>
  <c r="DT16" i="18"/>
  <c r="DS16" i="18"/>
  <c r="DR16" i="18"/>
  <c r="HP16" i="18" s="1"/>
  <c r="HN15" i="18"/>
  <c r="HM15" i="18"/>
  <c r="HL15" i="18"/>
  <c r="HK15" i="18"/>
  <c r="HJ15" i="18"/>
  <c r="HI15" i="18"/>
  <c r="HH15" i="18"/>
  <c r="HG15" i="18"/>
  <c r="HF15" i="18"/>
  <c r="HE15" i="18"/>
  <c r="HD15" i="18"/>
  <c r="HC15" i="18"/>
  <c r="HB15" i="18"/>
  <c r="HA15" i="18"/>
  <c r="GZ15" i="18"/>
  <c r="GY15" i="18"/>
  <c r="GX15" i="18"/>
  <c r="GW15" i="18"/>
  <c r="GV15" i="18"/>
  <c r="GU15" i="18"/>
  <c r="GT15" i="18"/>
  <c r="GS15" i="18"/>
  <c r="GR15" i="18"/>
  <c r="GQ15" i="18"/>
  <c r="GP15" i="18"/>
  <c r="GO15" i="18"/>
  <c r="GN15" i="18"/>
  <c r="GM15" i="18"/>
  <c r="GL15" i="18"/>
  <c r="HR15" i="18" s="1"/>
  <c r="GK15" i="18"/>
  <c r="GJ15" i="18"/>
  <c r="GI15" i="18"/>
  <c r="GH15" i="18"/>
  <c r="GG15" i="18"/>
  <c r="GF15" i="18"/>
  <c r="GE15" i="18"/>
  <c r="GD15" i="18"/>
  <c r="GC15" i="18"/>
  <c r="GB15" i="18"/>
  <c r="GA15" i="18"/>
  <c r="FZ15" i="18"/>
  <c r="FY15" i="18"/>
  <c r="FX15" i="18"/>
  <c r="FW15" i="18"/>
  <c r="FV15" i="18"/>
  <c r="FU15" i="18"/>
  <c r="HN14" i="18"/>
  <c r="HM14" i="18"/>
  <c r="HL14" i="18"/>
  <c r="HK14" i="18"/>
  <c r="HJ14" i="18"/>
  <c r="HI14" i="18"/>
  <c r="HH14" i="18"/>
  <c r="HG14" i="18"/>
  <c r="HF14" i="18"/>
  <c r="HE14" i="18"/>
  <c r="HD14" i="18"/>
  <c r="HC14" i="18"/>
  <c r="HB14" i="18"/>
  <c r="HA14" i="18"/>
  <c r="GZ14" i="18"/>
  <c r="GY14" i="18"/>
  <c r="GX14" i="18"/>
  <c r="GW14" i="18"/>
  <c r="GV14" i="18"/>
  <c r="GU14" i="18"/>
  <c r="GT14" i="18"/>
  <c r="GS14" i="18"/>
  <c r="GR14" i="18"/>
  <c r="GQ14" i="18"/>
  <c r="GP14" i="18"/>
  <c r="GO14" i="18"/>
  <c r="GN14" i="18"/>
  <c r="GM14" i="18"/>
  <c r="GL14" i="18"/>
  <c r="HR14" i="18" s="1"/>
  <c r="GK14" i="18"/>
  <c r="GJ14" i="18"/>
  <c r="GI14" i="18"/>
  <c r="GH14" i="18"/>
  <c r="GG14" i="18"/>
  <c r="GF14" i="18"/>
  <c r="GE14" i="18"/>
  <c r="GD14" i="18"/>
  <c r="GC14" i="18"/>
  <c r="GB14" i="18"/>
  <c r="GA14" i="18"/>
  <c r="FZ14" i="18"/>
  <c r="FY14" i="18"/>
  <c r="FX14" i="18"/>
  <c r="FW14" i="18"/>
  <c r="FV14" i="18"/>
  <c r="FU14" i="18"/>
  <c r="FT14" i="18"/>
  <c r="FS14" i="18"/>
  <c r="FR14" i="18"/>
  <c r="FQ14" i="18"/>
  <c r="FP14" i="18"/>
  <c r="FO14" i="18"/>
  <c r="FN14" i="18"/>
  <c r="FM14" i="18"/>
  <c r="FL14" i="18"/>
  <c r="FK14" i="18"/>
  <c r="FJ14" i="18"/>
  <c r="FI14" i="18"/>
  <c r="FH14" i="18"/>
  <c r="FG14" i="18"/>
  <c r="FF14" i="18"/>
  <c r="FE14" i="18"/>
  <c r="FD14" i="18"/>
  <c r="FC14" i="18"/>
  <c r="FB14" i="18"/>
  <c r="FA14" i="18"/>
  <c r="EZ14" i="18"/>
  <c r="EY14" i="18"/>
  <c r="EX14" i="18"/>
  <c r="EW14" i="18"/>
  <c r="EV14" i="18"/>
  <c r="EU14" i="18"/>
  <c r="ET14" i="18"/>
  <c r="ES14" i="18"/>
  <c r="ER14" i="18"/>
  <c r="EQ14" i="18"/>
  <c r="EP14" i="18"/>
  <c r="EO14" i="18"/>
  <c r="EN14" i="18"/>
  <c r="EM14" i="18"/>
  <c r="EL14" i="18"/>
  <c r="EK14" i="18"/>
  <c r="EJ14" i="18"/>
  <c r="EI14" i="18"/>
  <c r="EH14" i="18"/>
  <c r="HS14" i="18" s="1"/>
  <c r="EG14" i="18"/>
  <c r="HN13" i="18"/>
  <c r="HM13" i="18"/>
  <c r="HL13" i="18"/>
  <c r="HK13" i="18"/>
  <c r="HJ13" i="18"/>
  <c r="HI13" i="18"/>
  <c r="HH13" i="18"/>
  <c r="HG13" i="18"/>
  <c r="HF13" i="18"/>
  <c r="HE13" i="18"/>
  <c r="HD13" i="18"/>
  <c r="HC13" i="18"/>
  <c r="HB13" i="18"/>
  <c r="HA13" i="18"/>
  <c r="GZ13" i="18"/>
  <c r="GY13" i="18"/>
  <c r="GX13" i="18"/>
  <c r="GW13" i="18"/>
  <c r="GV13" i="18"/>
  <c r="GU13" i="18"/>
  <c r="GT13" i="18"/>
  <c r="GS13" i="18"/>
  <c r="GR13" i="18"/>
  <c r="GQ13" i="18"/>
  <c r="GP13" i="18"/>
  <c r="GO13" i="18"/>
  <c r="GN13" i="18"/>
  <c r="GM13" i="18"/>
  <c r="GL13" i="18"/>
  <c r="HS13" i="18" s="1"/>
  <c r="GK13" i="18"/>
  <c r="GJ13" i="18"/>
  <c r="HT12" i="18"/>
  <c r="HS12" i="18"/>
  <c r="HN12" i="18"/>
  <c r="HM12" i="18"/>
  <c r="HL12" i="18"/>
  <c r="HK12" i="18"/>
  <c r="HJ12" i="18"/>
  <c r="HI12" i="18"/>
  <c r="HH12" i="18"/>
  <c r="HG12" i="18"/>
  <c r="HF12" i="18"/>
  <c r="HE12" i="18"/>
  <c r="HD12" i="18"/>
  <c r="HC12" i="18"/>
  <c r="HB12" i="18"/>
  <c r="HA12" i="18"/>
  <c r="GZ12" i="18"/>
  <c r="GY12" i="18"/>
  <c r="GX12" i="18"/>
  <c r="GW12" i="18"/>
  <c r="GV12" i="18"/>
  <c r="GU12" i="18"/>
  <c r="GT12" i="18"/>
  <c r="GS12" i="18"/>
  <c r="GR12" i="18"/>
  <c r="GQ12" i="18"/>
  <c r="GP12" i="18"/>
  <c r="HP12" i="18" s="1"/>
  <c r="GO12" i="18"/>
  <c r="GN12" i="18"/>
  <c r="HU12" i="18" s="1"/>
  <c r="HN11" i="18"/>
  <c r="HM11" i="18"/>
  <c r="HL11" i="18"/>
  <c r="HK11" i="18"/>
  <c r="HJ11" i="18"/>
  <c r="HI11" i="18"/>
  <c r="HH11" i="18"/>
  <c r="HG11" i="18"/>
  <c r="HF11" i="18"/>
  <c r="HE11" i="18"/>
  <c r="HD11" i="18"/>
  <c r="HC11" i="18"/>
  <c r="HB11" i="18"/>
  <c r="HA11" i="18"/>
  <c r="GZ11" i="18"/>
  <c r="GY11" i="18"/>
  <c r="GX11" i="18"/>
  <c r="GW11" i="18"/>
  <c r="GV11" i="18"/>
  <c r="GU11" i="18"/>
  <c r="GT11" i="18"/>
  <c r="GS11" i="18"/>
  <c r="GR11" i="18"/>
  <c r="GQ11" i="18"/>
  <c r="HP11" i="18" s="1"/>
  <c r="GP11" i="18"/>
  <c r="GO11" i="18"/>
  <c r="GN11" i="18"/>
  <c r="HN10" i="18"/>
  <c r="HM10" i="18"/>
  <c r="HL10" i="18"/>
  <c r="HK10" i="18"/>
  <c r="HJ10" i="18"/>
  <c r="HI10" i="18"/>
  <c r="HH10" i="18"/>
  <c r="HG10" i="18"/>
  <c r="HF10" i="18"/>
  <c r="HE10" i="18"/>
  <c r="HD10" i="18"/>
  <c r="HC10" i="18"/>
  <c r="HB10" i="18"/>
  <c r="HA10" i="18"/>
  <c r="GZ10" i="18"/>
  <c r="GY10" i="18"/>
  <c r="GX10" i="18"/>
  <c r="GW10" i="18"/>
  <c r="GV10" i="18"/>
  <c r="GU10" i="18"/>
  <c r="GT10" i="18"/>
  <c r="GS10" i="18"/>
  <c r="GR10" i="18"/>
  <c r="GQ10" i="18"/>
  <c r="GP10" i="18"/>
  <c r="GO10" i="18"/>
  <c r="HQ10" i="18" s="1"/>
  <c r="GN10" i="18"/>
  <c r="HM9" i="18"/>
  <c r="HL9" i="18"/>
  <c r="HK9" i="18"/>
  <c r="HJ9" i="18"/>
  <c r="HI9" i="18"/>
  <c r="HH9" i="18"/>
  <c r="HG9" i="18"/>
  <c r="HF9" i="18"/>
  <c r="HE9" i="18"/>
  <c r="HD9" i="18"/>
  <c r="HC9" i="18"/>
  <c r="HB9" i="18"/>
  <c r="HA9" i="18"/>
  <c r="GZ9" i="18"/>
  <c r="GY9" i="18"/>
  <c r="GX9" i="18"/>
  <c r="GW9" i="18"/>
  <c r="GV9" i="18"/>
  <c r="GU9" i="18"/>
  <c r="GT9" i="18"/>
  <c r="GS9" i="18"/>
  <c r="GR9" i="18"/>
  <c r="GQ9" i="18"/>
  <c r="GP9" i="18"/>
  <c r="GO9" i="18"/>
  <c r="GN9" i="18"/>
  <c r="GM9" i="18"/>
  <c r="GL9" i="18"/>
  <c r="GK9" i="18"/>
  <c r="HR9" i="18" s="1"/>
  <c r="GJ9" i="18"/>
  <c r="GI9" i="18"/>
  <c r="GH9" i="18"/>
  <c r="GG9" i="18"/>
  <c r="GF9" i="18"/>
  <c r="GE9" i="18"/>
  <c r="GD9" i="18"/>
  <c r="GC9" i="18"/>
  <c r="GB9" i="18"/>
  <c r="GA9" i="18"/>
  <c r="FZ9" i="18"/>
  <c r="FY9" i="18"/>
  <c r="FX9" i="18"/>
  <c r="FW9" i="18"/>
  <c r="FV9" i="18"/>
  <c r="FU9" i="18"/>
  <c r="HP9" i="18" s="1"/>
  <c r="HQ8" i="18"/>
  <c r="HN8" i="18"/>
  <c r="HM8" i="18"/>
  <c r="HL8" i="18"/>
  <c r="HK8" i="18"/>
  <c r="HJ8" i="18"/>
  <c r="HI8" i="18"/>
  <c r="HH8" i="18"/>
  <c r="HG8" i="18"/>
  <c r="HF8" i="18"/>
  <c r="HE8" i="18"/>
  <c r="HD8" i="18"/>
  <c r="HC8" i="18"/>
  <c r="HB8" i="18"/>
  <c r="HA8" i="18"/>
  <c r="GZ8" i="18"/>
  <c r="GY8" i="18"/>
  <c r="GX8" i="18"/>
  <c r="GW8" i="18"/>
  <c r="GV8" i="18"/>
  <c r="GU8" i="18"/>
  <c r="GT8" i="18"/>
  <c r="GS8" i="18"/>
  <c r="GR8" i="18"/>
  <c r="GQ8" i="18"/>
  <c r="GP8" i="18"/>
  <c r="GO8" i="18"/>
  <c r="GN8" i="18"/>
  <c r="GM8" i="18"/>
  <c r="GL8" i="18"/>
  <c r="GK8" i="18"/>
  <c r="GJ8" i="18"/>
  <c r="HU8" i="18" s="1"/>
  <c r="GI8" i="18"/>
  <c r="HT8" i="18" s="1"/>
  <c r="GH8" i="18"/>
  <c r="GG8" i="18"/>
  <c r="GF8" i="18"/>
  <c r="GE8" i="18"/>
  <c r="GD8" i="18"/>
  <c r="GC8" i="18"/>
  <c r="GB8" i="18"/>
  <c r="GA8" i="18"/>
  <c r="FZ8" i="18"/>
  <c r="FY8" i="18"/>
  <c r="FX8" i="18"/>
  <c r="FW8" i="18"/>
  <c r="FV8" i="18"/>
  <c r="FU8" i="18"/>
  <c r="FT8" i="18"/>
  <c r="FS8" i="18"/>
  <c r="FR8" i="18"/>
  <c r="FQ8" i="18"/>
  <c r="FP8" i="18"/>
  <c r="FO8" i="18"/>
  <c r="FN8" i="18"/>
  <c r="FM8" i="18"/>
  <c r="FL8" i="18"/>
  <c r="FK8" i="18"/>
  <c r="FJ8" i="18"/>
  <c r="FI8" i="18"/>
  <c r="FH8" i="18"/>
  <c r="FG8" i="18"/>
  <c r="FF8" i="18"/>
  <c r="FE8" i="18"/>
  <c r="FD8" i="18"/>
  <c r="FC8" i="18"/>
  <c r="FB8" i="18"/>
  <c r="FA8" i="18"/>
  <c r="EZ8" i="18"/>
  <c r="EY8" i="18"/>
  <c r="EX8" i="18"/>
  <c r="EW8" i="18"/>
  <c r="EV8" i="18"/>
  <c r="EU8" i="18"/>
  <c r="ET8" i="18"/>
  <c r="ES8" i="18"/>
  <c r="ER8" i="18"/>
  <c r="EQ8" i="18"/>
  <c r="EP8" i="18"/>
  <c r="EO8" i="18"/>
  <c r="EN8" i="18"/>
  <c r="EM8" i="18"/>
  <c r="EL8" i="18"/>
  <c r="EK8" i="18"/>
  <c r="EJ8" i="18"/>
  <c r="EI8" i="18"/>
  <c r="EH8" i="18"/>
  <c r="EG8" i="18"/>
  <c r="EF8" i="18"/>
  <c r="EE8" i="18"/>
  <c r="ED8" i="18"/>
  <c r="EC8" i="18"/>
  <c r="EB8" i="18"/>
  <c r="EA8" i="18"/>
  <c r="DZ8" i="18"/>
  <c r="DY8" i="18"/>
  <c r="DX8" i="18"/>
  <c r="DW8" i="18"/>
  <c r="DV8" i="18"/>
  <c r="DU8" i="18"/>
  <c r="DT8" i="18"/>
  <c r="DS8" i="18"/>
  <c r="DR8" i="18"/>
  <c r="DQ8" i="18"/>
  <c r="DP8" i="18"/>
  <c r="DO8" i="18"/>
  <c r="DN8" i="18"/>
  <c r="DM8" i="18"/>
  <c r="DL8" i="18"/>
  <c r="HS8" i="18" s="1"/>
  <c r="DK8" i="18"/>
  <c r="HP8" i="18" s="1"/>
  <c r="HU7" i="18"/>
  <c r="HN7" i="18"/>
  <c r="HM7" i="18"/>
  <c r="HL7" i="18"/>
  <c r="HK7" i="18"/>
  <c r="HJ7" i="18"/>
  <c r="HI7" i="18"/>
  <c r="HH7" i="18"/>
  <c r="HG7" i="18"/>
  <c r="HF7" i="18"/>
  <c r="HE7" i="18"/>
  <c r="HD7" i="18"/>
  <c r="HC7" i="18"/>
  <c r="HB7" i="18"/>
  <c r="HA7" i="18"/>
  <c r="GZ7" i="18"/>
  <c r="GY7" i="18"/>
  <c r="GX7" i="18"/>
  <c r="GW7" i="18"/>
  <c r="GV7" i="18"/>
  <c r="GU7" i="18"/>
  <c r="GT7" i="18"/>
  <c r="GS7" i="18"/>
  <c r="GR7" i="18"/>
  <c r="GQ7" i="18"/>
  <c r="GP7" i="18"/>
  <c r="GO7" i="18"/>
  <c r="GN7" i="18"/>
  <c r="GM7" i="18"/>
  <c r="GL7" i="18"/>
  <c r="GK7" i="18"/>
  <c r="GJ7" i="18"/>
  <c r="GI7" i="18"/>
  <c r="HR7" i="18" s="1"/>
  <c r="GH7" i="18"/>
  <c r="GG7" i="18"/>
  <c r="GF7" i="18"/>
  <c r="GE7" i="18"/>
  <c r="GD7" i="18"/>
  <c r="GC7" i="18"/>
  <c r="GB7" i="18"/>
  <c r="GA7" i="18"/>
  <c r="FZ7" i="18"/>
  <c r="FY7" i="18"/>
  <c r="FX7" i="18"/>
  <c r="FW7" i="18"/>
  <c r="FV7" i="18"/>
  <c r="FU7" i="18"/>
  <c r="FT7" i="18"/>
  <c r="FS7" i="18"/>
  <c r="FR7" i="18"/>
  <c r="FQ7" i="18"/>
  <c r="FP7" i="18"/>
  <c r="FO7" i="18"/>
  <c r="FN7" i="18"/>
  <c r="FM7" i="18"/>
  <c r="FL7" i="18"/>
  <c r="FK7" i="18"/>
  <c r="FJ7" i="18"/>
  <c r="FI7" i="18"/>
  <c r="FH7" i="18"/>
  <c r="FG7" i="18"/>
  <c r="FF7" i="18"/>
  <c r="FE7" i="18"/>
  <c r="FD7" i="18"/>
  <c r="FC7" i="18"/>
  <c r="FB7" i="18"/>
  <c r="FA7" i="18"/>
  <c r="EZ7" i="18"/>
  <c r="EY7" i="18"/>
  <c r="EX7" i="18"/>
  <c r="EW7" i="18"/>
  <c r="EV7" i="18"/>
  <c r="EU7" i="18"/>
  <c r="ET7" i="18"/>
  <c r="ES7" i="18"/>
  <c r="ER7" i="18"/>
  <c r="EQ7" i="18"/>
  <c r="EP7" i="18"/>
  <c r="EO7" i="18"/>
  <c r="EN7" i="18"/>
  <c r="EM7" i="18"/>
  <c r="EL7" i="18"/>
  <c r="EK7" i="18"/>
  <c r="EJ7" i="18"/>
  <c r="EI7" i="18"/>
  <c r="EH7" i="18"/>
  <c r="EG7" i="18"/>
  <c r="EF7" i="18"/>
  <c r="EE7" i="18"/>
  <c r="ED7" i="18"/>
  <c r="EC7" i="18"/>
  <c r="EB7" i="18"/>
  <c r="EA7" i="18"/>
  <c r="DZ7" i="18"/>
  <c r="DY7" i="18"/>
  <c r="DX7" i="18"/>
  <c r="DW7" i="18"/>
  <c r="DV7" i="18"/>
  <c r="DU7" i="18"/>
  <c r="DT7" i="18"/>
  <c r="DS7" i="18"/>
  <c r="DR7" i="18"/>
  <c r="DQ7" i="18"/>
  <c r="DP7" i="18"/>
  <c r="DO7" i="18"/>
  <c r="DN7" i="18"/>
  <c r="DM7" i="18"/>
  <c r="DL7" i="18"/>
  <c r="DK7" i="18"/>
  <c r="HS7" i="18" s="1"/>
  <c r="HX7" i="18" s="1"/>
  <c r="HS6" i="18"/>
  <c r="HN6" i="18"/>
  <c r="HM6" i="18"/>
  <c r="HL6" i="18"/>
  <c r="HK6" i="18"/>
  <c r="HJ6" i="18"/>
  <c r="HI6" i="18"/>
  <c r="HH6" i="18"/>
  <c r="HG6" i="18"/>
  <c r="HF6" i="18"/>
  <c r="HE6" i="18"/>
  <c r="HD6" i="18"/>
  <c r="HC6" i="18"/>
  <c r="HB6" i="18"/>
  <c r="HA6" i="18"/>
  <c r="GZ6" i="18"/>
  <c r="GY6" i="18"/>
  <c r="GX6" i="18"/>
  <c r="GW6" i="18"/>
  <c r="GV6" i="18"/>
  <c r="GU6" i="18"/>
  <c r="GT6" i="18"/>
  <c r="GS6" i="18"/>
  <c r="GR6" i="18"/>
  <c r="GQ6" i="18"/>
  <c r="GP6" i="18"/>
  <c r="GO6" i="18"/>
  <c r="GN6" i="18"/>
  <c r="GM6" i="18"/>
  <c r="GL6" i="18"/>
  <c r="GK6" i="18"/>
  <c r="HR6" i="18" s="1"/>
  <c r="GJ6" i="18"/>
  <c r="GI6" i="18"/>
  <c r="GH6" i="18"/>
  <c r="GG6" i="18"/>
  <c r="GF6" i="18"/>
  <c r="GE6" i="18"/>
  <c r="GD6" i="18"/>
  <c r="GC6" i="18"/>
  <c r="GB6" i="18"/>
  <c r="GA6" i="18"/>
  <c r="FZ6" i="18"/>
  <c r="FY6" i="18"/>
  <c r="FX6" i="18"/>
  <c r="FW6" i="18"/>
  <c r="FV6" i="18"/>
  <c r="FU6" i="18"/>
  <c r="FT6" i="18"/>
  <c r="FS6" i="18"/>
  <c r="FR6" i="18"/>
  <c r="FQ6" i="18"/>
  <c r="FP6" i="18"/>
  <c r="FO6" i="18"/>
  <c r="FN6" i="18"/>
  <c r="FM6" i="18"/>
  <c r="FL6" i="18"/>
  <c r="FK6" i="18"/>
  <c r="FJ6" i="18"/>
  <c r="FI6" i="18"/>
  <c r="FH6" i="18"/>
  <c r="FG6" i="18"/>
  <c r="FF6" i="18"/>
  <c r="FE6" i="18"/>
  <c r="FD6" i="18"/>
  <c r="FC6" i="18"/>
  <c r="FB6" i="18"/>
  <c r="FA6" i="18"/>
  <c r="EZ6" i="18"/>
  <c r="EY6" i="18"/>
  <c r="EX6" i="18"/>
  <c r="EW6" i="18"/>
  <c r="EV6" i="18"/>
  <c r="EU6" i="18"/>
  <c r="ET6" i="18"/>
  <c r="ES6" i="18"/>
  <c r="ER6" i="18"/>
  <c r="EQ6" i="18"/>
  <c r="EP6" i="18"/>
  <c r="EO6" i="18"/>
  <c r="EN6" i="18"/>
  <c r="EM6" i="18"/>
  <c r="EL6" i="18"/>
  <c r="EK6" i="18"/>
  <c r="EJ6" i="18"/>
  <c r="EI6" i="18"/>
  <c r="EH6" i="18"/>
  <c r="EG6" i="18"/>
  <c r="EF6" i="18"/>
  <c r="EE6" i="18"/>
  <c r="ED6" i="18"/>
  <c r="EC6" i="18"/>
  <c r="EB6" i="18"/>
  <c r="EA6" i="18"/>
  <c r="DZ6" i="18"/>
  <c r="DY6" i="18"/>
  <c r="DX6" i="18"/>
  <c r="DW6" i="18"/>
  <c r="DV6" i="18"/>
  <c r="DU6" i="18"/>
  <c r="DT6" i="18"/>
  <c r="DS6" i="18"/>
  <c r="DR6" i="18"/>
  <c r="DQ6" i="18"/>
  <c r="DP6" i="18"/>
  <c r="DO6" i="18"/>
  <c r="DN6" i="18"/>
  <c r="DM6" i="18"/>
  <c r="DL6" i="18"/>
  <c r="DK6" i="18"/>
  <c r="HN5" i="18"/>
  <c r="HM5" i="18"/>
  <c r="HL5" i="18"/>
  <c r="HK5" i="18"/>
  <c r="HJ5" i="18"/>
  <c r="HI5" i="18"/>
  <c r="HH5" i="18"/>
  <c r="HG5" i="18"/>
  <c r="HF5" i="18"/>
  <c r="HE5" i="18"/>
  <c r="HD5" i="18"/>
  <c r="HC5" i="18"/>
  <c r="HB5" i="18"/>
  <c r="HA5" i="18"/>
  <c r="GZ5" i="18"/>
  <c r="GY5" i="18"/>
  <c r="GX5" i="18"/>
  <c r="GW5" i="18"/>
  <c r="GV5" i="18"/>
  <c r="GU5" i="18"/>
  <c r="GT5" i="18"/>
  <c r="GS5" i="18"/>
  <c r="GR5" i="18"/>
  <c r="GQ5" i="18"/>
  <c r="GP5" i="18"/>
  <c r="GO5" i="18"/>
  <c r="GN5" i="18"/>
  <c r="GM5" i="18"/>
  <c r="GL5" i="18"/>
  <c r="GK5" i="18"/>
  <c r="GJ5" i="18"/>
  <c r="HU5" i="18" s="1"/>
  <c r="GI5" i="18"/>
  <c r="GH5" i="18"/>
  <c r="GG5" i="18"/>
  <c r="GF5" i="18"/>
  <c r="GE5" i="18"/>
  <c r="GD5" i="18"/>
  <c r="GC5" i="18"/>
  <c r="GB5" i="18"/>
  <c r="GA5" i="18"/>
  <c r="FZ5" i="18"/>
  <c r="FY5" i="18"/>
  <c r="FX5" i="18"/>
  <c r="FW5" i="18"/>
  <c r="FV5" i="18"/>
  <c r="FU5" i="18"/>
  <c r="FT5" i="18"/>
  <c r="FS5" i="18"/>
  <c r="FR5" i="18"/>
  <c r="FQ5" i="18"/>
  <c r="FP5" i="18"/>
  <c r="FO5" i="18"/>
  <c r="FN5" i="18"/>
  <c r="FM5" i="18"/>
  <c r="FL5" i="18"/>
  <c r="FK5" i="18"/>
  <c r="FJ5" i="18"/>
  <c r="FI5" i="18"/>
  <c r="FH5" i="18"/>
  <c r="FG5" i="18"/>
  <c r="FF5" i="18"/>
  <c r="FE5" i="18"/>
  <c r="FD5" i="18"/>
  <c r="FC5" i="18"/>
  <c r="FB5" i="18"/>
  <c r="FA5" i="18"/>
  <c r="EZ5" i="18"/>
  <c r="EY5" i="18"/>
  <c r="EX5" i="18"/>
  <c r="EW5" i="18"/>
  <c r="EV5" i="18"/>
  <c r="EU5" i="18"/>
  <c r="ET5" i="18"/>
  <c r="ES5" i="18"/>
  <c r="ER5" i="18"/>
  <c r="EQ5" i="18"/>
  <c r="EP5" i="18"/>
  <c r="EO5" i="18"/>
  <c r="EN5" i="18"/>
  <c r="EM5" i="18"/>
  <c r="EL5" i="18"/>
  <c r="EK5" i="18"/>
  <c r="EJ5" i="18"/>
  <c r="EI5" i="18"/>
  <c r="EH5" i="18"/>
  <c r="EG5" i="18"/>
  <c r="EF5" i="18"/>
  <c r="EE5" i="18"/>
  <c r="ED5" i="18"/>
  <c r="EC5" i="18"/>
  <c r="EB5" i="18"/>
  <c r="EA5" i="18"/>
  <c r="DZ5" i="18"/>
  <c r="DY5" i="18"/>
  <c r="DX5" i="18"/>
  <c r="DW5" i="18"/>
  <c r="HP5" i="18" s="1"/>
  <c r="DV5" i="18"/>
  <c r="DU5" i="18"/>
  <c r="HU4" i="18"/>
  <c r="HN4" i="18"/>
  <c r="HM4" i="18"/>
  <c r="HL4" i="18"/>
  <c r="HK4" i="18"/>
  <c r="HT4" i="18" s="1"/>
  <c r="HJ4" i="18"/>
  <c r="HI4" i="18"/>
  <c r="HN3" i="18"/>
  <c r="HM3" i="18"/>
  <c r="HL3" i="18"/>
  <c r="HK3" i="18"/>
  <c r="HJ3" i="18"/>
  <c r="HI3" i="18"/>
  <c r="HH3" i="18"/>
  <c r="HG3" i="18"/>
  <c r="HF3" i="18"/>
  <c r="HE3" i="18"/>
  <c r="HD3" i="18"/>
  <c r="HC3" i="18"/>
  <c r="HB3" i="18"/>
  <c r="HA3" i="18"/>
  <c r="GZ3" i="18"/>
  <c r="GY3" i="18"/>
  <c r="GX3" i="18"/>
  <c r="GW3" i="18"/>
  <c r="GV3" i="18"/>
  <c r="GU3" i="18"/>
  <c r="GT3" i="18"/>
  <c r="GS3" i="18"/>
  <c r="GR3" i="18"/>
  <c r="GQ3" i="18"/>
  <c r="GP3" i="18"/>
  <c r="GO3" i="18"/>
  <c r="GN3" i="18"/>
  <c r="GM3" i="18"/>
  <c r="GL3" i="18"/>
  <c r="GK3" i="18"/>
  <c r="GJ3" i="18"/>
  <c r="HU3" i="18" s="1"/>
  <c r="GI3" i="18"/>
  <c r="GH3" i="18"/>
  <c r="GG3" i="18"/>
  <c r="GF3" i="18"/>
  <c r="GE3" i="18"/>
  <c r="GD3" i="18"/>
  <c r="GC3" i="18"/>
  <c r="GB3" i="18"/>
  <c r="GA3" i="18"/>
  <c r="FZ3" i="18"/>
  <c r="FY3" i="18"/>
  <c r="FX3" i="18"/>
  <c r="FW3" i="18"/>
  <c r="FV3" i="18"/>
  <c r="FU3" i="18"/>
  <c r="FT3" i="18"/>
  <c r="FS3" i="18"/>
  <c r="FR3" i="18"/>
  <c r="FQ3" i="18"/>
  <c r="FP3" i="18"/>
  <c r="FO3" i="18"/>
  <c r="FN3" i="18"/>
  <c r="FM3" i="18"/>
  <c r="FL3" i="18"/>
  <c r="FK3" i="18"/>
  <c r="FJ3" i="18"/>
  <c r="FI3" i="18"/>
  <c r="FH3" i="18"/>
  <c r="FG3" i="18"/>
  <c r="FF3" i="18"/>
  <c r="FE3" i="18"/>
  <c r="FD3" i="18"/>
  <c r="FC3" i="18"/>
  <c r="FB3" i="18"/>
  <c r="FA3" i="18"/>
  <c r="EZ3" i="18"/>
  <c r="EY3" i="18"/>
  <c r="EX3" i="18"/>
  <c r="EW3" i="18"/>
  <c r="EV3" i="18"/>
  <c r="EU3" i="18"/>
  <c r="ET3" i="18"/>
  <c r="ES3" i="18"/>
  <c r="ER3" i="18"/>
  <c r="EQ3" i="18"/>
  <c r="EP3" i="18"/>
  <c r="EO3" i="18"/>
  <c r="EN3" i="18"/>
  <c r="EM3" i="18"/>
  <c r="EL3" i="18"/>
  <c r="EK3" i="18"/>
  <c r="EJ3" i="18"/>
  <c r="EI3" i="18"/>
  <c r="EH3" i="18"/>
  <c r="EG3" i="18"/>
  <c r="EF3" i="18"/>
  <c r="EE3" i="18"/>
  <c r="ED3" i="18"/>
  <c r="EC3" i="18"/>
  <c r="EB3" i="18"/>
  <c r="EA3" i="18"/>
  <c r="DZ3" i="18"/>
  <c r="DY3" i="18"/>
  <c r="DX3" i="18"/>
  <c r="DW3" i="18"/>
  <c r="DV3" i="18"/>
  <c r="DU3" i="18"/>
  <c r="DT3" i="18"/>
  <c r="DS3" i="18"/>
  <c r="DR3" i="18"/>
  <c r="DQ3" i="18"/>
  <c r="DP3" i="18"/>
  <c r="DO3" i="18"/>
  <c r="DN3" i="18"/>
  <c r="DM3" i="18"/>
  <c r="DL3" i="18"/>
  <c r="DK3" i="18"/>
  <c r="H1025" i="12"/>
  <c r="F1025" i="12"/>
  <c r="I1025" i="12" s="1"/>
  <c r="J1025" i="12" s="1"/>
  <c r="E1025" i="12"/>
  <c r="H1024" i="12"/>
  <c r="F1024" i="12"/>
  <c r="I1024" i="12" s="1"/>
  <c r="J1024" i="12" s="1"/>
  <c r="E1024" i="12"/>
  <c r="G1024" i="12" s="1"/>
  <c r="H1023" i="12"/>
  <c r="F1023" i="12"/>
  <c r="G1023" i="12" s="1"/>
  <c r="E1023" i="12"/>
  <c r="H1022" i="12"/>
  <c r="F1022" i="12"/>
  <c r="K1023" i="12" s="1"/>
  <c r="E1022" i="12"/>
  <c r="K1022" i="12" s="1"/>
  <c r="H1021" i="12"/>
  <c r="F1021" i="12"/>
  <c r="E1021" i="12"/>
  <c r="H1020" i="12"/>
  <c r="F1020" i="12"/>
  <c r="E1020" i="12"/>
  <c r="H1019" i="12"/>
  <c r="F1019" i="12"/>
  <c r="E1019" i="12"/>
  <c r="H1018" i="12"/>
  <c r="G1018" i="12"/>
  <c r="F1018" i="12"/>
  <c r="E1018" i="12"/>
  <c r="H1017" i="12"/>
  <c r="F1017" i="12"/>
  <c r="G1017" i="12" s="1"/>
  <c r="E1017" i="12"/>
  <c r="H1016" i="12"/>
  <c r="F1016" i="12"/>
  <c r="I1016" i="12" s="1"/>
  <c r="J1016" i="12" s="1"/>
  <c r="E1016" i="12"/>
  <c r="H1015" i="12"/>
  <c r="F1015" i="12"/>
  <c r="E1015" i="12"/>
  <c r="H1014" i="12"/>
  <c r="F1014" i="12"/>
  <c r="K1015" i="12" s="1"/>
  <c r="E1014" i="12"/>
  <c r="H1013" i="12"/>
  <c r="F1013" i="12"/>
  <c r="G1013" i="12" s="1"/>
  <c r="E1013" i="12"/>
  <c r="H1012" i="12"/>
  <c r="F1012" i="12"/>
  <c r="G1012" i="12" s="1"/>
  <c r="E1012" i="12"/>
  <c r="H1011" i="12"/>
  <c r="F1011" i="12"/>
  <c r="G1011" i="12" s="1"/>
  <c r="E1011" i="12"/>
  <c r="H1010" i="12"/>
  <c r="F1010" i="12"/>
  <c r="K1011" i="12" s="1"/>
  <c r="E1010" i="12"/>
  <c r="H1009" i="12"/>
  <c r="F1009" i="12"/>
  <c r="G1009" i="12" s="1"/>
  <c r="E1009" i="12"/>
  <c r="H1008" i="12"/>
  <c r="F1008" i="12"/>
  <c r="E1008" i="12"/>
  <c r="H1007" i="12"/>
  <c r="F1007" i="12"/>
  <c r="E1007" i="12"/>
  <c r="H1006" i="12"/>
  <c r="F1006" i="12"/>
  <c r="E1006" i="12"/>
  <c r="H1005" i="12"/>
  <c r="F1005" i="12"/>
  <c r="E1005" i="12"/>
  <c r="H1004" i="12"/>
  <c r="F1004" i="12"/>
  <c r="G1004" i="12" s="1"/>
  <c r="E1004" i="12"/>
  <c r="H1003" i="12"/>
  <c r="F1003" i="12"/>
  <c r="E1003" i="12"/>
  <c r="H1002" i="12"/>
  <c r="F1002" i="12"/>
  <c r="K1003" i="12" s="1"/>
  <c r="E1002" i="12"/>
  <c r="H1001" i="12"/>
  <c r="F1001" i="12"/>
  <c r="G1001" i="12" s="1"/>
  <c r="E1001" i="12"/>
  <c r="H1000" i="12"/>
  <c r="F1000" i="12"/>
  <c r="G1000" i="12" s="1"/>
  <c r="E1000" i="12"/>
  <c r="H999" i="12"/>
  <c r="F999" i="12"/>
  <c r="E999" i="12"/>
  <c r="H998" i="12"/>
  <c r="F998" i="12"/>
  <c r="K999" i="12" s="1"/>
  <c r="E998" i="12"/>
  <c r="H997" i="12"/>
  <c r="F997" i="12"/>
  <c r="G997" i="12" s="1"/>
  <c r="E997" i="12"/>
  <c r="H996" i="12"/>
  <c r="F996" i="12"/>
  <c r="G996" i="12" s="1"/>
  <c r="E996" i="12"/>
  <c r="H995" i="12"/>
  <c r="F995" i="12"/>
  <c r="E995" i="12"/>
  <c r="H994" i="12"/>
  <c r="F994" i="12"/>
  <c r="K995" i="12" s="1"/>
  <c r="E994" i="12"/>
  <c r="H993" i="12"/>
  <c r="F993" i="12"/>
  <c r="E993" i="12"/>
  <c r="H992" i="12"/>
  <c r="F992" i="12"/>
  <c r="G992" i="12" s="1"/>
  <c r="E992" i="12"/>
  <c r="H991" i="12"/>
  <c r="F991" i="12"/>
  <c r="E991" i="12"/>
  <c r="H990" i="12"/>
  <c r="F990" i="12"/>
  <c r="K991" i="12" s="1"/>
  <c r="E990" i="12"/>
  <c r="H989" i="12"/>
  <c r="F989" i="12"/>
  <c r="E989" i="12"/>
  <c r="H988" i="12"/>
  <c r="F988" i="12"/>
  <c r="G988" i="12" s="1"/>
  <c r="E988" i="12"/>
  <c r="H987" i="12"/>
  <c r="F987" i="12"/>
  <c r="E987" i="12"/>
  <c r="H986" i="12"/>
  <c r="F986" i="12"/>
  <c r="K987" i="12" s="1"/>
  <c r="E986" i="12"/>
  <c r="H985" i="12"/>
  <c r="F985" i="12"/>
  <c r="G985" i="12" s="1"/>
  <c r="E985" i="12"/>
  <c r="H984" i="12"/>
  <c r="F984" i="12"/>
  <c r="G984" i="12" s="1"/>
  <c r="E984" i="12"/>
  <c r="H983" i="12"/>
  <c r="I983" i="12" s="1"/>
  <c r="J983" i="12" s="1"/>
  <c r="F983" i="12"/>
  <c r="E983" i="12"/>
  <c r="H982" i="12"/>
  <c r="F982" i="12"/>
  <c r="K983" i="12" s="1"/>
  <c r="E982" i="12"/>
  <c r="H981" i="12"/>
  <c r="F981" i="12"/>
  <c r="G981" i="12" s="1"/>
  <c r="E981" i="12"/>
  <c r="H980" i="12"/>
  <c r="F980" i="12"/>
  <c r="G980" i="12" s="1"/>
  <c r="E980" i="12"/>
  <c r="H979" i="12"/>
  <c r="I979" i="12" s="1"/>
  <c r="J979" i="12" s="1"/>
  <c r="F979" i="12"/>
  <c r="E979" i="12"/>
  <c r="H978" i="12"/>
  <c r="F978" i="12"/>
  <c r="K979" i="12" s="1"/>
  <c r="E978" i="12"/>
  <c r="H977" i="12"/>
  <c r="F977" i="12"/>
  <c r="I977" i="12" s="1"/>
  <c r="J977" i="12" s="1"/>
  <c r="E977" i="12"/>
  <c r="H976" i="12"/>
  <c r="F976" i="12"/>
  <c r="G976" i="12" s="1"/>
  <c r="E976" i="12"/>
  <c r="H975" i="12"/>
  <c r="F975" i="12"/>
  <c r="E975" i="12"/>
  <c r="H974" i="12"/>
  <c r="F974" i="12"/>
  <c r="K975" i="12" s="1"/>
  <c r="E974" i="12"/>
  <c r="H973" i="12"/>
  <c r="F973" i="12"/>
  <c r="E973" i="12"/>
  <c r="H972" i="12"/>
  <c r="F972" i="12"/>
  <c r="G972" i="12" s="1"/>
  <c r="E972" i="12"/>
  <c r="H971" i="12"/>
  <c r="F971" i="12"/>
  <c r="E971" i="12"/>
  <c r="H970" i="12"/>
  <c r="F970" i="12"/>
  <c r="K971" i="12" s="1"/>
  <c r="E970" i="12"/>
  <c r="H969" i="12"/>
  <c r="F969" i="12"/>
  <c r="G969" i="12" s="1"/>
  <c r="E969" i="12"/>
  <c r="H968" i="12"/>
  <c r="F968" i="12"/>
  <c r="G968" i="12" s="1"/>
  <c r="E968" i="12"/>
  <c r="H967" i="12"/>
  <c r="F967" i="12"/>
  <c r="E967" i="12"/>
  <c r="H966" i="12"/>
  <c r="F966" i="12"/>
  <c r="K967" i="12" s="1"/>
  <c r="E966" i="12"/>
  <c r="H965" i="12"/>
  <c r="F965" i="12"/>
  <c r="G965" i="12" s="1"/>
  <c r="E965" i="12"/>
  <c r="H964" i="12"/>
  <c r="F964" i="12"/>
  <c r="G964" i="12" s="1"/>
  <c r="E964" i="12"/>
  <c r="H963" i="12"/>
  <c r="F963" i="12"/>
  <c r="E963" i="12"/>
  <c r="H962" i="12"/>
  <c r="F962" i="12"/>
  <c r="K963" i="12" s="1"/>
  <c r="E962" i="12"/>
  <c r="H961" i="12"/>
  <c r="F961" i="12"/>
  <c r="G961" i="12" s="1"/>
  <c r="E961" i="12"/>
  <c r="H960" i="12"/>
  <c r="F960" i="12"/>
  <c r="G960" i="12" s="1"/>
  <c r="E960" i="12"/>
  <c r="H959" i="12"/>
  <c r="F959" i="12"/>
  <c r="E959" i="12"/>
  <c r="H958" i="12"/>
  <c r="F958" i="12"/>
  <c r="K959" i="12" s="1"/>
  <c r="E958" i="12"/>
  <c r="H957" i="12"/>
  <c r="F957" i="12"/>
  <c r="E957" i="12"/>
  <c r="H956" i="12"/>
  <c r="F956" i="12"/>
  <c r="G956" i="12" s="1"/>
  <c r="E956" i="12"/>
  <c r="H955" i="12"/>
  <c r="F955" i="12"/>
  <c r="E955" i="12"/>
  <c r="H954" i="12"/>
  <c r="F954" i="12"/>
  <c r="K955" i="12" s="1"/>
  <c r="E954" i="12"/>
  <c r="H953" i="12"/>
  <c r="F953" i="12"/>
  <c r="G953" i="12" s="1"/>
  <c r="E953" i="12"/>
  <c r="H952" i="12"/>
  <c r="F952" i="12"/>
  <c r="G952" i="12" s="1"/>
  <c r="E952" i="12"/>
  <c r="H951" i="12"/>
  <c r="F951" i="12"/>
  <c r="E951" i="12"/>
  <c r="H950" i="12"/>
  <c r="F950" i="12"/>
  <c r="K951" i="12" s="1"/>
  <c r="E950" i="12"/>
  <c r="H949" i="12"/>
  <c r="F949" i="12"/>
  <c r="G949" i="12" s="1"/>
  <c r="E949" i="12"/>
  <c r="H948" i="12"/>
  <c r="F948" i="12"/>
  <c r="G948" i="12" s="1"/>
  <c r="E948" i="12"/>
  <c r="H947" i="12"/>
  <c r="F947" i="12"/>
  <c r="E947" i="12"/>
  <c r="H946" i="12"/>
  <c r="F946" i="12"/>
  <c r="K947" i="12" s="1"/>
  <c r="E946" i="12"/>
  <c r="H945" i="12"/>
  <c r="F945" i="12"/>
  <c r="G945" i="12" s="1"/>
  <c r="E945" i="12"/>
  <c r="H944" i="12"/>
  <c r="F944" i="12"/>
  <c r="G944" i="12" s="1"/>
  <c r="E944" i="12"/>
  <c r="H943" i="12"/>
  <c r="F943" i="12"/>
  <c r="E943" i="12"/>
  <c r="H942" i="12"/>
  <c r="F942" i="12"/>
  <c r="K943" i="12" s="1"/>
  <c r="E942" i="12"/>
  <c r="H941" i="12"/>
  <c r="F941" i="12"/>
  <c r="E941" i="12"/>
  <c r="H940" i="12"/>
  <c r="F940" i="12"/>
  <c r="E940" i="12"/>
  <c r="H939" i="12"/>
  <c r="F939" i="12"/>
  <c r="E939" i="12"/>
  <c r="H938" i="12"/>
  <c r="F938" i="12"/>
  <c r="E938" i="12"/>
  <c r="H937" i="12"/>
  <c r="F937" i="12"/>
  <c r="E937" i="12"/>
  <c r="H936" i="12"/>
  <c r="F936" i="12"/>
  <c r="E936" i="12"/>
  <c r="H935" i="12"/>
  <c r="F935" i="12"/>
  <c r="G935" i="12" s="1"/>
  <c r="E935" i="12"/>
  <c r="H934" i="12"/>
  <c r="F934" i="12"/>
  <c r="E934" i="12"/>
  <c r="H933" i="12"/>
  <c r="F933" i="12"/>
  <c r="E933" i="12"/>
  <c r="G933" i="12" s="1"/>
  <c r="H932" i="12"/>
  <c r="F932" i="12"/>
  <c r="E932" i="12"/>
  <c r="H931" i="12"/>
  <c r="F931" i="12"/>
  <c r="G931" i="12" s="1"/>
  <c r="E931" i="12"/>
  <c r="H930" i="12"/>
  <c r="F930" i="12"/>
  <c r="E930" i="12"/>
  <c r="H929" i="12"/>
  <c r="F929" i="12"/>
  <c r="E929" i="12"/>
  <c r="G929" i="12" s="1"/>
  <c r="H928" i="12"/>
  <c r="F928" i="12"/>
  <c r="E928" i="12"/>
  <c r="H927" i="12"/>
  <c r="F927" i="12"/>
  <c r="E927" i="12"/>
  <c r="H926" i="12"/>
  <c r="F926" i="12"/>
  <c r="G926" i="12" s="1"/>
  <c r="E926" i="12"/>
  <c r="H925" i="12"/>
  <c r="F925" i="12"/>
  <c r="E925" i="12"/>
  <c r="H924" i="12"/>
  <c r="F924" i="12"/>
  <c r="G924" i="12" s="1"/>
  <c r="E924" i="12"/>
  <c r="H923" i="12"/>
  <c r="F923" i="12"/>
  <c r="E923" i="12"/>
  <c r="H922" i="12"/>
  <c r="F922" i="12"/>
  <c r="K924" i="12" s="1"/>
  <c r="E922" i="12"/>
  <c r="H921" i="12"/>
  <c r="F921" i="12"/>
  <c r="E921" i="12"/>
  <c r="H920" i="12"/>
  <c r="F920" i="12"/>
  <c r="G920" i="12" s="1"/>
  <c r="E920" i="12"/>
  <c r="H919" i="12"/>
  <c r="I919" i="12" s="1"/>
  <c r="J919" i="12" s="1"/>
  <c r="F919" i="12"/>
  <c r="E919" i="12"/>
  <c r="H918" i="12"/>
  <c r="F918" i="12"/>
  <c r="K920" i="12" s="1"/>
  <c r="E918" i="12"/>
  <c r="H917" i="12"/>
  <c r="F917" i="12"/>
  <c r="G917" i="12" s="1"/>
  <c r="E917" i="12"/>
  <c r="H916" i="12"/>
  <c r="F916" i="12"/>
  <c r="G916" i="12" s="1"/>
  <c r="E916" i="12"/>
  <c r="H915" i="12"/>
  <c r="F915" i="12"/>
  <c r="E915" i="12"/>
  <c r="H914" i="12"/>
  <c r="F914" i="12"/>
  <c r="K916" i="12" s="1"/>
  <c r="E914" i="12"/>
  <c r="H913" i="12"/>
  <c r="F913" i="12"/>
  <c r="E913" i="12"/>
  <c r="H912" i="12"/>
  <c r="F912" i="12"/>
  <c r="G912" i="12" s="1"/>
  <c r="E912" i="12"/>
  <c r="H911" i="12"/>
  <c r="F911" i="12"/>
  <c r="G911" i="12" s="1"/>
  <c r="E911" i="12"/>
  <c r="H910" i="12"/>
  <c r="F910" i="12"/>
  <c r="K912" i="12" s="1"/>
  <c r="E910" i="12"/>
  <c r="H909" i="12"/>
  <c r="F909" i="12"/>
  <c r="G909" i="12" s="1"/>
  <c r="E909" i="12"/>
  <c r="H908" i="12"/>
  <c r="F908" i="12"/>
  <c r="G908" i="12" s="1"/>
  <c r="E908" i="12"/>
  <c r="H907" i="12"/>
  <c r="F907" i="12"/>
  <c r="E907" i="12"/>
  <c r="H906" i="12"/>
  <c r="F906" i="12"/>
  <c r="K908" i="12" s="1"/>
  <c r="E906" i="12"/>
  <c r="H905" i="12"/>
  <c r="F905" i="12"/>
  <c r="E905" i="12"/>
  <c r="H904" i="12"/>
  <c r="F904" i="12"/>
  <c r="G904" i="12" s="1"/>
  <c r="E904" i="12"/>
  <c r="H903" i="12"/>
  <c r="I903" i="12" s="1"/>
  <c r="J903" i="12" s="1"/>
  <c r="F903" i="12"/>
  <c r="G903" i="12" s="1"/>
  <c r="E903" i="12"/>
  <c r="H902" i="12"/>
  <c r="F902" i="12"/>
  <c r="K904" i="12" s="1"/>
  <c r="E902" i="12"/>
  <c r="H901" i="12"/>
  <c r="F901" i="12"/>
  <c r="G901" i="12" s="1"/>
  <c r="E901" i="12"/>
  <c r="H900" i="12"/>
  <c r="F900" i="12"/>
  <c r="G900" i="12" s="1"/>
  <c r="E900" i="12"/>
  <c r="H899" i="12"/>
  <c r="F899" i="12"/>
  <c r="E899" i="12"/>
  <c r="H898" i="12"/>
  <c r="F898" i="12"/>
  <c r="K900" i="12" s="1"/>
  <c r="E898" i="12"/>
  <c r="H897" i="12"/>
  <c r="F897" i="12"/>
  <c r="E897" i="12"/>
  <c r="H896" i="12"/>
  <c r="F896" i="12"/>
  <c r="G896" i="12" s="1"/>
  <c r="E896" i="12"/>
  <c r="H895" i="12"/>
  <c r="F895" i="12"/>
  <c r="G895" i="12" s="1"/>
  <c r="E895" i="12"/>
  <c r="H894" i="12"/>
  <c r="F894" i="12"/>
  <c r="K896" i="12" s="1"/>
  <c r="E894" i="12"/>
  <c r="H893" i="12"/>
  <c r="F893" i="12"/>
  <c r="G893" i="12" s="1"/>
  <c r="AD37" i="11" s="1"/>
  <c r="E893" i="12"/>
  <c r="H892" i="12"/>
  <c r="F892" i="12"/>
  <c r="G892" i="12" s="1"/>
  <c r="E892" i="12"/>
  <c r="H891" i="12"/>
  <c r="F891" i="12"/>
  <c r="E891" i="12"/>
  <c r="H890" i="12"/>
  <c r="F890" i="12"/>
  <c r="E890" i="12"/>
  <c r="H889" i="12"/>
  <c r="F889" i="12"/>
  <c r="E889" i="12"/>
  <c r="H888" i="12"/>
  <c r="F888" i="12"/>
  <c r="G888" i="12" s="1"/>
  <c r="E888" i="12"/>
  <c r="H887" i="12"/>
  <c r="F887" i="12"/>
  <c r="E887" i="12"/>
  <c r="H886" i="12"/>
  <c r="F886" i="12"/>
  <c r="K887" i="12" s="1"/>
  <c r="E886" i="12"/>
  <c r="H885" i="12"/>
  <c r="F885" i="12"/>
  <c r="E885" i="12"/>
  <c r="H884" i="12"/>
  <c r="F884" i="12"/>
  <c r="G884" i="12" s="1"/>
  <c r="E884" i="12"/>
  <c r="H883" i="12"/>
  <c r="F883" i="12"/>
  <c r="E883" i="12"/>
  <c r="H882" i="12"/>
  <c r="F882" i="12"/>
  <c r="K883" i="12" s="1"/>
  <c r="E882" i="12"/>
  <c r="H881" i="12"/>
  <c r="F881" i="12"/>
  <c r="E881" i="12"/>
  <c r="H880" i="12"/>
  <c r="F880" i="12"/>
  <c r="G880" i="12" s="1"/>
  <c r="E880" i="12"/>
  <c r="H879" i="12"/>
  <c r="F879" i="12"/>
  <c r="E879" i="12"/>
  <c r="H878" i="12"/>
  <c r="F878" i="12"/>
  <c r="K879" i="12" s="1"/>
  <c r="E878" i="12"/>
  <c r="H877" i="12"/>
  <c r="F877" i="12"/>
  <c r="E877" i="12"/>
  <c r="H876" i="12"/>
  <c r="F876" i="12"/>
  <c r="G876" i="12" s="1"/>
  <c r="E876" i="12"/>
  <c r="H875" i="12"/>
  <c r="F875" i="12"/>
  <c r="E875" i="12"/>
  <c r="H874" i="12"/>
  <c r="F874" i="12"/>
  <c r="K875" i="12" s="1"/>
  <c r="E874" i="12"/>
  <c r="H873" i="12"/>
  <c r="F873" i="12"/>
  <c r="E873" i="12"/>
  <c r="H872" i="12"/>
  <c r="F872" i="12"/>
  <c r="G872" i="12" s="1"/>
  <c r="E872" i="12"/>
  <c r="H871" i="12"/>
  <c r="F871" i="12"/>
  <c r="E871" i="12"/>
  <c r="H870" i="12"/>
  <c r="F870" i="12"/>
  <c r="K871" i="12" s="1"/>
  <c r="E870" i="12"/>
  <c r="H869" i="12"/>
  <c r="F869" i="12"/>
  <c r="E869" i="12"/>
  <c r="H868" i="12"/>
  <c r="F868" i="12"/>
  <c r="G868" i="12" s="1"/>
  <c r="E868" i="12"/>
  <c r="H867" i="12"/>
  <c r="F867" i="12"/>
  <c r="E867" i="12"/>
  <c r="H866" i="12"/>
  <c r="F866" i="12"/>
  <c r="K867" i="12" s="1"/>
  <c r="E866" i="12"/>
  <c r="H865" i="12"/>
  <c r="F865" i="12"/>
  <c r="E865" i="12"/>
  <c r="H864" i="12"/>
  <c r="F864" i="12"/>
  <c r="G864" i="12" s="1"/>
  <c r="E864" i="12"/>
  <c r="H863" i="12"/>
  <c r="F863" i="12"/>
  <c r="E863" i="12"/>
  <c r="H862" i="12"/>
  <c r="F862" i="12"/>
  <c r="K863" i="12" s="1"/>
  <c r="E862" i="12"/>
  <c r="H861" i="12"/>
  <c r="F861" i="12"/>
  <c r="E861" i="12"/>
  <c r="H860" i="12"/>
  <c r="F860" i="12"/>
  <c r="G860" i="12" s="1"/>
  <c r="E860" i="12"/>
  <c r="H859" i="12"/>
  <c r="F859" i="12"/>
  <c r="E859" i="12"/>
  <c r="H858" i="12"/>
  <c r="F858" i="12"/>
  <c r="K859" i="12" s="1"/>
  <c r="E858" i="12"/>
  <c r="H857" i="12"/>
  <c r="F857" i="12"/>
  <c r="E857" i="12"/>
  <c r="H856" i="12"/>
  <c r="F856" i="12"/>
  <c r="G856" i="12" s="1"/>
  <c r="E856" i="12"/>
  <c r="H855" i="12"/>
  <c r="F855" i="12"/>
  <c r="E855" i="12"/>
  <c r="H854" i="12"/>
  <c r="F854" i="12"/>
  <c r="K855" i="12" s="1"/>
  <c r="E854" i="12"/>
  <c r="H853" i="12"/>
  <c r="F853" i="12"/>
  <c r="E853" i="12"/>
  <c r="H852" i="12"/>
  <c r="F852" i="12"/>
  <c r="E852" i="12"/>
  <c r="H851" i="12"/>
  <c r="F851" i="12"/>
  <c r="E851" i="12"/>
  <c r="H850" i="12"/>
  <c r="F850" i="12"/>
  <c r="E850" i="12"/>
  <c r="H849" i="12"/>
  <c r="F849" i="12"/>
  <c r="E849" i="12"/>
  <c r="H848" i="12"/>
  <c r="F848" i="12"/>
  <c r="E848" i="12"/>
  <c r="H847" i="12"/>
  <c r="F847" i="12"/>
  <c r="E847" i="12"/>
  <c r="H846" i="12"/>
  <c r="F846" i="12"/>
  <c r="G846" i="12" s="1"/>
  <c r="E846" i="12"/>
  <c r="H845" i="12"/>
  <c r="F845" i="12"/>
  <c r="E845" i="12"/>
  <c r="H844" i="12"/>
  <c r="F844" i="12"/>
  <c r="E844" i="12"/>
  <c r="H843" i="12"/>
  <c r="F843" i="12"/>
  <c r="E843" i="12"/>
  <c r="H842" i="12"/>
  <c r="F842" i="12"/>
  <c r="K843" i="12" s="1"/>
  <c r="E842" i="12"/>
  <c r="H841" i="12"/>
  <c r="F841" i="12"/>
  <c r="G841" i="12" s="1"/>
  <c r="E841" i="12"/>
  <c r="H840" i="12"/>
  <c r="F840" i="12"/>
  <c r="G840" i="12" s="1"/>
  <c r="E840" i="12"/>
  <c r="H839" i="12"/>
  <c r="F839" i="12"/>
  <c r="G839" i="12" s="1"/>
  <c r="E839" i="12"/>
  <c r="H838" i="12"/>
  <c r="F838" i="12"/>
  <c r="E838" i="12"/>
  <c r="H837" i="12"/>
  <c r="F837" i="12"/>
  <c r="E837" i="12"/>
  <c r="H836" i="12"/>
  <c r="F836" i="12"/>
  <c r="E836" i="12"/>
  <c r="H835" i="12"/>
  <c r="F835" i="12"/>
  <c r="E835" i="12"/>
  <c r="H834" i="12"/>
  <c r="F834" i="12"/>
  <c r="K835" i="12" s="1"/>
  <c r="E834" i="12"/>
  <c r="H833" i="12"/>
  <c r="F833" i="12"/>
  <c r="E833" i="12"/>
  <c r="H832" i="12"/>
  <c r="F832" i="12"/>
  <c r="E832" i="12"/>
  <c r="H831" i="12"/>
  <c r="F831" i="12"/>
  <c r="E831" i="12"/>
  <c r="H830" i="12"/>
  <c r="F830" i="12"/>
  <c r="K831" i="12" s="1"/>
  <c r="E830" i="12"/>
  <c r="H829" i="12"/>
  <c r="F829" i="12"/>
  <c r="G829" i="12" s="1"/>
  <c r="AD21" i="11" s="1"/>
  <c r="E829" i="12"/>
  <c r="H828" i="12"/>
  <c r="F828" i="12"/>
  <c r="G828" i="12" s="1"/>
  <c r="AC21" i="11" s="1"/>
  <c r="E828" i="12"/>
  <c r="H827" i="12"/>
  <c r="F827" i="12"/>
  <c r="K826" i="12" s="1"/>
  <c r="E827" i="12"/>
  <c r="H826" i="12"/>
  <c r="F826" i="12"/>
  <c r="E826" i="12"/>
  <c r="H825" i="12"/>
  <c r="F825" i="12"/>
  <c r="E825" i="12"/>
  <c r="H824" i="12"/>
  <c r="F824" i="12"/>
  <c r="E824" i="12"/>
  <c r="H823" i="12"/>
  <c r="F823" i="12"/>
  <c r="E823" i="12"/>
  <c r="H822" i="12"/>
  <c r="F822" i="12"/>
  <c r="E822" i="12"/>
  <c r="H821" i="12"/>
  <c r="F821" i="12"/>
  <c r="E821" i="12"/>
  <c r="H820" i="12"/>
  <c r="F820" i="12"/>
  <c r="E820" i="12"/>
  <c r="H819" i="12"/>
  <c r="F819" i="12"/>
  <c r="E819" i="12"/>
  <c r="H818" i="12"/>
  <c r="F818" i="12"/>
  <c r="K819" i="12" s="1"/>
  <c r="E818" i="12"/>
  <c r="H817" i="12"/>
  <c r="F817" i="12"/>
  <c r="E817" i="12"/>
  <c r="H816" i="12"/>
  <c r="F816" i="12"/>
  <c r="E816" i="12"/>
  <c r="H815" i="12"/>
  <c r="F815" i="12"/>
  <c r="E815" i="12"/>
  <c r="H814" i="12"/>
  <c r="F814" i="12"/>
  <c r="K815" i="12" s="1"/>
  <c r="E814" i="12"/>
  <c r="H813" i="12"/>
  <c r="F813" i="12"/>
  <c r="G813" i="12" s="1"/>
  <c r="E813" i="12"/>
  <c r="H812" i="12"/>
  <c r="F812" i="12"/>
  <c r="G812" i="12" s="1"/>
  <c r="E812" i="12"/>
  <c r="H811" i="12"/>
  <c r="F811" i="12"/>
  <c r="E811" i="12"/>
  <c r="H810" i="12"/>
  <c r="F810" i="12"/>
  <c r="E810" i="12"/>
  <c r="H809" i="12"/>
  <c r="F809" i="12"/>
  <c r="E809" i="12"/>
  <c r="H808" i="12"/>
  <c r="F808" i="12"/>
  <c r="E808" i="12"/>
  <c r="H807" i="12"/>
  <c r="F807" i="12"/>
  <c r="E807" i="12"/>
  <c r="H806" i="12"/>
  <c r="F806" i="12"/>
  <c r="E806" i="12"/>
  <c r="H805" i="12"/>
  <c r="F805" i="12"/>
  <c r="E805" i="12"/>
  <c r="H804" i="12"/>
  <c r="F804" i="12"/>
  <c r="E804" i="12"/>
  <c r="H803" i="12"/>
  <c r="F803" i="12"/>
  <c r="E803" i="12"/>
  <c r="H802" i="12"/>
  <c r="F802" i="12"/>
  <c r="K803" i="12" s="1"/>
  <c r="E802" i="12"/>
  <c r="H801" i="12"/>
  <c r="F801" i="12"/>
  <c r="E801" i="12"/>
  <c r="H800" i="12"/>
  <c r="F800" i="12"/>
  <c r="E800" i="12"/>
  <c r="H799" i="12"/>
  <c r="F799" i="12"/>
  <c r="E799" i="12"/>
  <c r="H798" i="12"/>
  <c r="F798" i="12"/>
  <c r="K799" i="12" s="1"/>
  <c r="E798" i="12"/>
  <c r="H797" i="12"/>
  <c r="F797" i="12"/>
  <c r="G797" i="12" s="1"/>
  <c r="E797" i="12"/>
  <c r="H796" i="12"/>
  <c r="F796" i="12"/>
  <c r="G796" i="12" s="1"/>
  <c r="E796" i="12"/>
  <c r="H795" i="12"/>
  <c r="F795" i="12"/>
  <c r="E795" i="12"/>
  <c r="H794" i="12"/>
  <c r="F794" i="12"/>
  <c r="E794" i="12"/>
  <c r="H793" i="12"/>
  <c r="F793" i="12"/>
  <c r="G793" i="12" s="1"/>
  <c r="E793" i="12"/>
  <c r="H792" i="12"/>
  <c r="F792" i="12"/>
  <c r="G792" i="12" s="1"/>
  <c r="E792" i="12"/>
  <c r="H791" i="12"/>
  <c r="F791" i="12"/>
  <c r="E791" i="12"/>
  <c r="H790" i="12"/>
  <c r="F790" i="12"/>
  <c r="E790" i="12"/>
  <c r="H789" i="12"/>
  <c r="F789" i="12"/>
  <c r="E789" i="12"/>
  <c r="H788" i="12"/>
  <c r="F788" i="12"/>
  <c r="E788" i="12"/>
  <c r="H787" i="12"/>
  <c r="F787" i="12"/>
  <c r="E787" i="12"/>
  <c r="H786" i="12"/>
  <c r="F786" i="12"/>
  <c r="E786" i="12"/>
  <c r="H785" i="12"/>
  <c r="F785" i="12"/>
  <c r="E785" i="12"/>
  <c r="H784" i="12"/>
  <c r="F784" i="12"/>
  <c r="E784" i="12"/>
  <c r="H783" i="12"/>
  <c r="F783" i="12"/>
  <c r="E783" i="12"/>
  <c r="H782" i="12"/>
  <c r="F782" i="12"/>
  <c r="K783" i="12" s="1"/>
  <c r="E782" i="12"/>
  <c r="H781" i="12"/>
  <c r="F781" i="12"/>
  <c r="G781" i="12" s="1"/>
  <c r="E781" i="12"/>
  <c r="H780" i="12"/>
  <c r="F780" i="12"/>
  <c r="G780" i="12" s="1"/>
  <c r="E780" i="12"/>
  <c r="H779" i="12"/>
  <c r="F779" i="12"/>
  <c r="E779" i="12"/>
  <c r="H778" i="12"/>
  <c r="F778" i="12"/>
  <c r="E778" i="12"/>
  <c r="H777" i="12"/>
  <c r="F777" i="12"/>
  <c r="G777" i="12" s="1"/>
  <c r="E777" i="12"/>
  <c r="H776" i="12"/>
  <c r="F776" i="12"/>
  <c r="G776" i="12" s="1"/>
  <c r="E776" i="12"/>
  <c r="H775" i="12"/>
  <c r="F775" i="12"/>
  <c r="E775" i="12"/>
  <c r="H774" i="12"/>
  <c r="F774" i="12"/>
  <c r="E774" i="12"/>
  <c r="H773" i="12"/>
  <c r="F773" i="12"/>
  <c r="E773" i="12"/>
  <c r="H772" i="12"/>
  <c r="F772" i="12"/>
  <c r="E772" i="12"/>
  <c r="H771" i="12"/>
  <c r="F771" i="12"/>
  <c r="E771" i="12"/>
  <c r="H770" i="12"/>
  <c r="F770" i="12"/>
  <c r="K771" i="12" s="1"/>
  <c r="E770" i="12"/>
  <c r="H769" i="12"/>
  <c r="F769" i="12"/>
  <c r="G769" i="12" s="1"/>
  <c r="E769" i="12"/>
  <c r="H768" i="12"/>
  <c r="F768" i="12"/>
  <c r="G768" i="12" s="1"/>
  <c r="E768" i="12"/>
  <c r="H767" i="12"/>
  <c r="F767" i="12"/>
  <c r="E767" i="12"/>
  <c r="H766" i="12"/>
  <c r="F766" i="12"/>
  <c r="K767" i="12" s="1"/>
  <c r="E766" i="12"/>
  <c r="H765" i="12"/>
  <c r="F765" i="12"/>
  <c r="G765" i="12" s="1"/>
  <c r="E765" i="12"/>
  <c r="H764" i="12"/>
  <c r="F764" i="12"/>
  <c r="G764" i="12" s="1"/>
  <c r="E764" i="12"/>
  <c r="H763" i="12"/>
  <c r="F763" i="12"/>
  <c r="E763" i="12"/>
  <c r="H762" i="12"/>
  <c r="F762" i="12"/>
  <c r="K763" i="12" s="1"/>
  <c r="E762" i="12"/>
  <c r="H761" i="12"/>
  <c r="F761" i="12"/>
  <c r="G761" i="12" s="1"/>
  <c r="E761" i="12"/>
  <c r="H760" i="12"/>
  <c r="F760" i="12"/>
  <c r="G760" i="12" s="1"/>
  <c r="E760" i="12"/>
  <c r="H759" i="12"/>
  <c r="F759" i="12"/>
  <c r="E759" i="12"/>
  <c r="H758" i="12"/>
  <c r="F758" i="12"/>
  <c r="K759" i="12" s="1"/>
  <c r="E758" i="12"/>
  <c r="H757" i="12"/>
  <c r="F757" i="12"/>
  <c r="G757" i="12" s="1"/>
  <c r="E757" i="12"/>
  <c r="H756" i="12"/>
  <c r="F756" i="12"/>
  <c r="E756" i="12"/>
  <c r="H755" i="12"/>
  <c r="F755" i="12"/>
  <c r="E755" i="12"/>
  <c r="H754" i="12"/>
  <c r="F754" i="12"/>
  <c r="K755" i="12" s="1"/>
  <c r="E754" i="12"/>
  <c r="H753" i="12"/>
  <c r="F753" i="12"/>
  <c r="E753" i="12"/>
  <c r="H752" i="12"/>
  <c r="F752" i="12"/>
  <c r="E752" i="12"/>
  <c r="H751" i="12"/>
  <c r="F751" i="12"/>
  <c r="E751" i="12"/>
  <c r="H750" i="12"/>
  <c r="F750" i="12"/>
  <c r="K751" i="12" s="1"/>
  <c r="E750" i="12"/>
  <c r="H749" i="12"/>
  <c r="F749" i="12"/>
  <c r="E749" i="12"/>
  <c r="H748" i="12"/>
  <c r="F748" i="12"/>
  <c r="E748" i="12"/>
  <c r="H747" i="12"/>
  <c r="F747" i="12"/>
  <c r="E747" i="12"/>
  <c r="H746" i="12"/>
  <c r="F746" i="12"/>
  <c r="K747" i="12" s="1"/>
  <c r="E746" i="12"/>
  <c r="H745" i="12"/>
  <c r="F745" i="12"/>
  <c r="E745" i="12"/>
  <c r="H744" i="12"/>
  <c r="F744" i="12"/>
  <c r="E744" i="12"/>
  <c r="H743" i="12"/>
  <c r="F743" i="12"/>
  <c r="E743" i="12"/>
  <c r="H742" i="12"/>
  <c r="F742" i="12"/>
  <c r="K743" i="12" s="1"/>
  <c r="E742" i="12"/>
  <c r="H741" i="12"/>
  <c r="F741" i="12"/>
  <c r="E741" i="12"/>
  <c r="H740" i="12"/>
  <c r="F740" i="12"/>
  <c r="E740" i="12"/>
  <c r="H739" i="12"/>
  <c r="F739" i="12"/>
  <c r="E739" i="12"/>
  <c r="H738" i="12"/>
  <c r="F738" i="12"/>
  <c r="K739" i="12" s="1"/>
  <c r="E738" i="12"/>
  <c r="H737" i="12"/>
  <c r="F737" i="12"/>
  <c r="E737" i="12"/>
  <c r="H736" i="12"/>
  <c r="F736" i="12"/>
  <c r="E736" i="12"/>
  <c r="H735" i="12"/>
  <c r="F735" i="12"/>
  <c r="E735" i="12"/>
  <c r="H734" i="12"/>
  <c r="F734" i="12"/>
  <c r="E734" i="12"/>
  <c r="H733" i="12"/>
  <c r="F733" i="12"/>
  <c r="E733" i="12"/>
  <c r="H732" i="12"/>
  <c r="F732" i="12"/>
  <c r="E732" i="12"/>
  <c r="H731" i="12"/>
  <c r="F731" i="12"/>
  <c r="E731" i="12"/>
  <c r="H730" i="12"/>
  <c r="F730" i="12"/>
  <c r="K731" i="12" s="1"/>
  <c r="E730" i="12"/>
  <c r="H729" i="12"/>
  <c r="F729" i="12"/>
  <c r="G729" i="12" s="1"/>
  <c r="E729" i="12"/>
  <c r="H728" i="12"/>
  <c r="F728" i="12"/>
  <c r="G728" i="12" s="1"/>
  <c r="E728" i="12"/>
  <c r="H727" i="12"/>
  <c r="F727" i="12"/>
  <c r="E727" i="12"/>
  <c r="H726" i="12"/>
  <c r="F726" i="12"/>
  <c r="K727" i="12" s="1"/>
  <c r="E726" i="12"/>
  <c r="H725" i="12"/>
  <c r="F725" i="12"/>
  <c r="E725" i="12"/>
  <c r="H724" i="12"/>
  <c r="F724" i="12"/>
  <c r="E724" i="12"/>
  <c r="H723" i="12"/>
  <c r="F723" i="12"/>
  <c r="E723" i="12"/>
  <c r="H722" i="12"/>
  <c r="F722" i="12"/>
  <c r="K723" i="12" s="1"/>
  <c r="E722" i="12"/>
  <c r="H721" i="12"/>
  <c r="F721" i="12"/>
  <c r="G721" i="12" s="1"/>
  <c r="E721" i="12"/>
  <c r="H720" i="12"/>
  <c r="F720" i="12"/>
  <c r="G720" i="12" s="1"/>
  <c r="E720" i="12"/>
  <c r="H719" i="12"/>
  <c r="F719" i="12"/>
  <c r="E719" i="12"/>
  <c r="H718" i="12"/>
  <c r="F718" i="12"/>
  <c r="K719" i="12" s="1"/>
  <c r="E718" i="12"/>
  <c r="H717" i="12"/>
  <c r="F717" i="12"/>
  <c r="E717" i="12"/>
  <c r="H716" i="12"/>
  <c r="F716" i="12"/>
  <c r="E716" i="12"/>
  <c r="H715" i="12"/>
  <c r="F715" i="12"/>
  <c r="E715" i="12"/>
  <c r="H714" i="12"/>
  <c r="F714" i="12"/>
  <c r="K715" i="12" s="1"/>
  <c r="E714" i="12"/>
  <c r="H713" i="12"/>
  <c r="F713" i="12"/>
  <c r="G713" i="12" s="1"/>
  <c r="E713" i="12"/>
  <c r="H712" i="12"/>
  <c r="F712" i="12"/>
  <c r="G712" i="12" s="1"/>
  <c r="E712" i="12"/>
  <c r="H711" i="12"/>
  <c r="F711" i="12"/>
  <c r="E711" i="12"/>
  <c r="H710" i="12"/>
  <c r="F710" i="12"/>
  <c r="K711" i="12" s="1"/>
  <c r="E710" i="12"/>
  <c r="H709" i="12"/>
  <c r="F709" i="12"/>
  <c r="E709" i="12"/>
  <c r="H708" i="12"/>
  <c r="F708" i="12"/>
  <c r="E708" i="12"/>
  <c r="H707" i="12"/>
  <c r="F707" i="12"/>
  <c r="E707" i="12"/>
  <c r="H706" i="12"/>
  <c r="F706" i="12"/>
  <c r="K707" i="12" s="1"/>
  <c r="E706" i="12"/>
  <c r="H705" i="12"/>
  <c r="F705" i="12"/>
  <c r="G705" i="12" s="1"/>
  <c r="E705" i="12"/>
  <c r="H704" i="12"/>
  <c r="F704" i="12"/>
  <c r="G704" i="12" s="1"/>
  <c r="E704" i="12"/>
  <c r="H703" i="12"/>
  <c r="F703" i="12"/>
  <c r="E703" i="12"/>
  <c r="H702" i="12"/>
  <c r="F702" i="12"/>
  <c r="K703" i="12" s="1"/>
  <c r="E702" i="12"/>
  <c r="H701" i="12"/>
  <c r="F701" i="12"/>
  <c r="E701" i="12"/>
  <c r="H700" i="12"/>
  <c r="F700" i="12"/>
  <c r="E700" i="12"/>
  <c r="H699" i="12"/>
  <c r="F699" i="12"/>
  <c r="E699" i="12"/>
  <c r="H698" i="12"/>
  <c r="F698" i="12"/>
  <c r="K699" i="12" s="1"/>
  <c r="E698" i="12"/>
  <c r="H697" i="12"/>
  <c r="F697" i="12"/>
  <c r="G697" i="12" s="1"/>
  <c r="E697" i="12"/>
  <c r="H696" i="12"/>
  <c r="F696" i="12"/>
  <c r="G696" i="12" s="1"/>
  <c r="E696" i="12"/>
  <c r="H695" i="12"/>
  <c r="F695" i="12"/>
  <c r="E695" i="12"/>
  <c r="H694" i="12"/>
  <c r="F694" i="12"/>
  <c r="K695" i="12" s="1"/>
  <c r="E694" i="12"/>
  <c r="H693" i="12"/>
  <c r="F693" i="12"/>
  <c r="E693" i="12"/>
  <c r="H692" i="12"/>
  <c r="F692" i="12"/>
  <c r="E692" i="12"/>
  <c r="H691" i="12"/>
  <c r="F691" i="12"/>
  <c r="E691" i="12"/>
  <c r="H690" i="12"/>
  <c r="F690" i="12"/>
  <c r="K691" i="12" s="1"/>
  <c r="E690" i="12"/>
  <c r="H689" i="12"/>
  <c r="F689" i="12"/>
  <c r="G689" i="12" s="1"/>
  <c r="E689" i="12"/>
  <c r="H688" i="12"/>
  <c r="F688" i="12"/>
  <c r="G688" i="12" s="1"/>
  <c r="E688" i="12"/>
  <c r="H687" i="12"/>
  <c r="F687" i="12"/>
  <c r="E687" i="12"/>
  <c r="H686" i="12"/>
  <c r="F686" i="12"/>
  <c r="K687" i="12" s="1"/>
  <c r="E686" i="12"/>
  <c r="H685" i="12"/>
  <c r="F685" i="12"/>
  <c r="G685" i="12" s="1"/>
  <c r="E685" i="12"/>
  <c r="H684" i="12"/>
  <c r="F684" i="12"/>
  <c r="E684" i="12"/>
  <c r="H683" i="12"/>
  <c r="F683" i="12"/>
  <c r="E683" i="12"/>
  <c r="H682" i="12"/>
  <c r="F682" i="12"/>
  <c r="K683" i="12" s="1"/>
  <c r="E682" i="12"/>
  <c r="H681" i="12"/>
  <c r="F681" i="12"/>
  <c r="E681" i="12"/>
  <c r="H680" i="12"/>
  <c r="F680" i="12"/>
  <c r="E680" i="12"/>
  <c r="H679" i="12"/>
  <c r="F679" i="12"/>
  <c r="G679" i="12" s="1"/>
  <c r="E679" i="12"/>
  <c r="H678" i="12"/>
  <c r="F678" i="12"/>
  <c r="E678" i="12"/>
  <c r="H677" i="12"/>
  <c r="F677" i="12"/>
  <c r="E677" i="12"/>
  <c r="H676" i="12"/>
  <c r="F676" i="12"/>
  <c r="E676" i="12"/>
  <c r="H675" i="12"/>
  <c r="F675" i="12"/>
  <c r="E675" i="12"/>
  <c r="H674" i="12"/>
  <c r="F674" i="12"/>
  <c r="E674" i="12"/>
  <c r="H673" i="12"/>
  <c r="F673" i="12"/>
  <c r="G673" i="12" s="1"/>
  <c r="E673" i="12"/>
  <c r="H672" i="12"/>
  <c r="F672" i="12"/>
  <c r="E672" i="12"/>
  <c r="H671" i="12"/>
  <c r="F671" i="12"/>
  <c r="E671" i="12"/>
  <c r="H670" i="12"/>
  <c r="F670" i="12"/>
  <c r="K670" i="12" s="1"/>
  <c r="E670" i="12"/>
  <c r="H669" i="12"/>
  <c r="F669" i="12"/>
  <c r="G669" i="12" s="1"/>
  <c r="E669" i="12"/>
  <c r="H668" i="12"/>
  <c r="F668" i="12"/>
  <c r="E668" i="12"/>
  <c r="H667" i="12"/>
  <c r="F667" i="12"/>
  <c r="G667" i="12" s="1"/>
  <c r="E667" i="12"/>
  <c r="H666" i="12"/>
  <c r="F666" i="12"/>
  <c r="K666" i="12" s="1"/>
  <c r="E666" i="12"/>
  <c r="H665" i="12"/>
  <c r="F665" i="12"/>
  <c r="G665" i="12" s="1"/>
  <c r="E665" i="12"/>
  <c r="H664" i="12"/>
  <c r="F664" i="12"/>
  <c r="E664" i="12"/>
  <c r="H663" i="12"/>
  <c r="F663" i="12"/>
  <c r="E663" i="12"/>
  <c r="H662" i="12"/>
  <c r="F662" i="12"/>
  <c r="K662" i="12" s="1"/>
  <c r="E662" i="12"/>
  <c r="H661" i="12"/>
  <c r="F661" i="12"/>
  <c r="G661" i="12" s="1"/>
  <c r="E661" i="12"/>
  <c r="H660" i="12"/>
  <c r="F660" i="12"/>
  <c r="E660" i="12"/>
  <c r="H659" i="12"/>
  <c r="F659" i="12"/>
  <c r="G659" i="12" s="1"/>
  <c r="E659" i="12"/>
  <c r="H658" i="12"/>
  <c r="F658" i="12"/>
  <c r="K658" i="12" s="1"/>
  <c r="E658" i="12"/>
  <c r="H657" i="12"/>
  <c r="F657" i="12"/>
  <c r="G657" i="12" s="1"/>
  <c r="E657" i="12"/>
  <c r="H656" i="12"/>
  <c r="F656" i="12"/>
  <c r="E656" i="12"/>
  <c r="H655" i="12"/>
  <c r="F655" i="12"/>
  <c r="E655" i="12"/>
  <c r="H654" i="12"/>
  <c r="F654" i="12"/>
  <c r="K654" i="12" s="1"/>
  <c r="E654" i="12"/>
  <c r="H653" i="12"/>
  <c r="F653" i="12"/>
  <c r="G653" i="12" s="1"/>
  <c r="E653" i="12"/>
  <c r="H652" i="12"/>
  <c r="F652" i="12"/>
  <c r="E652" i="12"/>
  <c r="H651" i="12"/>
  <c r="F651" i="12"/>
  <c r="G651" i="12" s="1"/>
  <c r="E651" i="12"/>
  <c r="H650" i="12"/>
  <c r="F650" i="12"/>
  <c r="K650" i="12" s="1"/>
  <c r="E650" i="12"/>
  <c r="H649" i="12"/>
  <c r="F649" i="12"/>
  <c r="G649" i="12" s="1"/>
  <c r="E649" i="12"/>
  <c r="H648" i="12"/>
  <c r="F648" i="12"/>
  <c r="E648" i="12"/>
  <c r="H647" i="12"/>
  <c r="F647" i="12"/>
  <c r="E647" i="12"/>
  <c r="H646" i="12"/>
  <c r="F646" i="12"/>
  <c r="K646" i="12" s="1"/>
  <c r="E646" i="12"/>
  <c r="H645" i="12"/>
  <c r="F645" i="12"/>
  <c r="G645" i="12" s="1"/>
  <c r="E645" i="12"/>
  <c r="H644" i="12"/>
  <c r="F644" i="12"/>
  <c r="E644" i="12"/>
  <c r="H643" i="12"/>
  <c r="F643" i="12"/>
  <c r="G643" i="12" s="1"/>
  <c r="E643" i="12"/>
  <c r="H642" i="12"/>
  <c r="F642" i="12"/>
  <c r="K642" i="12" s="1"/>
  <c r="E642" i="12"/>
  <c r="H641" i="12"/>
  <c r="F641" i="12"/>
  <c r="G641" i="12" s="1"/>
  <c r="J38" i="11" s="1"/>
  <c r="E641" i="12"/>
  <c r="H640" i="12"/>
  <c r="F640" i="12"/>
  <c r="E640" i="12"/>
  <c r="H639" i="12"/>
  <c r="F639" i="12"/>
  <c r="E639" i="12"/>
  <c r="H638" i="12"/>
  <c r="F638" i="12"/>
  <c r="K638" i="12" s="1"/>
  <c r="E638" i="12"/>
  <c r="H637" i="12"/>
  <c r="F637" i="12"/>
  <c r="G637" i="12" s="1"/>
  <c r="E637" i="12"/>
  <c r="H636" i="12"/>
  <c r="F636" i="12"/>
  <c r="E636" i="12"/>
  <c r="H635" i="12"/>
  <c r="F635" i="12"/>
  <c r="G635" i="12" s="1"/>
  <c r="E635" i="12"/>
  <c r="H634" i="12"/>
  <c r="F634" i="12"/>
  <c r="K634" i="12" s="1"/>
  <c r="E634" i="12"/>
  <c r="H633" i="12"/>
  <c r="F633" i="12"/>
  <c r="G633" i="12" s="1"/>
  <c r="E633" i="12"/>
  <c r="H632" i="12"/>
  <c r="F632" i="12"/>
  <c r="E632" i="12"/>
  <c r="H631" i="12"/>
  <c r="F631" i="12"/>
  <c r="E631" i="12"/>
  <c r="H630" i="12"/>
  <c r="F630" i="12"/>
  <c r="K630" i="12" s="1"/>
  <c r="E630" i="12"/>
  <c r="H629" i="12"/>
  <c r="F629" i="12"/>
  <c r="G629" i="12" s="1"/>
  <c r="E629" i="12"/>
  <c r="H628" i="12"/>
  <c r="F628" i="12"/>
  <c r="E628" i="12"/>
  <c r="H627" i="12"/>
  <c r="F627" i="12"/>
  <c r="G627" i="12" s="1"/>
  <c r="E627" i="12"/>
  <c r="H626" i="12"/>
  <c r="F626" i="12"/>
  <c r="K626" i="12" s="1"/>
  <c r="E626" i="12"/>
  <c r="H625" i="12"/>
  <c r="F625" i="12"/>
  <c r="G625" i="12" s="1"/>
  <c r="E625" i="12"/>
  <c r="H624" i="12"/>
  <c r="F624" i="12"/>
  <c r="E624" i="12"/>
  <c r="H623" i="12"/>
  <c r="F623" i="12"/>
  <c r="E623" i="12"/>
  <c r="H622" i="12"/>
  <c r="F622" i="12"/>
  <c r="K622" i="12" s="1"/>
  <c r="E622" i="12"/>
  <c r="H621" i="12"/>
  <c r="F621" i="12"/>
  <c r="G621" i="12" s="1"/>
  <c r="E621" i="12"/>
  <c r="H620" i="12"/>
  <c r="F620" i="12"/>
  <c r="E620" i="12"/>
  <c r="H619" i="12"/>
  <c r="F619" i="12"/>
  <c r="G619" i="12" s="1"/>
  <c r="E619" i="12"/>
  <c r="H618" i="12"/>
  <c r="F618" i="12"/>
  <c r="K618" i="12" s="1"/>
  <c r="E618" i="12"/>
  <c r="H617" i="12"/>
  <c r="F617" i="12"/>
  <c r="G617" i="12" s="1"/>
  <c r="E617" i="12"/>
  <c r="H616" i="12"/>
  <c r="F616" i="12"/>
  <c r="E616" i="12"/>
  <c r="H615" i="12"/>
  <c r="F615" i="12"/>
  <c r="E615" i="12"/>
  <c r="H614" i="12"/>
  <c r="F614" i="12"/>
  <c r="K614" i="12" s="1"/>
  <c r="E614" i="12"/>
  <c r="H613" i="12"/>
  <c r="F613" i="12"/>
  <c r="G613" i="12" s="1"/>
  <c r="E613" i="12"/>
  <c r="H612" i="12"/>
  <c r="F612" i="12"/>
  <c r="E612" i="12"/>
  <c r="H611" i="12"/>
  <c r="F611" i="12"/>
  <c r="G611" i="12" s="1"/>
  <c r="E611" i="12"/>
  <c r="H610" i="12"/>
  <c r="F610" i="12"/>
  <c r="K610" i="12" s="1"/>
  <c r="E610" i="12"/>
  <c r="H609" i="12"/>
  <c r="F609" i="12"/>
  <c r="G609" i="12" s="1"/>
  <c r="E609" i="12"/>
  <c r="H608" i="12"/>
  <c r="F608" i="12"/>
  <c r="E608" i="12"/>
  <c r="H607" i="12"/>
  <c r="F607" i="12"/>
  <c r="E607" i="12"/>
  <c r="H606" i="12"/>
  <c r="F606" i="12"/>
  <c r="K606" i="12" s="1"/>
  <c r="E606" i="12"/>
  <c r="H605" i="12"/>
  <c r="F605" i="12"/>
  <c r="G605" i="12" s="1"/>
  <c r="E605" i="12"/>
  <c r="H604" i="12"/>
  <c r="F604" i="12"/>
  <c r="E604" i="12"/>
  <c r="H603" i="12"/>
  <c r="F603" i="12"/>
  <c r="G603" i="12" s="1"/>
  <c r="E603" i="12"/>
  <c r="H602" i="12"/>
  <c r="F602" i="12"/>
  <c r="K602" i="12" s="1"/>
  <c r="E602" i="12"/>
  <c r="H601" i="12"/>
  <c r="F601" i="12"/>
  <c r="G601" i="12" s="1"/>
  <c r="E601" i="12"/>
  <c r="H600" i="12"/>
  <c r="F600" i="12"/>
  <c r="E600" i="12"/>
  <c r="H599" i="12"/>
  <c r="F599" i="12"/>
  <c r="E599" i="12"/>
  <c r="H598" i="12"/>
  <c r="F598" i="12"/>
  <c r="E598" i="12"/>
  <c r="H597" i="12"/>
  <c r="F597" i="12"/>
  <c r="G597" i="12" s="1"/>
  <c r="E597" i="12"/>
  <c r="H596" i="12"/>
  <c r="F596" i="12"/>
  <c r="E596" i="12"/>
  <c r="H595" i="12"/>
  <c r="F595" i="12"/>
  <c r="E595" i="12"/>
  <c r="H594" i="12"/>
  <c r="F594" i="12"/>
  <c r="E594" i="12"/>
  <c r="H593" i="12"/>
  <c r="F593" i="12"/>
  <c r="G593" i="12" s="1"/>
  <c r="E593" i="12"/>
  <c r="H592" i="12"/>
  <c r="F592" i="12"/>
  <c r="E592" i="12"/>
  <c r="H591" i="12"/>
  <c r="F591" i="12"/>
  <c r="E591" i="12"/>
  <c r="H590" i="12"/>
  <c r="F590" i="12"/>
  <c r="E590" i="12"/>
  <c r="H589" i="12"/>
  <c r="F589" i="12"/>
  <c r="G589" i="12" s="1"/>
  <c r="E589" i="12"/>
  <c r="H588" i="12"/>
  <c r="F588" i="12"/>
  <c r="E588" i="12"/>
  <c r="H587" i="12"/>
  <c r="F587" i="12"/>
  <c r="E587" i="12"/>
  <c r="H586" i="12"/>
  <c r="F586" i="12"/>
  <c r="E586" i="12"/>
  <c r="H585" i="12"/>
  <c r="F585" i="12"/>
  <c r="G585" i="12" s="1"/>
  <c r="E585" i="12"/>
  <c r="H584" i="12"/>
  <c r="F584" i="12"/>
  <c r="E584" i="12"/>
  <c r="H583" i="12"/>
  <c r="F583" i="12"/>
  <c r="E583" i="12"/>
  <c r="H582" i="12"/>
  <c r="F582" i="12"/>
  <c r="E582" i="12"/>
  <c r="H581" i="12"/>
  <c r="F581" i="12"/>
  <c r="G581" i="12" s="1"/>
  <c r="E581" i="12"/>
  <c r="H580" i="12"/>
  <c r="F580" i="12"/>
  <c r="E580" i="12"/>
  <c r="H579" i="12"/>
  <c r="F579" i="12"/>
  <c r="E579" i="12"/>
  <c r="H578" i="12"/>
  <c r="F578" i="12"/>
  <c r="E578" i="12"/>
  <c r="H577" i="12"/>
  <c r="F577" i="12"/>
  <c r="G577" i="12" s="1"/>
  <c r="E577" i="12"/>
  <c r="H576" i="12"/>
  <c r="F576" i="12"/>
  <c r="E576" i="12"/>
  <c r="H575" i="12"/>
  <c r="F575" i="12"/>
  <c r="E575" i="12"/>
  <c r="H574" i="12"/>
  <c r="F574" i="12"/>
  <c r="E574" i="12"/>
  <c r="H573" i="12"/>
  <c r="F573" i="12"/>
  <c r="G573" i="12" s="1"/>
  <c r="E573" i="12"/>
  <c r="H572" i="12"/>
  <c r="F572" i="12"/>
  <c r="E572" i="12"/>
  <c r="H571" i="12"/>
  <c r="F571" i="12"/>
  <c r="E571" i="12"/>
  <c r="H570" i="12"/>
  <c r="F570" i="12"/>
  <c r="E570" i="12"/>
  <c r="H569" i="12"/>
  <c r="F569" i="12"/>
  <c r="G569" i="12" s="1"/>
  <c r="E569" i="12"/>
  <c r="H568" i="12"/>
  <c r="F568" i="12"/>
  <c r="E568" i="12"/>
  <c r="H567" i="12"/>
  <c r="F567" i="12"/>
  <c r="E567" i="12"/>
  <c r="H566" i="12"/>
  <c r="F566" i="12"/>
  <c r="E566" i="12"/>
  <c r="H565" i="12"/>
  <c r="F565" i="12"/>
  <c r="G565" i="12" s="1"/>
  <c r="E565" i="12"/>
  <c r="H564" i="12"/>
  <c r="F564" i="12"/>
  <c r="E564" i="12"/>
  <c r="H563" i="12"/>
  <c r="F563" i="12"/>
  <c r="E563" i="12"/>
  <c r="H562" i="12"/>
  <c r="F562" i="12"/>
  <c r="E562" i="12"/>
  <c r="H561" i="12"/>
  <c r="F561" i="12"/>
  <c r="G561" i="12" s="1"/>
  <c r="E561" i="12"/>
  <c r="H560" i="12"/>
  <c r="F560" i="12"/>
  <c r="E560" i="12"/>
  <c r="H559" i="12"/>
  <c r="F559" i="12"/>
  <c r="E559" i="12"/>
  <c r="H558" i="12"/>
  <c r="F558" i="12"/>
  <c r="E558" i="12"/>
  <c r="H557" i="12"/>
  <c r="F557" i="12"/>
  <c r="G557" i="12" s="1"/>
  <c r="E557" i="12"/>
  <c r="H556" i="12"/>
  <c r="F556" i="12"/>
  <c r="E556" i="12"/>
  <c r="H555" i="12"/>
  <c r="F555" i="12"/>
  <c r="E555" i="12"/>
  <c r="H554" i="12"/>
  <c r="F554" i="12"/>
  <c r="E554" i="12"/>
  <c r="H553" i="12"/>
  <c r="F553" i="12"/>
  <c r="G553" i="12" s="1"/>
  <c r="E553" i="12"/>
  <c r="H552" i="12"/>
  <c r="F552" i="12"/>
  <c r="E552" i="12"/>
  <c r="H551" i="12"/>
  <c r="F551" i="12"/>
  <c r="E551" i="12"/>
  <c r="H550" i="12"/>
  <c r="F550" i="12"/>
  <c r="E550" i="12"/>
  <c r="H549" i="12"/>
  <c r="F549" i="12"/>
  <c r="G549" i="12" s="1"/>
  <c r="J15" i="11" s="1"/>
  <c r="E549" i="12"/>
  <c r="H548" i="12"/>
  <c r="F548" i="12"/>
  <c r="E548" i="12"/>
  <c r="H547" i="12"/>
  <c r="F547" i="12"/>
  <c r="E547" i="12"/>
  <c r="H546" i="12"/>
  <c r="F546" i="12"/>
  <c r="E546" i="12"/>
  <c r="H545" i="12"/>
  <c r="F545" i="12"/>
  <c r="G545" i="12" s="1"/>
  <c r="E545" i="12"/>
  <c r="H544" i="12"/>
  <c r="F544" i="12"/>
  <c r="G544" i="12" s="1"/>
  <c r="E544" i="12"/>
  <c r="H543" i="12"/>
  <c r="F543" i="12"/>
  <c r="E543" i="12"/>
  <c r="H542" i="12"/>
  <c r="F542" i="12"/>
  <c r="K545" i="12" s="1"/>
  <c r="E542" i="12"/>
  <c r="H541" i="12"/>
  <c r="F541" i="12"/>
  <c r="E541" i="12"/>
  <c r="H540" i="12"/>
  <c r="F540" i="12"/>
  <c r="G540" i="12" s="1"/>
  <c r="I13" i="11" s="1"/>
  <c r="E540" i="12"/>
  <c r="H539" i="12"/>
  <c r="F539" i="12"/>
  <c r="E539" i="12"/>
  <c r="H538" i="12"/>
  <c r="F538" i="12"/>
  <c r="K541" i="12" s="1"/>
  <c r="E538" i="12"/>
  <c r="H537" i="12"/>
  <c r="F537" i="12"/>
  <c r="G537" i="12" s="1"/>
  <c r="E537" i="12"/>
  <c r="H536" i="12"/>
  <c r="F536" i="12"/>
  <c r="E536" i="12"/>
  <c r="H535" i="12"/>
  <c r="F535" i="12"/>
  <c r="E535" i="12"/>
  <c r="H534" i="12"/>
  <c r="F534" i="12"/>
  <c r="K537" i="12" s="1"/>
  <c r="E534" i="12"/>
  <c r="H533" i="12"/>
  <c r="F533" i="12"/>
  <c r="G533" i="12" s="1"/>
  <c r="E533" i="12"/>
  <c r="H532" i="12"/>
  <c r="F532" i="12"/>
  <c r="E532" i="12"/>
  <c r="H531" i="12"/>
  <c r="F531" i="12"/>
  <c r="E531" i="12"/>
  <c r="H530" i="12"/>
  <c r="F530" i="12"/>
  <c r="K533" i="12" s="1"/>
  <c r="E530" i="12"/>
  <c r="H529" i="12"/>
  <c r="F529" i="12"/>
  <c r="E529" i="12"/>
  <c r="H528" i="12"/>
  <c r="F528" i="12"/>
  <c r="E528" i="12"/>
  <c r="H527" i="12"/>
  <c r="F527" i="12"/>
  <c r="E527" i="12"/>
  <c r="H526" i="12"/>
  <c r="F526" i="12"/>
  <c r="K529" i="12" s="1"/>
  <c r="E526" i="12"/>
  <c r="H525" i="12"/>
  <c r="F525" i="12"/>
  <c r="G525" i="12" s="1"/>
  <c r="E525" i="12"/>
  <c r="H524" i="12"/>
  <c r="F524" i="12"/>
  <c r="E524" i="12"/>
  <c r="H523" i="12"/>
  <c r="F523" i="12"/>
  <c r="E523" i="12"/>
  <c r="H522" i="12"/>
  <c r="F522" i="12"/>
  <c r="K525" i="12" s="1"/>
  <c r="E522" i="12"/>
  <c r="H521" i="12"/>
  <c r="F521" i="12"/>
  <c r="E521" i="12"/>
  <c r="H520" i="12"/>
  <c r="F520" i="12"/>
  <c r="E520" i="12"/>
  <c r="H519" i="12"/>
  <c r="F519" i="12"/>
  <c r="E519" i="12"/>
  <c r="H518" i="12"/>
  <c r="F518" i="12"/>
  <c r="K521" i="12" s="1"/>
  <c r="E518" i="12"/>
  <c r="H517" i="12"/>
  <c r="F517" i="12"/>
  <c r="G517" i="12" s="1"/>
  <c r="E517" i="12"/>
  <c r="H516" i="12"/>
  <c r="F516" i="12"/>
  <c r="E516" i="12"/>
  <c r="H515" i="12"/>
  <c r="F515" i="12"/>
  <c r="E515" i="12"/>
  <c r="H514" i="12"/>
  <c r="F514" i="12"/>
  <c r="K517" i="12" s="1"/>
  <c r="E514" i="12"/>
  <c r="H513" i="12"/>
  <c r="F513" i="12"/>
  <c r="E513" i="12"/>
  <c r="H512" i="12"/>
  <c r="F512" i="12"/>
  <c r="E512" i="12"/>
  <c r="H511" i="12"/>
  <c r="F511" i="12"/>
  <c r="E511" i="12"/>
  <c r="H510" i="12"/>
  <c r="F510" i="12"/>
  <c r="K510" i="12" s="1"/>
  <c r="E510" i="12"/>
  <c r="H509" i="12"/>
  <c r="F509" i="12"/>
  <c r="E509" i="12"/>
  <c r="H508" i="12"/>
  <c r="F508" i="12"/>
  <c r="E508" i="12"/>
  <c r="H507" i="12"/>
  <c r="F507" i="12"/>
  <c r="G507" i="12" s="1"/>
  <c r="E507" i="12"/>
  <c r="H506" i="12"/>
  <c r="F506" i="12"/>
  <c r="K509" i="12" s="1"/>
  <c r="E506" i="12"/>
  <c r="H505" i="12"/>
  <c r="F505" i="12"/>
  <c r="E505" i="12"/>
  <c r="H504" i="12"/>
  <c r="F504" i="12"/>
  <c r="E504" i="12"/>
  <c r="H503" i="12"/>
  <c r="F503" i="12"/>
  <c r="G503" i="12" s="1"/>
  <c r="AG36" i="11" s="1"/>
  <c r="E503" i="12"/>
  <c r="H502" i="12"/>
  <c r="F502" i="12"/>
  <c r="K505" i="12" s="1"/>
  <c r="E502" i="12"/>
  <c r="H501" i="12"/>
  <c r="F501" i="12"/>
  <c r="E501" i="12"/>
  <c r="H500" i="12"/>
  <c r="F500" i="12"/>
  <c r="E500" i="12"/>
  <c r="H499" i="12"/>
  <c r="F499" i="12"/>
  <c r="E499" i="12"/>
  <c r="H498" i="12"/>
  <c r="F498" i="12"/>
  <c r="K501" i="12" s="1"/>
  <c r="E498" i="12"/>
  <c r="H497" i="12"/>
  <c r="F497" i="12"/>
  <c r="E497" i="12"/>
  <c r="H496" i="12"/>
  <c r="F496" i="12"/>
  <c r="E496" i="12"/>
  <c r="H495" i="12"/>
  <c r="F495" i="12"/>
  <c r="G495" i="12" s="1"/>
  <c r="E495" i="12"/>
  <c r="H494" i="12"/>
  <c r="F494" i="12"/>
  <c r="K497" i="12" s="1"/>
  <c r="E494" i="12"/>
  <c r="H493" i="12"/>
  <c r="F493" i="12"/>
  <c r="E493" i="12"/>
  <c r="H492" i="12"/>
  <c r="F492" i="12"/>
  <c r="E492" i="12"/>
  <c r="H491" i="12"/>
  <c r="F491" i="12"/>
  <c r="G491" i="12" s="1"/>
  <c r="E491" i="12"/>
  <c r="H490" i="12"/>
  <c r="F490" i="12"/>
  <c r="K493" i="12" s="1"/>
  <c r="E490" i="12"/>
  <c r="H489" i="12"/>
  <c r="F489" i="12"/>
  <c r="E489" i="12"/>
  <c r="H488" i="12"/>
  <c r="F488" i="12"/>
  <c r="E488" i="12"/>
  <c r="H487" i="12"/>
  <c r="F487" i="12"/>
  <c r="G487" i="12" s="1"/>
  <c r="AG32" i="11" s="1"/>
  <c r="E487" i="12"/>
  <c r="H486" i="12"/>
  <c r="F486" i="12"/>
  <c r="K489" i="12" s="1"/>
  <c r="E486" i="12"/>
  <c r="H485" i="12"/>
  <c r="F485" i="12"/>
  <c r="E485" i="12"/>
  <c r="H484" i="12"/>
  <c r="F484" i="12"/>
  <c r="E484" i="12"/>
  <c r="H483" i="12"/>
  <c r="F483" i="12"/>
  <c r="E483" i="12"/>
  <c r="H482" i="12"/>
  <c r="F482" i="12"/>
  <c r="K485" i="12" s="1"/>
  <c r="E482" i="12"/>
  <c r="H481" i="12"/>
  <c r="F481" i="12"/>
  <c r="E481" i="12"/>
  <c r="H480" i="12"/>
  <c r="F480" i="12"/>
  <c r="E480" i="12"/>
  <c r="H479" i="12"/>
  <c r="F479" i="12"/>
  <c r="E479" i="12"/>
  <c r="H478" i="12"/>
  <c r="F478" i="12"/>
  <c r="K481" i="12" s="1"/>
  <c r="E478" i="12"/>
  <c r="H477" i="12"/>
  <c r="F477" i="12"/>
  <c r="E477" i="12"/>
  <c r="H476" i="12"/>
  <c r="F476" i="12"/>
  <c r="E476" i="12"/>
  <c r="H475" i="12"/>
  <c r="F475" i="12"/>
  <c r="G475" i="12" s="1"/>
  <c r="AG29" i="11" s="1"/>
  <c r="E475" i="12"/>
  <c r="H474" i="12"/>
  <c r="F474" i="12"/>
  <c r="K477" i="12" s="1"/>
  <c r="E474" i="12"/>
  <c r="H473" i="12"/>
  <c r="F473" i="12"/>
  <c r="E473" i="12"/>
  <c r="H472" i="12"/>
  <c r="F472" i="12"/>
  <c r="E472" i="12"/>
  <c r="H471" i="12"/>
  <c r="F471" i="12"/>
  <c r="E471" i="12"/>
  <c r="H470" i="12"/>
  <c r="F470" i="12"/>
  <c r="K473" i="12" s="1"/>
  <c r="E470" i="12"/>
  <c r="H469" i="12"/>
  <c r="F469" i="12"/>
  <c r="E469" i="12"/>
  <c r="H468" i="12"/>
  <c r="F468" i="12"/>
  <c r="E468" i="12"/>
  <c r="H467" i="12"/>
  <c r="F467" i="12"/>
  <c r="E467" i="12"/>
  <c r="H466" i="12"/>
  <c r="F466" i="12"/>
  <c r="K469" i="12" s="1"/>
  <c r="E466" i="12"/>
  <c r="H465" i="12"/>
  <c r="F465" i="12"/>
  <c r="E465" i="12"/>
  <c r="H464" i="12"/>
  <c r="F464" i="12"/>
  <c r="E464" i="12"/>
  <c r="H463" i="12"/>
  <c r="F463" i="12"/>
  <c r="G463" i="12" s="1"/>
  <c r="AG26" i="11" s="1"/>
  <c r="E463" i="12"/>
  <c r="H462" i="12"/>
  <c r="F462" i="12"/>
  <c r="K465" i="12" s="1"/>
  <c r="E462" i="12"/>
  <c r="H461" i="12"/>
  <c r="F461" i="12"/>
  <c r="E461" i="12"/>
  <c r="H460" i="12"/>
  <c r="F460" i="12"/>
  <c r="E460" i="12"/>
  <c r="H459" i="12"/>
  <c r="F459" i="12"/>
  <c r="G459" i="12" s="1"/>
  <c r="AG25" i="11" s="1"/>
  <c r="E459" i="12"/>
  <c r="H458" i="12"/>
  <c r="F458" i="12"/>
  <c r="K461" i="12" s="1"/>
  <c r="E458" i="12"/>
  <c r="H457" i="12"/>
  <c r="F457" i="12"/>
  <c r="E457" i="12"/>
  <c r="H456" i="12"/>
  <c r="F456" i="12"/>
  <c r="E456" i="12"/>
  <c r="H455" i="12"/>
  <c r="G455" i="12"/>
  <c r="AG24" i="11" s="1"/>
  <c r="F455" i="12"/>
  <c r="E455" i="12"/>
  <c r="H454" i="12"/>
  <c r="F454" i="12"/>
  <c r="K457" i="12" s="1"/>
  <c r="E454" i="12"/>
  <c r="H453" i="12"/>
  <c r="F453" i="12"/>
  <c r="E453" i="12"/>
  <c r="H452" i="12"/>
  <c r="F452" i="12"/>
  <c r="E452" i="12"/>
  <c r="H451" i="12"/>
  <c r="F451" i="12"/>
  <c r="E451" i="12"/>
  <c r="H450" i="12"/>
  <c r="F450" i="12"/>
  <c r="K453" i="12" s="1"/>
  <c r="E450" i="12"/>
  <c r="H449" i="12"/>
  <c r="F449" i="12"/>
  <c r="E449" i="12"/>
  <c r="H448" i="12"/>
  <c r="F448" i="12"/>
  <c r="E448" i="12"/>
  <c r="H447" i="12"/>
  <c r="F447" i="12"/>
  <c r="G447" i="12" s="1"/>
  <c r="E447" i="12"/>
  <c r="H446" i="12"/>
  <c r="F446" i="12"/>
  <c r="K449" i="12" s="1"/>
  <c r="E446" i="12"/>
  <c r="H445" i="12"/>
  <c r="F445" i="12"/>
  <c r="E445" i="12"/>
  <c r="H444" i="12"/>
  <c r="F444" i="12"/>
  <c r="E444" i="12"/>
  <c r="H443" i="12"/>
  <c r="F443" i="12"/>
  <c r="G443" i="12" s="1"/>
  <c r="E443" i="12"/>
  <c r="H442" i="12"/>
  <c r="F442" i="12"/>
  <c r="E442" i="12"/>
  <c r="H441" i="12"/>
  <c r="F441" i="12"/>
  <c r="E441" i="12"/>
  <c r="H440" i="12"/>
  <c r="F440" i="12"/>
  <c r="E440" i="12"/>
  <c r="H439" i="12"/>
  <c r="F439" i="12"/>
  <c r="E439" i="12"/>
  <c r="H438" i="12"/>
  <c r="F438" i="12"/>
  <c r="E438" i="12"/>
  <c r="H437" i="12"/>
  <c r="F437" i="12"/>
  <c r="E437" i="12"/>
  <c r="H436" i="12"/>
  <c r="F436" i="12"/>
  <c r="E436" i="12"/>
  <c r="H435" i="12"/>
  <c r="F435" i="12"/>
  <c r="E435" i="12"/>
  <c r="H434" i="12"/>
  <c r="F434" i="12"/>
  <c r="E434" i="12"/>
  <c r="H433" i="12"/>
  <c r="F433" i="12"/>
  <c r="E433" i="12"/>
  <c r="H432" i="12"/>
  <c r="F432" i="12"/>
  <c r="E432" i="12"/>
  <c r="H431" i="12"/>
  <c r="F431" i="12"/>
  <c r="G431" i="12" s="1"/>
  <c r="E431" i="12"/>
  <c r="H430" i="12"/>
  <c r="F430" i="12"/>
  <c r="E430" i="12"/>
  <c r="H429" i="12"/>
  <c r="F429" i="12"/>
  <c r="E429" i="12"/>
  <c r="H428" i="12"/>
  <c r="F428" i="12"/>
  <c r="E428" i="12"/>
  <c r="H427" i="12"/>
  <c r="F427" i="12"/>
  <c r="G427" i="12" s="1"/>
  <c r="E427" i="12"/>
  <c r="H426" i="12"/>
  <c r="F426" i="12"/>
  <c r="E426" i="12"/>
  <c r="H425" i="12"/>
  <c r="F425" i="12"/>
  <c r="E425" i="12"/>
  <c r="H424" i="12"/>
  <c r="F424" i="12"/>
  <c r="E424" i="12"/>
  <c r="H423" i="12"/>
  <c r="I423" i="12" s="1"/>
  <c r="F423" i="12"/>
  <c r="G423" i="12" s="1"/>
  <c r="E423" i="12"/>
  <c r="H422" i="12"/>
  <c r="F422" i="12"/>
  <c r="E422" i="12"/>
  <c r="H421" i="12"/>
  <c r="F421" i="12"/>
  <c r="E421" i="12"/>
  <c r="H420" i="12"/>
  <c r="F420" i="12"/>
  <c r="G420" i="12" s="1"/>
  <c r="E420" i="12"/>
  <c r="H419" i="12"/>
  <c r="F419" i="12"/>
  <c r="E419" i="12"/>
  <c r="H418" i="12"/>
  <c r="F418" i="12"/>
  <c r="E418" i="12"/>
  <c r="H417" i="12"/>
  <c r="F417" i="12"/>
  <c r="G417" i="12" s="1"/>
  <c r="E417" i="12"/>
  <c r="H416" i="12"/>
  <c r="F416" i="12"/>
  <c r="G416" i="12" s="1"/>
  <c r="AH14" i="11" s="1"/>
  <c r="E416" i="12"/>
  <c r="H415" i="12"/>
  <c r="F415" i="12"/>
  <c r="E415" i="12"/>
  <c r="H414" i="12"/>
  <c r="F414" i="12"/>
  <c r="E414" i="12"/>
  <c r="H413" i="12"/>
  <c r="F413" i="12"/>
  <c r="G413" i="12" s="1"/>
  <c r="E413" i="12"/>
  <c r="H412" i="12"/>
  <c r="F412" i="12"/>
  <c r="G412" i="12" s="1"/>
  <c r="AH13" i="11" s="1"/>
  <c r="E412" i="12"/>
  <c r="H411" i="12"/>
  <c r="F411" i="12"/>
  <c r="E411" i="12"/>
  <c r="H410" i="12"/>
  <c r="F410" i="12"/>
  <c r="E410" i="12"/>
  <c r="H409" i="12"/>
  <c r="F409" i="12"/>
  <c r="G409" i="12" s="1"/>
  <c r="E409" i="12"/>
  <c r="H408" i="12"/>
  <c r="F408" i="12"/>
  <c r="G408" i="12" s="1"/>
  <c r="E408" i="12"/>
  <c r="H407" i="12"/>
  <c r="F407" i="12"/>
  <c r="E407" i="12"/>
  <c r="H406" i="12"/>
  <c r="F406" i="12"/>
  <c r="G406" i="12" s="1"/>
  <c r="AF12" i="11" s="1"/>
  <c r="E406" i="12"/>
  <c r="H405" i="12"/>
  <c r="F405" i="12"/>
  <c r="G405" i="12" s="1"/>
  <c r="E405" i="12"/>
  <c r="H404" i="12"/>
  <c r="F404" i="12"/>
  <c r="G404" i="12" s="1"/>
  <c r="AH11" i="11" s="1"/>
  <c r="E404" i="12"/>
  <c r="H403" i="12"/>
  <c r="F403" i="12"/>
  <c r="E403" i="12"/>
  <c r="H402" i="12"/>
  <c r="F402" i="12"/>
  <c r="K403" i="12" s="1"/>
  <c r="E402" i="12"/>
  <c r="H401" i="12"/>
  <c r="F401" i="12"/>
  <c r="G401" i="12" s="1"/>
  <c r="E401" i="12"/>
  <c r="H400" i="12"/>
  <c r="F400" i="12"/>
  <c r="E400" i="12"/>
  <c r="H399" i="12"/>
  <c r="F399" i="12"/>
  <c r="E399" i="12"/>
  <c r="H398" i="12"/>
  <c r="F398" i="12"/>
  <c r="K399" i="12" s="1"/>
  <c r="E398" i="12"/>
  <c r="H397" i="12"/>
  <c r="F397" i="12"/>
  <c r="G397" i="12" s="1"/>
  <c r="E397" i="12"/>
  <c r="H396" i="12"/>
  <c r="F396" i="12"/>
  <c r="G396" i="12" s="1"/>
  <c r="E396" i="12"/>
  <c r="H395" i="12"/>
  <c r="F395" i="12"/>
  <c r="E395" i="12"/>
  <c r="H394" i="12"/>
  <c r="F394" i="12"/>
  <c r="K394" i="12" s="1"/>
  <c r="E394" i="12"/>
  <c r="H393" i="12"/>
  <c r="F393" i="12"/>
  <c r="G393" i="12" s="1"/>
  <c r="E393" i="12"/>
  <c r="H392" i="12"/>
  <c r="F392" i="12"/>
  <c r="G392" i="12" s="1"/>
  <c r="E392" i="12"/>
  <c r="H391" i="12"/>
  <c r="I391" i="12" s="1"/>
  <c r="J391" i="12" s="1"/>
  <c r="F391" i="12"/>
  <c r="E391" i="12"/>
  <c r="H390" i="12"/>
  <c r="F390" i="12"/>
  <c r="K391" i="12" s="1"/>
  <c r="E390" i="12"/>
  <c r="H389" i="12"/>
  <c r="F389" i="12"/>
  <c r="G389" i="12" s="1"/>
  <c r="E389" i="12"/>
  <c r="H388" i="12"/>
  <c r="F388" i="12"/>
  <c r="G388" i="12" s="1"/>
  <c r="E388" i="12"/>
  <c r="H387" i="12"/>
  <c r="F387" i="12"/>
  <c r="E387" i="12"/>
  <c r="H386" i="12"/>
  <c r="G386" i="12"/>
  <c r="AF7" i="11" s="1"/>
  <c r="F386" i="12"/>
  <c r="E386" i="12"/>
  <c r="H385" i="12"/>
  <c r="F385" i="12"/>
  <c r="G385" i="12" s="1"/>
  <c r="Y38" i="11" s="1"/>
  <c r="E385" i="12"/>
  <c r="H384" i="12"/>
  <c r="F384" i="12"/>
  <c r="E384" i="12"/>
  <c r="H383" i="12"/>
  <c r="F383" i="12"/>
  <c r="E383" i="12"/>
  <c r="H382" i="12"/>
  <c r="I382" i="12" s="1"/>
  <c r="J382" i="12" s="1"/>
  <c r="F382" i="12"/>
  <c r="K383" i="12" s="1"/>
  <c r="E382" i="12"/>
  <c r="H381" i="12"/>
  <c r="F381" i="12"/>
  <c r="G381" i="12" s="1"/>
  <c r="Y37" i="11" s="1"/>
  <c r="E381" i="12"/>
  <c r="H380" i="12"/>
  <c r="F380" i="12"/>
  <c r="G380" i="12" s="1"/>
  <c r="E380" i="12"/>
  <c r="H379" i="12"/>
  <c r="F379" i="12"/>
  <c r="E379" i="12"/>
  <c r="H378" i="12"/>
  <c r="F378" i="12"/>
  <c r="K379" i="12" s="1"/>
  <c r="E378" i="12"/>
  <c r="H377" i="12"/>
  <c r="F377" i="12"/>
  <c r="G377" i="12" s="1"/>
  <c r="E377" i="12"/>
  <c r="H376" i="12"/>
  <c r="F376" i="12"/>
  <c r="G376" i="12" s="1"/>
  <c r="E376" i="12"/>
  <c r="H375" i="12"/>
  <c r="F375" i="12"/>
  <c r="E375" i="12"/>
  <c r="H374" i="12"/>
  <c r="F374" i="12"/>
  <c r="K375" i="12" s="1"/>
  <c r="E374" i="12"/>
  <c r="H373" i="12"/>
  <c r="F373" i="12"/>
  <c r="G373" i="12" s="1"/>
  <c r="E373" i="12"/>
  <c r="H372" i="12"/>
  <c r="F372" i="12"/>
  <c r="G372" i="12" s="1"/>
  <c r="E372" i="12"/>
  <c r="H371" i="12"/>
  <c r="F371" i="12"/>
  <c r="E371" i="12"/>
  <c r="H370" i="12"/>
  <c r="F370" i="12"/>
  <c r="E370" i="12"/>
  <c r="H369" i="12"/>
  <c r="F369" i="12"/>
  <c r="G369" i="12" s="1"/>
  <c r="E369" i="12"/>
  <c r="H368" i="12"/>
  <c r="F368" i="12"/>
  <c r="E368" i="12"/>
  <c r="H367" i="12"/>
  <c r="F367" i="12"/>
  <c r="E367" i="12"/>
  <c r="H366" i="12"/>
  <c r="F366" i="12"/>
  <c r="K367" i="12" s="1"/>
  <c r="E366" i="12"/>
  <c r="H365" i="12"/>
  <c r="F365" i="12"/>
  <c r="G365" i="12" s="1"/>
  <c r="E365" i="12"/>
  <c r="H364" i="12"/>
  <c r="F364" i="12"/>
  <c r="G364" i="12" s="1"/>
  <c r="E364" i="12"/>
  <c r="H363" i="12"/>
  <c r="F363" i="12"/>
  <c r="E363" i="12"/>
  <c r="H362" i="12"/>
  <c r="F362" i="12"/>
  <c r="K363" i="12" s="1"/>
  <c r="E362" i="12"/>
  <c r="H361" i="12"/>
  <c r="F361" i="12"/>
  <c r="G361" i="12" s="1"/>
  <c r="Y32" i="11" s="1"/>
  <c r="E361" i="12"/>
  <c r="H360" i="12"/>
  <c r="F360" i="12"/>
  <c r="G360" i="12" s="1"/>
  <c r="E360" i="12"/>
  <c r="H359" i="12"/>
  <c r="F359" i="12"/>
  <c r="E359" i="12"/>
  <c r="H358" i="12"/>
  <c r="F358" i="12"/>
  <c r="K359" i="12" s="1"/>
  <c r="E358" i="12"/>
  <c r="H357" i="12"/>
  <c r="F357" i="12"/>
  <c r="G357" i="12" s="1"/>
  <c r="Y31" i="11" s="1"/>
  <c r="E357" i="12"/>
  <c r="H356" i="12"/>
  <c r="F356" i="12"/>
  <c r="G356" i="12" s="1"/>
  <c r="E356" i="12"/>
  <c r="H355" i="12"/>
  <c r="F355" i="12"/>
  <c r="E355" i="12"/>
  <c r="H354" i="12"/>
  <c r="F354" i="12"/>
  <c r="K355" i="12" s="1"/>
  <c r="E354" i="12"/>
  <c r="H353" i="12"/>
  <c r="F353" i="12"/>
  <c r="G353" i="12" s="1"/>
  <c r="E353" i="12"/>
  <c r="H352" i="12"/>
  <c r="F352" i="12"/>
  <c r="G352" i="12" s="1"/>
  <c r="E352" i="12"/>
  <c r="H351" i="12"/>
  <c r="F351" i="12"/>
  <c r="E351" i="12"/>
  <c r="H350" i="12"/>
  <c r="F350" i="12"/>
  <c r="K351" i="12" s="1"/>
  <c r="E350" i="12"/>
  <c r="H349" i="12"/>
  <c r="F349" i="12"/>
  <c r="G349" i="12" s="1"/>
  <c r="Y29" i="11" s="1"/>
  <c r="E349" i="12"/>
  <c r="H348" i="12"/>
  <c r="F348" i="12"/>
  <c r="G348" i="12" s="1"/>
  <c r="E348" i="12"/>
  <c r="H347" i="12"/>
  <c r="F347" i="12"/>
  <c r="E347" i="12"/>
  <c r="H346" i="12"/>
  <c r="G346" i="12"/>
  <c r="F346" i="12"/>
  <c r="K347" i="12" s="1"/>
  <c r="E346" i="12"/>
  <c r="H345" i="12"/>
  <c r="F345" i="12"/>
  <c r="G345" i="12" s="1"/>
  <c r="E345" i="12"/>
  <c r="H344" i="12"/>
  <c r="F344" i="12"/>
  <c r="G344" i="12" s="1"/>
  <c r="X28" i="11" s="1"/>
  <c r="E344" i="12"/>
  <c r="H343" i="12"/>
  <c r="F343" i="12"/>
  <c r="E343" i="12"/>
  <c r="H342" i="12"/>
  <c r="F342" i="12"/>
  <c r="K343" i="12" s="1"/>
  <c r="E342" i="12"/>
  <c r="H341" i="12"/>
  <c r="F341" i="12"/>
  <c r="G341" i="12" s="1"/>
  <c r="E341" i="12"/>
  <c r="H340" i="12"/>
  <c r="F340" i="12"/>
  <c r="G340" i="12" s="1"/>
  <c r="X27" i="11" s="1"/>
  <c r="E340" i="12"/>
  <c r="H339" i="12"/>
  <c r="F339" i="12"/>
  <c r="E339" i="12"/>
  <c r="H338" i="12"/>
  <c r="F338" i="12"/>
  <c r="K339" i="12" s="1"/>
  <c r="E338" i="12"/>
  <c r="H337" i="12"/>
  <c r="F337" i="12"/>
  <c r="G337" i="12" s="1"/>
  <c r="E337" i="12"/>
  <c r="H336" i="12"/>
  <c r="F336" i="12"/>
  <c r="G336" i="12" s="1"/>
  <c r="E336" i="12"/>
  <c r="H335" i="12"/>
  <c r="F335" i="12"/>
  <c r="E335" i="12"/>
  <c r="H334" i="12"/>
  <c r="F334" i="12"/>
  <c r="K335" i="12" s="1"/>
  <c r="E334" i="12"/>
  <c r="H333" i="12"/>
  <c r="F333" i="12"/>
  <c r="G333" i="12" s="1"/>
  <c r="E333" i="12"/>
  <c r="H332" i="12"/>
  <c r="F332" i="12"/>
  <c r="G332" i="12" s="1"/>
  <c r="E332" i="12"/>
  <c r="H331" i="12"/>
  <c r="F331" i="12"/>
  <c r="E331" i="12"/>
  <c r="H330" i="12"/>
  <c r="F330" i="12"/>
  <c r="E330" i="12"/>
  <c r="H329" i="12"/>
  <c r="F329" i="12"/>
  <c r="G329" i="12" s="1"/>
  <c r="E329" i="12"/>
  <c r="H328" i="12"/>
  <c r="F328" i="12"/>
  <c r="G328" i="12" s="1"/>
  <c r="E328" i="12"/>
  <c r="H327" i="12"/>
  <c r="F327" i="12"/>
  <c r="E327" i="12"/>
  <c r="H326" i="12"/>
  <c r="F326" i="12"/>
  <c r="K327" i="12" s="1"/>
  <c r="E326" i="12"/>
  <c r="H325" i="12"/>
  <c r="F325" i="12"/>
  <c r="G325" i="12" s="1"/>
  <c r="E325" i="12"/>
  <c r="H324" i="12"/>
  <c r="F324" i="12"/>
  <c r="G324" i="12" s="1"/>
  <c r="X23" i="11" s="1"/>
  <c r="E324" i="12"/>
  <c r="H323" i="12"/>
  <c r="F323" i="12"/>
  <c r="E323" i="12"/>
  <c r="H322" i="12"/>
  <c r="F322" i="12"/>
  <c r="E322" i="12"/>
  <c r="H321" i="12"/>
  <c r="F321" i="12"/>
  <c r="G321" i="12" s="1"/>
  <c r="E321" i="12"/>
  <c r="H320" i="12"/>
  <c r="F320" i="12"/>
  <c r="G320" i="12" s="1"/>
  <c r="E320" i="12"/>
  <c r="H319" i="12"/>
  <c r="F319" i="12"/>
  <c r="E319" i="12"/>
  <c r="H318" i="12"/>
  <c r="F318" i="12"/>
  <c r="K319" i="12" s="1"/>
  <c r="E318" i="12"/>
  <c r="H317" i="12"/>
  <c r="F317" i="12"/>
  <c r="G317" i="12" s="1"/>
  <c r="E317" i="12"/>
  <c r="H316" i="12"/>
  <c r="F316" i="12"/>
  <c r="G316" i="12" s="1"/>
  <c r="X21" i="11" s="1"/>
  <c r="E316" i="12"/>
  <c r="H315" i="12"/>
  <c r="F315" i="12"/>
  <c r="E315" i="12"/>
  <c r="H314" i="12"/>
  <c r="F314" i="12"/>
  <c r="G314" i="12" s="1"/>
  <c r="V21" i="11" s="1"/>
  <c r="E314" i="12"/>
  <c r="H313" i="12"/>
  <c r="F313" i="12"/>
  <c r="G313" i="12" s="1"/>
  <c r="Y20" i="11" s="1"/>
  <c r="E313" i="12"/>
  <c r="H312" i="12"/>
  <c r="F312" i="12"/>
  <c r="G312" i="12" s="1"/>
  <c r="E312" i="12"/>
  <c r="H311" i="12"/>
  <c r="F311" i="12"/>
  <c r="E311" i="12"/>
  <c r="H310" i="12"/>
  <c r="F310" i="12"/>
  <c r="K311" i="12" s="1"/>
  <c r="E310" i="12"/>
  <c r="H309" i="12"/>
  <c r="F309" i="12"/>
  <c r="G309" i="12" s="1"/>
  <c r="Y19" i="11" s="1"/>
  <c r="E309" i="12"/>
  <c r="H308" i="12"/>
  <c r="F308" i="12"/>
  <c r="G308" i="12" s="1"/>
  <c r="E308" i="12"/>
  <c r="H307" i="12"/>
  <c r="F307" i="12"/>
  <c r="E307" i="12"/>
  <c r="H306" i="12"/>
  <c r="F306" i="12"/>
  <c r="E306" i="12"/>
  <c r="H305" i="12"/>
  <c r="F305" i="12"/>
  <c r="G305" i="12" s="1"/>
  <c r="Y18" i="11" s="1"/>
  <c r="E305" i="12"/>
  <c r="H304" i="12"/>
  <c r="F304" i="12"/>
  <c r="G304" i="12" s="1"/>
  <c r="E304" i="12"/>
  <c r="H303" i="12"/>
  <c r="F303" i="12"/>
  <c r="E303" i="12"/>
  <c r="H302" i="12"/>
  <c r="F302" i="12"/>
  <c r="K303" i="12" s="1"/>
  <c r="E302" i="12"/>
  <c r="H301" i="12"/>
  <c r="F301" i="12"/>
  <c r="G301" i="12" s="1"/>
  <c r="E301" i="12"/>
  <c r="H300" i="12"/>
  <c r="F300" i="12"/>
  <c r="G300" i="12" s="1"/>
  <c r="E300" i="12"/>
  <c r="H299" i="12"/>
  <c r="F299" i="12"/>
  <c r="E299" i="12"/>
  <c r="H298" i="12"/>
  <c r="F298" i="12"/>
  <c r="E298" i="12"/>
  <c r="H297" i="12"/>
  <c r="F297" i="12"/>
  <c r="G297" i="12" s="1"/>
  <c r="Y16" i="11" s="1"/>
  <c r="E297" i="12"/>
  <c r="H296" i="12"/>
  <c r="F296" i="12"/>
  <c r="G296" i="12" s="1"/>
  <c r="E296" i="12"/>
  <c r="H295" i="12"/>
  <c r="F295" i="12"/>
  <c r="E295" i="12"/>
  <c r="H294" i="12"/>
  <c r="F294" i="12"/>
  <c r="K295" i="12" s="1"/>
  <c r="E294" i="12"/>
  <c r="H293" i="12"/>
  <c r="F293" i="12"/>
  <c r="G293" i="12" s="1"/>
  <c r="Y15" i="11" s="1"/>
  <c r="E293" i="12"/>
  <c r="H292" i="12"/>
  <c r="F292" i="12"/>
  <c r="G292" i="12" s="1"/>
  <c r="E292" i="12"/>
  <c r="H291" i="12"/>
  <c r="F291" i="12"/>
  <c r="E291" i="12"/>
  <c r="H290" i="12"/>
  <c r="F290" i="12"/>
  <c r="E290" i="12"/>
  <c r="H289" i="12"/>
  <c r="F289" i="12"/>
  <c r="G289" i="12" s="1"/>
  <c r="E289" i="12"/>
  <c r="H288" i="12"/>
  <c r="I288" i="12" s="1"/>
  <c r="J288" i="12" s="1"/>
  <c r="F288" i="12"/>
  <c r="G288" i="12" s="1"/>
  <c r="E288" i="12"/>
  <c r="H287" i="12"/>
  <c r="F287" i="12"/>
  <c r="E287" i="12"/>
  <c r="H286" i="12"/>
  <c r="F286" i="12"/>
  <c r="E286" i="12"/>
  <c r="H285" i="12"/>
  <c r="F285" i="12"/>
  <c r="G285" i="12" s="1"/>
  <c r="E285" i="12"/>
  <c r="H284" i="12"/>
  <c r="F284" i="12"/>
  <c r="G284" i="12" s="1"/>
  <c r="E284" i="12"/>
  <c r="H283" i="12"/>
  <c r="F283" i="12"/>
  <c r="E283" i="12"/>
  <c r="H282" i="12"/>
  <c r="F282" i="12"/>
  <c r="E282" i="12"/>
  <c r="H281" i="12"/>
  <c r="F281" i="12"/>
  <c r="G281" i="12" s="1"/>
  <c r="E281" i="12"/>
  <c r="H280" i="12"/>
  <c r="F280" i="12"/>
  <c r="G280" i="12" s="1"/>
  <c r="E280" i="12"/>
  <c r="H279" i="12"/>
  <c r="F279" i="12"/>
  <c r="E279" i="12"/>
  <c r="H278" i="12"/>
  <c r="F278" i="12"/>
  <c r="K279" i="12" s="1"/>
  <c r="E278" i="12"/>
  <c r="H277" i="12"/>
  <c r="F277" i="12"/>
  <c r="G277" i="12" s="1"/>
  <c r="Y11" i="11" s="1"/>
  <c r="E277" i="12"/>
  <c r="H276" i="12"/>
  <c r="I276" i="12" s="1"/>
  <c r="J276" i="12" s="1"/>
  <c r="F276" i="12"/>
  <c r="G276" i="12" s="1"/>
  <c r="E276" i="12"/>
  <c r="H275" i="12"/>
  <c r="F275" i="12"/>
  <c r="E275" i="12"/>
  <c r="H274" i="12"/>
  <c r="F274" i="12"/>
  <c r="K275" i="12" s="1"/>
  <c r="E274" i="12"/>
  <c r="H273" i="12"/>
  <c r="F273" i="12"/>
  <c r="G273" i="12" s="1"/>
  <c r="E273" i="12"/>
  <c r="H272" i="12"/>
  <c r="F272" i="12"/>
  <c r="G272" i="12" s="1"/>
  <c r="E272" i="12"/>
  <c r="H271" i="12"/>
  <c r="F271" i="12"/>
  <c r="E271" i="12"/>
  <c r="H270" i="12"/>
  <c r="F270" i="12"/>
  <c r="K270" i="12" s="1"/>
  <c r="E270" i="12"/>
  <c r="H269" i="12"/>
  <c r="F269" i="12"/>
  <c r="G269" i="12" s="1"/>
  <c r="E269" i="12"/>
  <c r="H268" i="12"/>
  <c r="F268" i="12"/>
  <c r="G268" i="12" s="1"/>
  <c r="E268" i="12"/>
  <c r="H267" i="12"/>
  <c r="F267" i="12"/>
  <c r="G267" i="12" s="1"/>
  <c r="E267" i="12"/>
  <c r="H266" i="12"/>
  <c r="G266" i="12"/>
  <c r="V9" i="11" s="1"/>
  <c r="F266" i="12"/>
  <c r="K268" i="12" s="1"/>
  <c r="E266" i="12"/>
  <c r="H265" i="12"/>
  <c r="F265" i="12"/>
  <c r="G265" i="12" s="1"/>
  <c r="Y8" i="11" s="1"/>
  <c r="E265" i="12"/>
  <c r="H264" i="12"/>
  <c r="F264" i="12"/>
  <c r="G264" i="12" s="1"/>
  <c r="E264" i="12"/>
  <c r="H263" i="12"/>
  <c r="F263" i="12"/>
  <c r="G263" i="12" s="1"/>
  <c r="W8" i="11" s="1"/>
  <c r="E263" i="12"/>
  <c r="H262" i="12"/>
  <c r="F262" i="12"/>
  <c r="K264" i="12" s="1"/>
  <c r="E262" i="12"/>
  <c r="H261" i="12"/>
  <c r="F261" i="12"/>
  <c r="G261" i="12" s="1"/>
  <c r="E261" i="12"/>
  <c r="H260" i="12"/>
  <c r="F260" i="12"/>
  <c r="E260" i="12"/>
  <c r="H259" i="12"/>
  <c r="F259" i="12"/>
  <c r="G259" i="12" s="1"/>
  <c r="W7" i="11" s="1"/>
  <c r="E259" i="12"/>
  <c r="H258" i="12"/>
  <c r="F258" i="12"/>
  <c r="E258" i="12"/>
  <c r="H257" i="12"/>
  <c r="F257" i="12"/>
  <c r="G257" i="12" s="1"/>
  <c r="E257" i="12"/>
  <c r="H256" i="12"/>
  <c r="F256" i="12"/>
  <c r="G256" i="12" s="1"/>
  <c r="N38" i="11" s="1"/>
  <c r="E256" i="12"/>
  <c r="H255" i="12"/>
  <c r="I255" i="12" s="1"/>
  <c r="J255" i="12" s="1"/>
  <c r="F255" i="12"/>
  <c r="G255" i="12" s="1"/>
  <c r="M38" i="11" s="1"/>
  <c r="E255" i="12"/>
  <c r="H254" i="12"/>
  <c r="F254" i="12"/>
  <c r="K254" i="12" s="1"/>
  <c r="E254" i="12"/>
  <c r="H253" i="12"/>
  <c r="F253" i="12"/>
  <c r="G253" i="12" s="1"/>
  <c r="O37" i="11" s="1"/>
  <c r="E253" i="12"/>
  <c r="H252" i="12"/>
  <c r="F252" i="12"/>
  <c r="G252" i="12" s="1"/>
  <c r="N37" i="11" s="1"/>
  <c r="E252" i="12"/>
  <c r="H251" i="12"/>
  <c r="F251" i="12"/>
  <c r="G251" i="12" s="1"/>
  <c r="E251" i="12"/>
  <c r="H250" i="12"/>
  <c r="G250" i="12"/>
  <c r="F250" i="12"/>
  <c r="K252" i="12" s="1"/>
  <c r="E250" i="12"/>
  <c r="H249" i="12"/>
  <c r="F249" i="12"/>
  <c r="G249" i="12" s="1"/>
  <c r="E249" i="12"/>
  <c r="H248" i="12"/>
  <c r="F248" i="12"/>
  <c r="G248" i="12" s="1"/>
  <c r="N36" i="11" s="1"/>
  <c r="E248" i="12"/>
  <c r="H247" i="12"/>
  <c r="F247" i="12"/>
  <c r="G247" i="12" s="1"/>
  <c r="M36" i="11" s="1"/>
  <c r="E247" i="12"/>
  <c r="H246" i="12"/>
  <c r="F246" i="12"/>
  <c r="K248" i="12" s="1"/>
  <c r="E246" i="12"/>
  <c r="H245" i="12"/>
  <c r="F245" i="12"/>
  <c r="G245" i="12" s="1"/>
  <c r="E245" i="12"/>
  <c r="H244" i="12"/>
  <c r="F244" i="12"/>
  <c r="E244" i="12"/>
  <c r="H243" i="12"/>
  <c r="F243" i="12"/>
  <c r="G243" i="12" s="1"/>
  <c r="E243" i="12"/>
  <c r="H242" i="12"/>
  <c r="F242" i="12"/>
  <c r="K244" i="12" s="1"/>
  <c r="E242" i="12"/>
  <c r="H241" i="12"/>
  <c r="F241" i="12"/>
  <c r="G241" i="12" s="1"/>
  <c r="O34" i="11" s="1"/>
  <c r="E241" i="12"/>
  <c r="H240" i="12"/>
  <c r="F240" i="12"/>
  <c r="G240" i="12" s="1"/>
  <c r="E240" i="12"/>
  <c r="H239" i="12"/>
  <c r="F239" i="12"/>
  <c r="G239" i="12" s="1"/>
  <c r="M34" i="11" s="1"/>
  <c r="E239" i="12"/>
  <c r="H238" i="12"/>
  <c r="F238" i="12"/>
  <c r="K240" i="12" s="1"/>
  <c r="E238" i="12"/>
  <c r="H237" i="12"/>
  <c r="F237" i="12"/>
  <c r="G237" i="12" s="1"/>
  <c r="E237" i="12"/>
  <c r="H236" i="12"/>
  <c r="F236" i="12"/>
  <c r="G236" i="12" s="1"/>
  <c r="E236" i="12"/>
  <c r="H235" i="12"/>
  <c r="F235" i="12"/>
  <c r="G235" i="12" s="1"/>
  <c r="M33" i="11" s="1"/>
  <c r="E235" i="12"/>
  <c r="H234" i="12"/>
  <c r="F234" i="12"/>
  <c r="E234" i="12"/>
  <c r="H233" i="12"/>
  <c r="F233" i="12"/>
  <c r="G233" i="12" s="1"/>
  <c r="O32" i="11" s="1"/>
  <c r="E233" i="12"/>
  <c r="H232" i="12"/>
  <c r="F232" i="12"/>
  <c r="E232" i="12"/>
  <c r="H231" i="12"/>
  <c r="F231" i="12"/>
  <c r="G231" i="12" s="1"/>
  <c r="M32" i="11" s="1"/>
  <c r="E231" i="12"/>
  <c r="H230" i="12"/>
  <c r="F230" i="12"/>
  <c r="E230" i="12"/>
  <c r="H229" i="12"/>
  <c r="F229" i="12"/>
  <c r="G229" i="12" s="1"/>
  <c r="E229" i="12"/>
  <c r="H228" i="12"/>
  <c r="F228" i="12"/>
  <c r="G228" i="12" s="1"/>
  <c r="N31" i="11" s="1"/>
  <c r="E228" i="12"/>
  <c r="H227" i="12"/>
  <c r="F227" i="12"/>
  <c r="G227" i="12" s="1"/>
  <c r="E227" i="12"/>
  <c r="H226" i="12"/>
  <c r="F226" i="12"/>
  <c r="K228" i="12" s="1"/>
  <c r="E226" i="12"/>
  <c r="H225" i="12"/>
  <c r="F225" i="12"/>
  <c r="G225" i="12" s="1"/>
  <c r="E225" i="12"/>
  <c r="H224" i="12"/>
  <c r="F224" i="12"/>
  <c r="E224" i="12"/>
  <c r="H223" i="12"/>
  <c r="F223" i="12"/>
  <c r="G223" i="12" s="1"/>
  <c r="M30" i="11" s="1"/>
  <c r="E223" i="12"/>
  <c r="H222" i="12"/>
  <c r="F222" i="12"/>
  <c r="K224" i="12" s="1"/>
  <c r="E222" i="12"/>
  <c r="H221" i="12"/>
  <c r="F221" i="12"/>
  <c r="G221" i="12" s="1"/>
  <c r="E221" i="12"/>
  <c r="H220" i="12"/>
  <c r="I220" i="12" s="1"/>
  <c r="J220" i="12" s="1"/>
  <c r="F220" i="12"/>
  <c r="G220" i="12" s="1"/>
  <c r="E220" i="12"/>
  <c r="H219" i="12"/>
  <c r="F219" i="12"/>
  <c r="G219" i="12" s="1"/>
  <c r="M29" i="11" s="1"/>
  <c r="E219" i="12"/>
  <c r="H218" i="12"/>
  <c r="F218" i="12"/>
  <c r="K220" i="12" s="1"/>
  <c r="E218" i="12"/>
  <c r="H217" i="12"/>
  <c r="F217" i="12"/>
  <c r="G217" i="12" s="1"/>
  <c r="E217" i="12"/>
  <c r="H216" i="12"/>
  <c r="F216" i="12"/>
  <c r="E216" i="12"/>
  <c r="H215" i="12"/>
  <c r="F215" i="12"/>
  <c r="G215" i="12" s="1"/>
  <c r="M28" i="11" s="1"/>
  <c r="E215" i="12"/>
  <c r="H214" i="12"/>
  <c r="F214" i="12"/>
  <c r="E214" i="12"/>
  <c r="H213" i="12"/>
  <c r="F213" i="12"/>
  <c r="G213" i="12" s="1"/>
  <c r="E213" i="12"/>
  <c r="H212" i="12"/>
  <c r="F212" i="12"/>
  <c r="E212" i="12"/>
  <c r="H211" i="12"/>
  <c r="F211" i="12"/>
  <c r="G211" i="12" s="1"/>
  <c r="M27" i="11" s="1"/>
  <c r="E211" i="12"/>
  <c r="H210" i="12"/>
  <c r="F210" i="12"/>
  <c r="K212" i="12" s="1"/>
  <c r="E210" i="12"/>
  <c r="H209" i="12"/>
  <c r="F209" i="12"/>
  <c r="G209" i="12" s="1"/>
  <c r="E209" i="12"/>
  <c r="H208" i="12"/>
  <c r="F208" i="12"/>
  <c r="E208" i="12"/>
  <c r="H207" i="12"/>
  <c r="F207" i="12"/>
  <c r="G207" i="12" s="1"/>
  <c r="E207" i="12"/>
  <c r="H206" i="12"/>
  <c r="F206" i="12"/>
  <c r="G206" i="12" s="1"/>
  <c r="L26" i="11" s="1"/>
  <c r="E206" i="12"/>
  <c r="H205" i="12"/>
  <c r="F205" i="12"/>
  <c r="E205" i="12"/>
  <c r="H204" i="12"/>
  <c r="I204" i="12" s="1"/>
  <c r="F204" i="12"/>
  <c r="E204" i="12"/>
  <c r="H203" i="12"/>
  <c r="F203" i="12"/>
  <c r="G203" i="12" s="1"/>
  <c r="E203" i="12"/>
  <c r="H202" i="12"/>
  <c r="F202" i="12"/>
  <c r="E202" i="12"/>
  <c r="H201" i="12"/>
  <c r="F201" i="12"/>
  <c r="E201" i="12"/>
  <c r="H200" i="12"/>
  <c r="F200" i="12"/>
  <c r="E200" i="12"/>
  <c r="H199" i="12"/>
  <c r="F199" i="12"/>
  <c r="G199" i="12" s="1"/>
  <c r="E199" i="12"/>
  <c r="H198" i="12"/>
  <c r="F198" i="12"/>
  <c r="E198" i="12"/>
  <c r="H197" i="12"/>
  <c r="F197" i="12"/>
  <c r="E197" i="12"/>
  <c r="H196" i="12"/>
  <c r="F196" i="12"/>
  <c r="E196" i="12"/>
  <c r="H195" i="12"/>
  <c r="I195" i="12" s="1"/>
  <c r="J195" i="12" s="1"/>
  <c r="F195" i="12"/>
  <c r="G195" i="12" s="1"/>
  <c r="E195" i="12"/>
  <c r="H194" i="12"/>
  <c r="F194" i="12"/>
  <c r="G194" i="12" s="1"/>
  <c r="E194" i="12"/>
  <c r="H193" i="12"/>
  <c r="F193" i="12"/>
  <c r="E193" i="12"/>
  <c r="H192" i="12"/>
  <c r="F192" i="12"/>
  <c r="E192" i="12"/>
  <c r="H191" i="12"/>
  <c r="F191" i="12"/>
  <c r="G191" i="12" s="1"/>
  <c r="M22" i="11" s="1"/>
  <c r="E191" i="12"/>
  <c r="H190" i="12"/>
  <c r="F190" i="12"/>
  <c r="K190" i="12" s="1"/>
  <c r="E190" i="12"/>
  <c r="H189" i="12"/>
  <c r="F189" i="12"/>
  <c r="E189" i="12"/>
  <c r="H188" i="12"/>
  <c r="I188" i="12" s="1"/>
  <c r="F188" i="12"/>
  <c r="E188" i="12"/>
  <c r="H187" i="12"/>
  <c r="F187" i="12"/>
  <c r="G187" i="12" s="1"/>
  <c r="E187" i="12"/>
  <c r="H186" i="12"/>
  <c r="F186" i="12"/>
  <c r="K186" i="12" s="1"/>
  <c r="E186" i="12"/>
  <c r="H185" i="12"/>
  <c r="F185" i="12"/>
  <c r="E185" i="12"/>
  <c r="H184" i="12"/>
  <c r="F184" i="12"/>
  <c r="E184" i="12"/>
  <c r="H183" i="12"/>
  <c r="F183" i="12"/>
  <c r="G183" i="12" s="1"/>
  <c r="E183" i="12"/>
  <c r="H182" i="12"/>
  <c r="F182" i="12"/>
  <c r="E182" i="12"/>
  <c r="H181" i="12"/>
  <c r="F181" i="12"/>
  <c r="E181" i="12"/>
  <c r="H180" i="12"/>
  <c r="F180" i="12"/>
  <c r="E180" i="12"/>
  <c r="H179" i="12"/>
  <c r="F179" i="12"/>
  <c r="G179" i="12" s="1"/>
  <c r="E179" i="12"/>
  <c r="H178" i="12"/>
  <c r="F178" i="12"/>
  <c r="K180" i="12" s="1"/>
  <c r="E178" i="12"/>
  <c r="H177" i="12"/>
  <c r="F177" i="12"/>
  <c r="E177" i="12"/>
  <c r="H176" i="12"/>
  <c r="F176" i="12"/>
  <c r="E176" i="12"/>
  <c r="H175" i="12"/>
  <c r="F175" i="12"/>
  <c r="G175" i="12" s="1"/>
  <c r="M18" i="11" s="1"/>
  <c r="E175" i="12"/>
  <c r="H174" i="12"/>
  <c r="F174" i="12"/>
  <c r="G174" i="12" s="1"/>
  <c r="L18" i="11" s="1"/>
  <c r="E174" i="12"/>
  <c r="H173" i="12"/>
  <c r="F173" i="12"/>
  <c r="E173" i="12"/>
  <c r="H172" i="12"/>
  <c r="I172" i="12" s="1"/>
  <c r="J172" i="12" s="1"/>
  <c r="F172" i="12"/>
  <c r="G172" i="12" s="1"/>
  <c r="E172" i="12"/>
  <c r="H171" i="12"/>
  <c r="I171" i="12" s="1"/>
  <c r="J171" i="12" s="1"/>
  <c r="G171" i="12"/>
  <c r="F171" i="12"/>
  <c r="E171" i="12"/>
  <c r="H170" i="12"/>
  <c r="F170" i="12"/>
  <c r="G170" i="12" s="1"/>
  <c r="E170" i="12"/>
  <c r="H169" i="12"/>
  <c r="F169" i="12"/>
  <c r="E169" i="12"/>
  <c r="H168" i="12"/>
  <c r="F168" i="12"/>
  <c r="E168" i="12"/>
  <c r="H167" i="12"/>
  <c r="I167" i="12" s="1"/>
  <c r="J167" i="12" s="1"/>
  <c r="F167" i="12"/>
  <c r="G167" i="12" s="1"/>
  <c r="M16" i="11" s="1"/>
  <c r="E167" i="12"/>
  <c r="K166" i="12"/>
  <c r="H166" i="12"/>
  <c r="F166" i="12"/>
  <c r="K168" i="12" s="1"/>
  <c r="E166" i="12"/>
  <c r="H165" i="12"/>
  <c r="F165" i="12"/>
  <c r="E165" i="12"/>
  <c r="H164" i="12"/>
  <c r="F164" i="12"/>
  <c r="E164" i="12"/>
  <c r="H163" i="12"/>
  <c r="F163" i="12"/>
  <c r="G163" i="12" s="1"/>
  <c r="M15" i="11" s="1"/>
  <c r="E163" i="12"/>
  <c r="H162" i="12"/>
  <c r="F162" i="12"/>
  <c r="K164" i="12" s="1"/>
  <c r="E162" i="12"/>
  <c r="H161" i="12"/>
  <c r="F161" i="12"/>
  <c r="E161" i="12"/>
  <c r="H160" i="12"/>
  <c r="F160" i="12"/>
  <c r="E160" i="12"/>
  <c r="H159" i="12"/>
  <c r="F159" i="12"/>
  <c r="G159" i="12" s="1"/>
  <c r="M14" i="11" s="1"/>
  <c r="E159" i="12"/>
  <c r="H158" i="12"/>
  <c r="F158" i="12"/>
  <c r="G158" i="12" s="1"/>
  <c r="L14" i="11" s="1"/>
  <c r="E158" i="12"/>
  <c r="H157" i="12"/>
  <c r="F157" i="12"/>
  <c r="E157" i="12"/>
  <c r="H156" i="12"/>
  <c r="F156" i="12"/>
  <c r="G156" i="12" s="1"/>
  <c r="E156" i="12"/>
  <c r="H155" i="12"/>
  <c r="F155" i="12"/>
  <c r="G155" i="12" s="1"/>
  <c r="E155" i="12"/>
  <c r="H154" i="12"/>
  <c r="F154" i="12"/>
  <c r="G154" i="12" s="1"/>
  <c r="L13" i="11" s="1"/>
  <c r="E154" i="12"/>
  <c r="H153" i="12"/>
  <c r="F153" i="12"/>
  <c r="E153" i="12"/>
  <c r="I152" i="12"/>
  <c r="J152" i="12" s="1"/>
  <c r="H152" i="12"/>
  <c r="F152" i="12"/>
  <c r="E152" i="12"/>
  <c r="H151" i="12"/>
  <c r="F151" i="12"/>
  <c r="G151" i="12" s="1"/>
  <c r="E151" i="12"/>
  <c r="H150" i="12"/>
  <c r="G150" i="12"/>
  <c r="L12" i="11" s="1"/>
  <c r="F150" i="12"/>
  <c r="E150" i="12"/>
  <c r="H149" i="12"/>
  <c r="F149" i="12"/>
  <c r="E149" i="12"/>
  <c r="H148" i="12"/>
  <c r="F148" i="12"/>
  <c r="E148" i="12"/>
  <c r="H147" i="12"/>
  <c r="F147" i="12"/>
  <c r="G147" i="12" s="1"/>
  <c r="E147" i="12"/>
  <c r="H146" i="12"/>
  <c r="F146" i="12"/>
  <c r="E146" i="12"/>
  <c r="H145" i="12"/>
  <c r="F145" i="12"/>
  <c r="E145" i="12"/>
  <c r="H144" i="12"/>
  <c r="F144" i="12"/>
  <c r="G144" i="12" s="1"/>
  <c r="E144" i="12"/>
  <c r="H143" i="12"/>
  <c r="F143" i="12"/>
  <c r="G143" i="12" s="1"/>
  <c r="M10" i="11" s="1"/>
  <c r="E143" i="12"/>
  <c r="H142" i="12"/>
  <c r="F142" i="12"/>
  <c r="G142" i="12" s="1"/>
  <c r="L10" i="11" s="1"/>
  <c r="E142" i="12"/>
  <c r="H141" i="12"/>
  <c r="F141" i="12"/>
  <c r="E141" i="12"/>
  <c r="H140" i="12"/>
  <c r="F140" i="12"/>
  <c r="G140" i="12" s="1"/>
  <c r="E140" i="12"/>
  <c r="H139" i="12"/>
  <c r="F139" i="12"/>
  <c r="G139" i="12" s="1"/>
  <c r="M9" i="11" s="1"/>
  <c r="E139" i="12"/>
  <c r="H138" i="12"/>
  <c r="F138" i="12"/>
  <c r="G138" i="12" s="1"/>
  <c r="E138" i="12"/>
  <c r="H137" i="12"/>
  <c r="F137" i="12"/>
  <c r="E137" i="12"/>
  <c r="H136" i="12"/>
  <c r="F136" i="12"/>
  <c r="E136" i="12"/>
  <c r="H135" i="12"/>
  <c r="F135" i="12"/>
  <c r="G135" i="12" s="1"/>
  <c r="M8" i="11" s="1"/>
  <c r="E135" i="12"/>
  <c r="H134" i="12"/>
  <c r="F134" i="12"/>
  <c r="K136" i="12" s="1"/>
  <c r="E134" i="12"/>
  <c r="H133" i="12"/>
  <c r="F133" i="12"/>
  <c r="E133" i="12"/>
  <c r="H132" i="12"/>
  <c r="F132" i="12"/>
  <c r="E132" i="12"/>
  <c r="H131" i="12"/>
  <c r="F131" i="12"/>
  <c r="G131" i="12" s="1"/>
  <c r="M7" i="11" s="1"/>
  <c r="E131" i="12"/>
  <c r="H130" i="12"/>
  <c r="F130" i="12"/>
  <c r="K132" i="12" s="1"/>
  <c r="E130" i="12"/>
  <c r="H129" i="12"/>
  <c r="F129" i="12"/>
  <c r="E129" i="12"/>
  <c r="H128" i="12"/>
  <c r="F128" i="12"/>
  <c r="E128" i="12"/>
  <c r="H127" i="12"/>
  <c r="F127" i="12"/>
  <c r="G127" i="12" s="1"/>
  <c r="C38" i="11" s="1"/>
  <c r="E127" i="12"/>
  <c r="H126" i="12"/>
  <c r="F126" i="12"/>
  <c r="G126" i="12" s="1"/>
  <c r="B38" i="11" s="1"/>
  <c r="E126" i="12"/>
  <c r="H125" i="12"/>
  <c r="F125" i="12"/>
  <c r="E125" i="12"/>
  <c r="H124" i="12"/>
  <c r="I124" i="12" s="1"/>
  <c r="J124" i="12" s="1"/>
  <c r="F124" i="12"/>
  <c r="G124" i="12" s="1"/>
  <c r="E124" i="12"/>
  <c r="H123" i="12"/>
  <c r="G123" i="12"/>
  <c r="C37" i="11" s="1"/>
  <c r="F123" i="12"/>
  <c r="E123" i="12"/>
  <c r="H122" i="12"/>
  <c r="F122" i="12"/>
  <c r="E122" i="12"/>
  <c r="H121" i="12"/>
  <c r="F121" i="12"/>
  <c r="G121" i="12" s="1"/>
  <c r="E36" i="11" s="1"/>
  <c r="E121" i="12"/>
  <c r="H120" i="12"/>
  <c r="F120" i="12"/>
  <c r="G120" i="12" s="1"/>
  <c r="D36" i="11" s="1"/>
  <c r="E120" i="12"/>
  <c r="H119" i="12"/>
  <c r="F119" i="12"/>
  <c r="G119" i="12" s="1"/>
  <c r="C36" i="11" s="1"/>
  <c r="E119" i="12"/>
  <c r="H118" i="12"/>
  <c r="F118" i="12"/>
  <c r="E118" i="12"/>
  <c r="H117" i="12"/>
  <c r="F117" i="12"/>
  <c r="E117" i="12"/>
  <c r="H116" i="12"/>
  <c r="F116" i="12"/>
  <c r="G116" i="12" s="1"/>
  <c r="D35" i="11" s="1"/>
  <c r="E116" i="12"/>
  <c r="H115" i="12"/>
  <c r="I115" i="12" s="1"/>
  <c r="J115" i="12" s="1"/>
  <c r="F115" i="12"/>
  <c r="G115" i="12" s="1"/>
  <c r="E115" i="12"/>
  <c r="H114" i="12"/>
  <c r="F114" i="12"/>
  <c r="E114" i="12"/>
  <c r="H113" i="12"/>
  <c r="F113" i="12"/>
  <c r="G113" i="12" s="1"/>
  <c r="E34" i="11" s="1"/>
  <c r="E113" i="12"/>
  <c r="H112" i="12"/>
  <c r="F112" i="12"/>
  <c r="G112" i="12" s="1"/>
  <c r="E112" i="12"/>
  <c r="H111" i="12"/>
  <c r="F111" i="12"/>
  <c r="G111" i="12" s="1"/>
  <c r="C34" i="11" s="1"/>
  <c r="E111" i="12"/>
  <c r="H110" i="12"/>
  <c r="F110" i="12"/>
  <c r="E110" i="12"/>
  <c r="H109" i="12"/>
  <c r="F109" i="12"/>
  <c r="G109" i="12" s="1"/>
  <c r="E109" i="12"/>
  <c r="H108" i="12"/>
  <c r="F108" i="12"/>
  <c r="G108" i="12" s="1"/>
  <c r="D33" i="11" s="1"/>
  <c r="E108" i="12"/>
  <c r="H107" i="12"/>
  <c r="F107" i="12"/>
  <c r="E107" i="12"/>
  <c r="H106" i="12"/>
  <c r="F106" i="12"/>
  <c r="K109" i="12" s="1"/>
  <c r="E106" i="12"/>
  <c r="H105" i="12"/>
  <c r="F105" i="12"/>
  <c r="E105" i="12"/>
  <c r="H104" i="12"/>
  <c r="F104" i="12"/>
  <c r="G104" i="12" s="1"/>
  <c r="D32" i="11" s="1"/>
  <c r="E104" i="12"/>
  <c r="H103" i="12"/>
  <c r="F103" i="12"/>
  <c r="E103" i="12"/>
  <c r="H102" i="12"/>
  <c r="F102" i="12"/>
  <c r="K105" i="12" s="1"/>
  <c r="E102" i="12"/>
  <c r="H101" i="12"/>
  <c r="F101" i="12"/>
  <c r="G101" i="12" s="1"/>
  <c r="E101" i="12"/>
  <c r="H100" i="12"/>
  <c r="F100" i="12"/>
  <c r="G100" i="12" s="1"/>
  <c r="D31" i="11" s="1"/>
  <c r="E100" i="12"/>
  <c r="H99" i="12"/>
  <c r="F99" i="12"/>
  <c r="E99" i="12"/>
  <c r="H98" i="12"/>
  <c r="F98" i="12"/>
  <c r="K101" i="12" s="1"/>
  <c r="E98" i="12"/>
  <c r="H97" i="12"/>
  <c r="I97" i="12" s="1"/>
  <c r="J97" i="12" s="1"/>
  <c r="F97" i="12"/>
  <c r="G97" i="12" s="1"/>
  <c r="E97" i="12"/>
  <c r="H96" i="12"/>
  <c r="F96" i="12"/>
  <c r="G96" i="12" s="1"/>
  <c r="D30" i="11" s="1"/>
  <c r="E96" i="12"/>
  <c r="H95" i="12"/>
  <c r="F95" i="12"/>
  <c r="G95" i="12" s="1"/>
  <c r="C30" i="11" s="1"/>
  <c r="E95" i="12"/>
  <c r="H94" i="12"/>
  <c r="F94" i="12"/>
  <c r="K97" i="12" s="1"/>
  <c r="E94" i="12"/>
  <c r="H93" i="12"/>
  <c r="F93" i="12"/>
  <c r="E93" i="12"/>
  <c r="H92" i="12"/>
  <c r="F92" i="12"/>
  <c r="G92" i="12" s="1"/>
  <c r="E92" i="12"/>
  <c r="H91" i="12"/>
  <c r="F91" i="12"/>
  <c r="G91" i="12" s="1"/>
  <c r="E91" i="12"/>
  <c r="H90" i="12"/>
  <c r="F90" i="12"/>
  <c r="G90" i="12" s="1"/>
  <c r="B29" i="11" s="1"/>
  <c r="E90" i="12"/>
  <c r="H89" i="12"/>
  <c r="F89" i="12"/>
  <c r="G89" i="12" s="1"/>
  <c r="E89" i="12"/>
  <c r="H88" i="12"/>
  <c r="F88" i="12"/>
  <c r="E88" i="12"/>
  <c r="H87" i="12"/>
  <c r="F87" i="12"/>
  <c r="G87" i="12" s="1"/>
  <c r="E87" i="12"/>
  <c r="H86" i="12"/>
  <c r="F86" i="12"/>
  <c r="G86" i="12" s="1"/>
  <c r="B28" i="11" s="1"/>
  <c r="E86" i="12"/>
  <c r="H85" i="12"/>
  <c r="F85" i="12"/>
  <c r="G85" i="12" s="1"/>
  <c r="E85" i="12"/>
  <c r="H84" i="12"/>
  <c r="F84" i="12"/>
  <c r="E84" i="12"/>
  <c r="H83" i="12"/>
  <c r="F83" i="12"/>
  <c r="G83" i="12" s="1"/>
  <c r="E83" i="12"/>
  <c r="H82" i="12"/>
  <c r="F82" i="12"/>
  <c r="G82" i="12" s="1"/>
  <c r="B27" i="11" s="1"/>
  <c r="E82" i="12"/>
  <c r="H81" i="12"/>
  <c r="F81" i="12"/>
  <c r="G81" i="12" s="1"/>
  <c r="E81" i="12"/>
  <c r="H80" i="12"/>
  <c r="F80" i="12"/>
  <c r="E80" i="12"/>
  <c r="H79" i="12"/>
  <c r="F79" i="12"/>
  <c r="G79" i="12" s="1"/>
  <c r="E79" i="12"/>
  <c r="H78" i="12"/>
  <c r="F78" i="12"/>
  <c r="G78" i="12" s="1"/>
  <c r="B26" i="11" s="1"/>
  <c r="E78" i="12"/>
  <c r="H77" i="12"/>
  <c r="F77" i="12"/>
  <c r="G77" i="12" s="1"/>
  <c r="E77" i="12"/>
  <c r="H76" i="12"/>
  <c r="F76" i="12"/>
  <c r="E76" i="12"/>
  <c r="H75" i="12"/>
  <c r="F75" i="12"/>
  <c r="G75" i="12" s="1"/>
  <c r="E75" i="12"/>
  <c r="H74" i="12"/>
  <c r="F74" i="12"/>
  <c r="K74" i="12" s="1"/>
  <c r="E74" i="12"/>
  <c r="H73" i="12"/>
  <c r="F73" i="12"/>
  <c r="G73" i="12" s="1"/>
  <c r="E73" i="12"/>
  <c r="H72" i="12"/>
  <c r="F72" i="12"/>
  <c r="E72" i="12"/>
  <c r="H71" i="12"/>
  <c r="F71" i="12"/>
  <c r="G71" i="12" s="1"/>
  <c r="E71" i="12"/>
  <c r="H70" i="12"/>
  <c r="F70" i="12"/>
  <c r="K71" i="12" s="1"/>
  <c r="E70" i="12"/>
  <c r="H69" i="12"/>
  <c r="F69" i="12"/>
  <c r="G69" i="12" s="1"/>
  <c r="E69" i="12"/>
  <c r="H68" i="12"/>
  <c r="F68" i="12"/>
  <c r="E68" i="12"/>
  <c r="H67" i="12"/>
  <c r="F67" i="12"/>
  <c r="G67" i="12" s="1"/>
  <c r="E67" i="12"/>
  <c r="H66" i="12"/>
  <c r="F66" i="12"/>
  <c r="G66" i="12" s="1"/>
  <c r="B23" i="11" s="1"/>
  <c r="E66" i="12"/>
  <c r="H65" i="12"/>
  <c r="F65" i="12"/>
  <c r="G65" i="12" s="1"/>
  <c r="E65" i="12"/>
  <c r="H64" i="12"/>
  <c r="F64" i="12"/>
  <c r="E64" i="12"/>
  <c r="H63" i="12"/>
  <c r="F63" i="12"/>
  <c r="G63" i="12" s="1"/>
  <c r="E63" i="12"/>
  <c r="H62" i="12"/>
  <c r="F62" i="12"/>
  <c r="K63" i="12" s="1"/>
  <c r="E62" i="12"/>
  <c r="H61" i="12"/>
  <c r="F61" i="12"/>
  <c r="G61" i="12" s="1"/>
  <c r="E61" i="12"/>
  <c r="H60" i="12"/>
  <c r="F60" i="12"/>
  <c r="E60" i="12"/>
  <c r="H59" i="12"/>
  <c r="F59" i="12"/>
  <c r="G59" i="12" s="1"/>
  <c r="E59" i="12"/>
  <c r="H58" i="12"/>
  <c r="F58" i="12"/>
  <c r="K59" i="12" s="1"/>
  <c r="E58" i="12"/>
  <c r="H57" i="12"/>
  <c r="F57" i="12"/>
  <c r="G57" i="12" s="1"/>
  <c r="E57" i="12"/>
  <c r="H56" i="12"/>
  <c r="F56" i="12"/>
  <c r="E56" i="12"/>
  <c r="H55" i="12"/>
  <c r="F55" i="12"/>
  <c r="G55" i="12" s="1"/>
  <c r="E55" i="12"/>
  <c r="H54" i="12"/>
  <c r="F54" i="12"/>
  <c r="K55" i="12" s="1"/>
  <c r="E54" i="12"/>
  <c r="H53" i="12"/>
  <c r="F53" i="12"/>
  <c r="G53" i="12" s="1"/>
  <c r="E53" i="12"/>
  <c r="H52" i="12"/>
  <c r="F52" i="12"/>
  <c r="E52" i="12"/>
  <c r="H51" i="12"/>
  <c r="F51" i="12"/>
  <c r="G51" i="12" s="1"/>
  <c r="E51" i="12"/>
  <c r="H50" i="12"/>
  <c r="F50" i="12"/>
  <c r="K51" i="12" s="1"/>
  <c r="E50" i="12"/>
  <c r="H49" i="12"/>
  <c r="F49" i="12"/>
  <c r="G49" i="12" s="1"/>
  <c r="E49" i="12"/>
  <c r="H48" i="12"/>
  <c r="F48" i="12"/>
  <c r="I48" i="12" s="1"/>
  <c r="J48" i="12" s="1"/>
  <c r="E48" i="12"/>
  <c r="H47" i="12"/>
  <c r="F47" i="12"/>
  <c r="G47" i="12" s="1"/>
  <c r="C18" i="11" s="1"/>
  <c r="E47" i="12"/>
  <c r="H46" i="12"/>
  <c r="F46" i="12"/>
  <c r="K47" i="12" s="1"/>
  <c r="E46" i="12"/>
  <c r="H45" i="12"/>
  <c r="F45" i="12"/>
  <c r="G45" i="12" s="1"/>
  <c r="E45" i="12"/>
  <c r="H44" i="12"/>
  <c r="F44" i="12"/>
  <c r="E44" i="12"/>
  <c r="H43" i="12"/>
  <c r="F43" i="12"/>
  <c r="G43" i="12" s="1"/>
  <c r="E43" i="12"/>
  <c r="H42" i="12"/>
  <c r="F42" i="12"/>
  <c r="K43" i="12" s="1"/>
  <c r="E42" i="12"/>
  <c r="H41" i="12"/>
  <c r="F41" i="12"/>
  <c r="G41" i="12" s="1"/>
  <c r="E41" i="12"/>
  <c r="H40" i="12"/>
  <c r="F40" i="12"/>
  <c r="E40" i="12"/>
  <c r="H39" i="12"/>
  <c r="I39" i="12" s="1"/>
  <c r="J39" i="12" s="1"/>
  <c r="F39" i="12"/>
  <c r="G39" i="12" s="1"/>
  <c r="E39" i="12"/>
  <c r="H38" i="12"/>
  <c r="G38" i="12"/>
  <c r="B16" i="11" s="1"/>
  <c r="F38" i="12"/>
  <c r="K39" i="12" s="1"/>
  <c r="E38" i="12"/>
  <c r="H37" i="12"/>
  <c r="F37" i="12"/>
  <c r="G37" i="12" s="1"/>
  <c r="E15" i="11" s="1"/>
  <c r="E37" i="12"/>
  <c r="H36" i="12"/>
  <c r="F36" i="12"/>
  <c r="E36" i="12"/>
  <c r="H35" i="12"/>
  <c r="F35" i="12"/>
  <c r="G35" i="12" s="1"/>
  <c r="C15" i="11" s="1"/>
  <c r="E35" i="12"/>
  <c r="H34" i="12"/>
  <c r="F34" i="12"/>
  <c r="K35" i="12" s="1"/>
  <c r="E34" i="12"/>
  <c r="H33" i="12"/>
  <c r="F33" i="12"/>
  <c r="G33" i="12" s="1"/>
  <c r="E14" i="11" s="1"/>
  <c r="E33" i="12"/>
  <c r="H32" i="12"/>
  <c r="F32" i="12"/>
  <c r="E32" i="12"/>
  <c r="H31" i="12"/>
  <c r="F31" i="12"/>
  <c r="G31" i="12" s="1"/>
  <c r="E31" i="12"/>
  <c r="H30" i="12"/>
  <c r="F30" i="12"/>
  <c r="G30" i="12" s="1"/>
  <c r="B14" i="11" s="1"/>
  <c r="E30" i="12"/>
  <c r="H29" i="12"/>
  <c r="F29" i="12"/>
  <c r="E29" i="12"/>
  <c r="H28" i="12"/>
  <c r="F28" i="12"/>
  <c r="E28" i="12"/>
  <c r="H27" i="12"/>
  <c r="F27" i="12"/>
  <c r="G27" i="12" s="1"/>
  <c r="E27" i="12"/>
  <c r="H26" i="12"/>
  <c r="G26" i="12"/>
  <c r="F26" i="12"/>
  <c r="K26" i="12" s="1"/>
  <c r="E26" i="12"/>
  <c r="H25" i="12"/>
  <c r="F25" i="12"/>
  <c r="E25" i="12"/>
  <c r="H24" i="12"/>
  <c r="F24" i="12"/>
  <c r="E24" i="12"/>
  <c r="H23" i="12"/>
  <c r="F23" i="12"/>
  <c r="G23" i="12" s="1"/>
  <c r="E23" i="12"/>
  <c r="H22" i="12"/>
  <c r="F22" i="12"/>
  <c r="K22" i="12" s="1"/>
  <c r="E22" i="12"/>
  <c r="H21" i="12"/>
  <c r="F21" i="12"/>
  <c r="E21" i="12"/>
  <c r="H20" i="12"/>
  <c r="F20" i="12"/>
  <c r="I20" i="12" s="1"/>
  <c r="E20" i="12"/>
  <c r="H19" i="12"/>
  <c r="F19" i="12"/>
  <c r="G19" i="12" s="1"/>
  <c r="E19" i="12"/>
  <c r="H18" i="12"/>
  <c r="F18" i="12"/>
  <c r="K19" i="12" s="1"/>
  <c r="E18" i="12"/>
  <c r="H17" i="12"/>
  <c r="F17" i="12"/>
  <c r="E17" i="12"/>
  <c r="H16" i="12"/>
  <c r="F16" i="12"/>
  <c r="I16" i="12" s="1"/>
  <c r="E16" i="12"/>
  <c r="H15" i="12"/>
  <c r="F15" i="12"/>
  <c r="G15" i="12" s="1"/>
  <c r="E15" i="12"/>
  <c r="K14" i="12"/>
  <c r="H14" i="12"/>
  <c r="F14" i="12"/>
  <c r="K15" i="12" s="1"/>
  <c r="E14" i="12"/>
  <c r="H13" i="12"/>
  <c r="F13" i="12"/>
  <c r="E13" i="12"/>
  <c r="H12" i="12"/>
  <c r="F12" i="12"/>
  <c r="E12" i="12"/>
  <c r="H11" i="12"/>
  <c r="F11" i="12"/>
  <c r="G11" i="12" s="1"/>
  <c r="E11" i="12"/>
  <c r="H10" i="12"/>
  <c r="F10" i="12"/>
  <c r="K11" i="12" s="1"/>
  <c r="E10" i="12"/>
  <c r="H9" i="12"/>
  <c r="F9" i="12"/>
  <c r="E9" i="12"/>
  <c r="H8" i="12"/>
  <c r="F8" i="12"/>
  <c r="E8" i="12"/>
  <c r="H7" i="12"/>
  <c r="F7" i="12"/>
  <c r="G7" i="12" s="1"/>
  <c r="C8" i="11" s="1"/>
  <c r="E7" i="12"/>
  <c r="H6" i="12"/>
  <c r="F6" i="12"/>
  <c r="K7" i="12" s="1"/>
  <c r="E6" i="12"/>
  <c r="H5" i="12"/>
  <c r="F5" i="12"/>
  <c r="E5" i="12"/>
  <c r="H4" i="12"/>
  <c r="F4" i="12"/>
  <c r="E4" i="12"/>
  <c r="H3" i="12"/>
  <c r="F3" i="12"/>
  <c r="G3" i="12" s="1"/>
  <c r="C7" i="11" s="1"/>
  <c r="E3" i="12"/>
  <c r="H2" i="12"/>
  <c r="I2" i="12" s="1"/>
  <c r="J2" i="12" s="1"/>
  <c r="F2" i="12"/>
  <c r="K3" i="12" s="1"/>
  <c r="E2" i="12"/>
  <c r="AM38" i="11"/>
  <c r="AL38" i="11"/>
  <c r="AC38" i="11"/>
  <c r="AB38" i="11"/>
  <c r="T38" i="11"/>
  <c r="S38" i="11"/>
  <c r="O38" i="11"/>
  <c r="AK37" i="11"/>
  <c r="AG37" i="11"/>
  <c r="AC37" i="11"/>
  <c r="X37" i="11"/>
  <c r="T37" i="11"/>
  <c r="S37" i="11"/>
  <c r="M37" i="11"/>
  <c r="L37" i="11"/>
  <c r="J37" i="11"/>
  <c r="H37" i="11"/>
  <c r="D37" i="11"/>
  <c r="AN36" i="11"/>
  <c r="AC36" i="11"/>
  <c r="Y36" i="11"/>
  <c r="X36" i="11"/>
  <c r="T36" i="11"/>
  <c r="S36" i="11"/>
  <c r="O36" i="11"/>
  <c r="J36" i="11"/>
  <c r="AN35" i="11"/>
  <c r="AM35" i="11"/>
  <c r="AL35" i="11"/>
  <c r="AC35" i="11"/>
  <c r="Y35" i="11"/>
  <c r="X35" i="11"/>
  <c r="T35" i="11"/>
  <c r="O35" i="11"/>
  <c r="M35" i="11"/>
  <c r="J35" i="11"/>
  <c r="H35" i="11"/>
  <c r="C35" i="11"/>
  <c r="AN34" i="11"/>
  <c r="AG34" i="11"/>
  <c r="AC34" i="11"/>
  <c r="Y34" i="11"/>
  <c r="N34" i="11"/>
  <c r="J34" i="11"/>
  <c r="D34" i="11"/>
  <c r="AM33" i="11"/>
  <c r="AG33" i="11"/>
  <c r="AC33" i="11"/>
  <c r="Y33" i="11"/>
  <c r="X33" i="11"/>
  <c r="O33" i="11"/>
  <c r="N33" i="11"/>
  <c r="J33" i="11"/>
  <c r="H33" i="11"/>
  <c r="E33" i="11"/>
  <c r="AN32" i="11"/>
  <c r="AM32" i="11"/>
  <c r="AC32" i="11"/>
  <c r="X32" i="11"/>
  <c r="J32" i="11"/>
  <c r="AN31" i="11"/>
  <c r="AM31" i="11"/>
  <c r="AC31" i="11"/>
  <c r="X31" i="11"/>
  <c r="O31" i="11"/>
  <c r="M31" i="11"/>
  <c r="J31" i="11"/>
  <c r="H31" i="11"/>
  <c r="E31" i="11"/>
  <c r="AM30" i="11"/>
  <c r="AC30" i="11"/>
  <c r="Y30" i="11"/>
  <c r="X30" i="11"/>
  <c r="O30" i="11"/>
  <c r="J30" i="11"/>
  <c r="E30" i="11"/>
  <c r="AM29" i="11"/>
  <c r="AC29" i="11"/>
  <c r="X29" i="11"/>
  <c r="V29" i="11"/>
  <c r="O29" i="11"/>
  <c r="N29" i="11"/>
  <c r="J29" i="11"/>
  <c r="H29" i="11"/>
  <c r="D29" i="11"/>
  <c r="C29" i="11"/>
  <c r="AN28" i="11"/>
  <c r="AM28" i="11"/>
  <c r="AC28" i="11"/>
  <c r="Y28" i="11"/>
  <c r="T28" i="11"/>
  <c r="S28" i="11"/>
  <c r="O28" i="11"/>
  <c r="J28" i="11"/>
  <c r="E28" i="11"/>
  <c r="C28" i="11"/>
  <c r="AN27" i="11"/>
  <c r="AM27" i="11"/>
  <c r="Y27" i="11"/>
  <c r="O27" i="11"/>
  <c r="J27" i="11"/>
  <c r="E27" i="11"/>
  <c r="C27" i="11"/>
  <c r="AM26" i="11"/>
  <c r="AA26" i="11"/>
  <c r="Y26" i="11"/>
  <c r="X26" i="11"/>
  <c r="T26" i="11"/>
  <c r="S26" i="11"/>
  <c r="O26" i="11"/>
  <c r="M26" i="11"/>
  <c r="J26" i="11"/>
  <c r="E26" i="11"/>
  <c r="C26" i="11"/>
  <c r="AM25" i="11"/>
  <c r="Y25" i="11"/>
  <c r="X25" i="11"/>
  <c r="M25" i="11"/>
  <c r="J25" i="11"/>
  <c r="E25" i="11"/>
  <c r="C25" i="11"/>
  <c r="AN24" i="11"/>
  <c r="AM24" i="11"/>
  <c r="AD24" i="11"/>
  <c r="AC24" i="11"/>
  <c r="AB24" i="11"/>
  <c r="Y24" i="11"/>
  <c r="X24" i="11"/>
  <c r="T24" i="11"/>
  <c r="S24" i="11"/>
  <c r="M24" i="11"/>
  <c r="J24" i="11"/>
  <c r="E24" i="11"/>
  <c r="C24" i="11"/>
  <c r="AN23" i="11"/>
  <c r="AM23" i="11"/>
  <c r="Y23" i="11"/>
  <c r="M23" i="11"/>
  <c r="L23" i="11"/>
  <c r="J23" i="11"/>
  <c r="E23" i="11"/>
  <c r="C23" i="11"/>
  <c r="AN22" i="11"/>
  <c r="AM22" i="11"/>
  <c r="AG22" i="11"/>
  <c r="Y22" i="11"/>
  <c r="X22" i="11"/>
  <c r="T22" i="11"/>
  <c r="S22" i="11"/>
  <c r="J22" i="11"/>
  <c r="E22" i="11"/>
  <c r="C22" i="11"/>
  <c r="AM21" i="11"/>
  <c r="AG21" i="11"/>
  <c r="Y21" i="11"/>
  <c r="M21" i="11"/>
  <c r="J21" i="11"/>
  <c r="E21" i="11"/>
  <c r="C21" i="11"/>
  <c r="AN20" i="11"/>
  <c r="AM20" i="11"/>
  <c r="X20" i="11"/>
  <c r="T20" i="11"/>
  <c r="S20" i="11"/>
  <c r="M20" i="11"/>
  <c r="J20" i="11"/>
  <c r="E20" i="11"/>
  <c r="C20" i="11"/>
  <c r="AN19" i="11"/>
  <c r="AM19" i="11"/>
  <c r="X19" i="11"/>
  <c r="M19" i="11"/>
  <c r="J19" i="11"/>
  <c r="E19" i="11"/>
  <c r="C19" i="11"/>
  <c r="AN18" i="11"/>
  <c r="AM18" i="11"/>
  <c r="AG18" i="11"/>
  <c r="X18" i="11"/>
  <c r="T18" i="11"/>
  <c r="S18" i="11"/>
  <c r="J18" i="11"/>
  <c r="E18" i="11"/>
  <c r="AG17" i="11"/>
  <c r="AD17" i="11"/>
  <c r="AC17" i="11"/>
  <c r="Y17" i="11"/>
  <c r="X17" i="11"/>
  <c r="T17" i="11"/>
  <c r="N17" i="11"/>
  <c r="M17" i="11"/>
  <c r="L17" i="11"/>
  <c r="J17" i="11"/>
  <c r="E17" i="11"/>
  <c r="C17" i="11"/>
  <c r="AL16" i="11"/>
  <c r="AG16" i="11"/>
  <c r="X16" i="11"/>
  <c r="R16" i="11"/>
  <c r="J16" i="11"/>
  <c r="E16" i="11"/>
  <c r="C16" i="11"/>
  <c r="AN15" i="11"/>
  <c r="AL15" i="11"/>
  <c r="AH15" i="11"/>
  <c r="X15" i="11"/>
  <c r="AN14" i="11"/>
  <c r="AK14" i="11"/>
  <c r="AI14" i="11"/>
  <c r="Y14" i="11"/>
  <c r="X14" i="11"/>
  <c r="T14" i="11"/>
  <c r="J14" i="11"/>
  <c r="I14" i="11"/>
  <c r="C14" i="11"/>
  <c r="AM13" i="11"/>
  <c r="AI13" i="11"/>
  <c r="AD13" i="11"/>
  <c r="AC13" i="11"/>
  <c r="Y13" i="11"/>
  <c r="X13" i="11"/>
  <c r="T13" i="11"/>
  <c r="R13" i="11"/>
  <c r="N13" i="11"/>
  <c r="M13" i="11"/>
  <c r="C13" i="11"/>
  <c r="B13" i="11"/>
  <c r="AM12" i="11"/>
  <c r="AI12" i="11"/>
  <c r="AH12" i="11"/>
  <c r="AD12" i="11"/>
  <c r="AC12" i="11"/>
  <c r="Y12" i="11"/>
  <c r="X12" i="11"/>
  <c r="T12" i="11"/>
  <c r="M12" i="11"/>
  <c r="C12" i="11"/>
  <c r="AN11" i="11"/>
  <c r="AM11" i="11"/>
  <c r="AI11" i="11"/>
  <c r="X11" i="11"/>
  <c r="T11" i="11"/>
  <c r="R11" i="11"/>
  <c r="M11" i="11"/>
  <c r="J11" i="11"/>
  <c r="C11" i="11"/>
  <c r="AM10" i="11"/>
  <c r="AL10" i="11"/>
  <c r="AI10" i="11"/>
  <c r="Y10" i="11"/>
  <c r="X10" i="11"/>
  <c r="T10" i="11"/>
  <c r="N10" i="11"/>
  <c r="C10" i="11"/>
  <c r="AN9" i="11"/>
  <c r="AM9" i="11"/>
  <c r="AI9" i="11"/>
  <c r="AH9" i="11"/>
  <c r="AD9" i="11"/>
  <c r="AC9" i="11"/>
  <c r="Y9" i="11"/>
  <c r="X9" i="11"/>
  <c r="W9" i="11"/>
  <c r="T9" i="11"/>
  <c r="R9" i="11"/>
  <c r="N9" i="11"/>
  <c r="L9" i="11"/>
  <c r="J9" i="11"/>
  <c r="C9" i="11"/>
  <c r="AM8" i="11"/>
  <c r="AL8" i="11"/>
  <c r="AI8" i="11"/>
  <c r="AH8" i="11"/>
  <c r="AD8" i="11"/>
  <c r="AC8" i="11"/>
  <c r="X8" i="11"/>
  <c r="T8" i="11"/>
  <c r="AN7" i="11"/>
  <c r="AM7" i="11"/>
  <c r="AI7" i="11"/>
  <c r="AH7" i="11"/>
  <c r="Y7" i="11"/>
  <c r="T7" i="11"/>
  <c r="R7" i="11"/>
  <c r="J7" i="11"/>
  <c r="J35" i="10"/>
  <c r="E35" i="10"/>
  <c r="J34" i="10"/>
  <c r="J33" i="10"/>
  <c r="E33" i="10"/>
  <c r="J32" i="10"/>
  <c r="E32" i="10"/>
  <c r="J31" i="10"/>
  <c r="J30" i="10"/>
  <c r="E30" i="10"/>
  <c r="J29" i="10"/>
  <c r="E29" i="10"/>
  <c r="J28" i="10"/>
  <c r="J27" i="10"/>
  <c r="E27" i="10"/>
  <c r="J26" i="10"/>
  <c r="E26" i="10"/>
  <c r="J25" i="10"/>
  <c r="E25" i="10"/>
  <c r="J24" i="10"/>
  <c r="J23" i="10"/>
  <c r="J22" i="10"/>
  <c r="J21" i="10"/>
  <c r="J20" i="10"/>
  <c r="J19" i="10"/>
  <c r="J18" i="10"/>
  <c r="J17" i="10"/>
  <c r="J16" i="10"/>
  <c r="J15" i="10"/>
  <c r="J13" i="10"/>
  <c r="J10" i="10"/>
  <c r="J8" i="10"/>
  <c r="J6" i="10"/>
  <c r="N89" i="9"/>
  <c r="M89" i="9"/>
  <c r="L89" i="9"/>
  <c r="K89" i="9"/>
  <c r="N88" i="9"/>
  <c r="M88" i="9"/>
  <c r="L88" i="9"/>
  <c r="K88" i="9"/>
  <c r="N87" i="9"/>
  <c r="M87" i="9"/>
  <c r="L87" i="9"/>
  <c r="K87" i="9"/>
  <c r="N86" i="9"/>
  <c r="M86" i="9"/>
  <c r="L86" i="9"/>
  <c r="K86" i="9"/>
  <c r="N85" i="9"/>
  <c r="M85" i="9"/>
  <c r="L85" i="9"/>
  <c r="K85" i="9"/>
  <c r="N84" i="9"/>
  <c r="M84" i="9"/>
  <c r="L84" i="9"/>
  <c r="K84" i="9"/>
  <c r="N83" i="9"/>
  <c r="M83" i="9"/>
  <c r="L83" i="9"/>
  <c r="K83" i="9"/>
  <c r="N82" i="9"/>
  <c r="M82" i="9"/>
  <c r="L82" i="9"/>
  <c r="K82" i="9"/>
  <c r="N81" i="9"/>
  <c r="M81" i="9"/>
  <c r="L81" i="9"/>
  <c r="K81" i="9"/>
  <c r="N80" i="9"/>
  <c r="M80" i="9"/>
  <c r="L80" i="9"/>
  <c r="K80" i="9"/>
  <c r="N79" i="9"/>
  <c r="M79" i="9"/>
  <c r="L79" i="9"/>
  <c r="K79" i="9"/>
  <c r="N78" i="9"/>
  <c r="M78" i="9"/>
  <c r="L78" i="9"/>
  <c r="K78" i="9"/>
  <c r="N77" i="9"/>
  <c r="M77" i="9"/>
  <c r="L77" i="9"/>
  <c r="K77" i="9"/>
  <c r="N76" i="9"/>
  <c r="M76" i="9"/>
  <c r="L76" i="9"/>
  <c r="K76" i="9"/>
  <c r="N75" i="9"/>
  <c r="M75" i="9"/>
  <c r="L75" i="9"/>
  <c r="K75" i="9"/>
  <c r="N74" i="9"/>
  <c r="M74" i="9"/>
  <c r="L74" i="9"/>
  <c r="K74" i="9"/>
  <c r="N73" i="9"/>
  <c r="M73" i="9"/>
  <c r="L73" i="9"/>
  <c r="K73" i="9"/>
  <c r="N72" i="9"/>
  <c r="M72" i="9"/>
  <c r="L72" i="9"/>
  <c r="K72" i="9"/>
  <c r="N71" i="9"/>
  <c r="M71" i="9"/>
  <c r="L71" i="9"/>
  <c r="K71" i="9"/>
  <c r="N70" i="9"/>
  <c r="M70" i="9"/>
  <c r="L70" i="9"/>
  <c r="K70" i="9"/>
  <c r="N69" i="9"/>
  <c r="M69" i="9"/>
  <c r="L69" i="9"/>
  <c r="K69" i="9"/>
  <c r="N68" i="9"/>
  <c r="M68" i="9"/>
  <c r="L68" i="9"/>
  <c r="K68" i="9"/>
  <c r="N67" i="9"/>
  <c r="M67" i="9"/>
  <c r="L67" i="9"/>
  <c r="K67" i="9"/>
  <c r="N66" i="9"/>
  <c r="M66" i="9"/>
  <c r="L66" i="9"/>
  <c r="K66" i="9"/>
  <c r="N65" i="9"/>
  <c r="M65" i="9"/>
  <c r="L65" i="9"/>
  <c r="K65" i="9"/>
  <c r="N64" i="9"/>
  <c r="M64" i="9"/>
  <c r="L64" i="9"/>
  <c r="K64" i="9"/>
  <c r="N63" i="9"/>
  <c r="M63" i="9"/>
  <c r="L63" i="9"/>
  <c r="K63" i="9"/>
  <c r="N62" i="9"/>
  <c r="M62" i="9"/>
  <c r="L62" i="9"/>
  <c r="K62" i="9"/>
  <c r="N61" i="9"/>
  <c r="M61" i="9"/>
  <c r="L61" i="9"/>
  <c r="K61" i="9"/>
  <c r="N60" i="9"/>
  <c r="M60" i="9"/>
  <c r="L60" i="9"/>
  <c r="K60" i="9"/>
  <c r="N59" i="9"/>
  <c r="M59" i="9"/>
  <c r="L59" i="9"/>
  <c r="K59" i="9"/>
  <c r="N58" i="9"/>
  <c r="M58" i="9"/>
  <c r="L58" i="9"/>
  <c r="K58" i="9"/>
  <c r="B34" i="6"/>
  <c r="B30" i="6"/>
  <c r="B29" i="6"/>
  <c r="E26" i="6"/>
  <c r="E24" i="6"/>
  <c r="E12" i="6"/>
  <c r="B12" i="6"/>
  <c r="B11" i="6"/>
  <c r="E4" i="6"/>
  <c r="I830" i="12" l="1"/>
  <c r="J830" i="12" s="1"/>
  <c r="I834" i="12"/>
  <c r="J834" i="12" s="1"/>
  <c r="I846" i="12"/>
  <c r="J846" i="12" s="1"/>
  <c r="I46" i="12"/>
  <c r="J46" i="12" s="1"/>
  <c r="I47" i="12"/>
  <c r="J47" i="12" s="1"/>
  <c r="K194" i="12"/>
  <c r="G238" i="12"/>
  <c r="L34" i="11" s="1"/>
  <c r="I463" i="12"/>
  <c r="J463" i="12" s="1"/>
  <c r="I545" i="12"/>
  <c r="I550" i="12"/>
  <c r="J550" i="12" s="1"/>
  <c r="I682" i="12"/>
  <c r="J682" i="12" s="1"/>
  <c r="G971" i="12"/>
  <c r="AL25" i="11" s="1"/>
  <c r="I44" i="12"/>
  <c r="J44" i="12" s="1"/>
  <c r="K46" i="12"/>
  <c r="I196" i="12"/>
  <c r="I256" i="12"/>
  <c r="J256" i="12" s="1"/>
  <c r="I327" i="12"/>
  <c r="J327" i="12" s="1"/>
  <c r="I335" i="12"/>
  <c r="J335" i="12" s="1"/>
  <c r="K348" i="12"/>
  <c r="I348" i="12"/>
  <c r="J348" i="12" s="1"/>
  <c r="I352" i="12"/>
  <c r="J352" i="12" s="1"/>
  <c r="G415" i="12"/>
  <c r="AG14" i="11" s="1"/>
  <c r="I440" i="12"/>
  <c r="J440" i="12" s="1"/>
  <c r="I485" i="12"/>
  <c r="J485" i="12" s="1"/>
  <c r="I487" i="12"/>
  <c r="J487" i="12" s="1"/>
  <c r="G489" i="12"/>
  <c r="AI32" i="11" s="1"/>
  <c r="K569" i="12"/>
  <c r="K577" i="12"/>
  <c r="K585" i="12"/>
  <c r="I825" i="12"/>
  <c r="J825" i="12" s="1"/>
  <c r="I843" i="12"/>
  <c r="I847" i="12"/>
  <c r="I959" i="12"/>
  <c r="J959" i="12" s="1"/>
  <c r="I975" i="12"/>
  <c r="J975" i="12" s="1"/>
  <c r="K685" i="12"/>
  <c r="J12" i="11"/>
  <c r="J11" i="10"/>
  <c r="K34" i="12"/>
  <c r="I60" i="12"/>
  <c r="J60" i="12" s="1"/>
  <c r="I72" i="12"/>
  <c r="J72" i="12" s="1"/>
  <c r="K210" i="12"/>
  <c r="K378" i="12"/>
  <c r="I479" i="12"/>
  <c r="J479" i="12" s="1"/>
  <c r="I483" i="12"/>
  <c r="J483" i="12" s="1"/>
  <c r="I488" i="12"/>
  <c r="J488" i="12" s="1"/>
  <c r="I683" i="12"/>
  <c r="J683" i="12" s="1"/>
  <c r="I855" i="12"/>
  <c r="J855" i="12" s="1"/>
  <c r="I863" i="12"/>
  <c r="J863" i="12" s="1"/>
  <c r="I871" i="12"/>
  <c r="J871" i="12" s="1"/>
  <c r="I879" i="12"/>
  <c r="J879" i="12" s="1"/>
  <c r="I883" i="12"/>
  <c r="J883" i="12" s="1"/>
  <c r="I951" i="12"/>
  <c r="J951" i="12" s="1"/>
  <c r="I955" i="12"/>
  <c r="J955" i="12" s="1"/>
  <c r="I969" i="12"/>
  <c r="J969" i="12" s="1"/>
  <c r="G977" i="12"/>
  <c r="AN26" i="11" s="1"/>
  <c r="I1010" i="12"/>
  <c r="J1010" i="12" s="1"/>
  <c r="I4" i="12"/>
  <c r="I136" i="12"/>
  <c r="J136" i="12" s="1"/>
  <c r="K338" i="12"/>
  <c r="I421" i="12"/>
  <c r="I437" i="12"/>
  <c r="I453" i="12"/>
  <c r="J453" i="12" s="1"/>
  <c r="G465" i="12"/>
  <c r="AI26" i="11" s="1"/>
  <c r="G473" i="12"/>
  <c r="AI28" i="11" s="1"/>
  <c r="I496" i="12"/>
  <c r="J496" i="12" s="1"/>
  <c r="I505" i="12"/>
  <c r="J505" i="12" s="1"/>
  <c r="I509" i="12"/>
  <c r="J509" i="12" s="1"/>
  <c r="I513" i="12"/>
  <c r="I529" i="12"/>
  <c r="I548" i="12"/>
  <c r="J548" i="12" s="1"/>
  <c r="I971" i="12"/>
  <c r="J971" i="12" s="1"/>
  <c r="K593" i="12"/>
  <c r="I686" i="12"/>
  <c r="J686" i="12" s="1"/>
  <c r="I897" i="12"/>
  <c r="J897" i="12" s="1"/>
  <c r="I913" i="12"/>
  <c r="J913" i="12" s="1"/>
  <c r="I933" i="12"/>
  <c r="K30" i="12"/>
  <c r="I139" i="12"/>
  <c r="J139" i="12" s="1"/>
  <c r="I140" i="12"/>
  <c r="J140" i="12" s="1"/>
  <c r="K158" i="12"/>
  <c r="G162" i="12"/>
  <c r="L15" i="11" s="1"/>
  <c r="I164" i="12"/>
  <c r="G190" i="12"/>
  <c r="L22" i="11" s="1"/>
  <c r="K206" i="12"/>
  <c r="I240" i="12"/>
  <c r="J240" i="12" s="1"/>
  <c r="G338" i="12"/>
  <c r="V27" i="11" s="1"/>
  <c r="K340" i="12"/>
  <c r="K346" i="12"/>
  <c r="I350" i="12"/>
  <c r="J350" i="12" s="1"/>
  <c r="I362" i="12"/>
  <c r="J362" i="12" s="1"/>
  <c r="I455" i="12"/>
  <c r="J455" i="12" s="1"/>
  <c r="I456" i="12"/>
  <c r="J456" i="12" s="1"/>
  <c r="I495" i="12"/>
  <c r="J495" i="12" s="1"/>
  <c r="G497" i="12"/>
  <c r="AI34" i="11" s="1"/>
  <c r="I533" i="12"/>
  <c r="I541" i="12"/>
  <c r="I542" i="12"/>
  <c r="J542" i="12" s="1"/>
  <c r="I818" i="12"/>
  <c r="J818" i="12" s="1"/>
  <c r="I28" i="12"/>
  <c r="K42" i="12"/>
  <c r="K58" i="12"/>
  <c r="K70" i="12"/>
  <c r="K134" i="12"/>
  <c r="K371" i="12"/>
  <c r="K370" i="12"/>
  <c r="K372" i="12"/>
  <c r="G471" i="12"/>
  <c r="AG28" i="11" s="1"/>
  <c r="I471" i="12"/>
  <c r="J471" i="12" s="1"/>
  <c r="G218" i="12"/>
  <c r="L29" i="11" s="1"/>
  <c r="I239" i="12"/>
  <c r="J239" i="12" s="1"/>
  <c r="I259" i="12"/>
  <c r="J259" i="12" s="1"/>
  <c r="K287" i="12"/>
  <c r="K286" i="12"/>
  <c r="I295" i="12"/>
  <c r="J295" i="12" s="1"/>
  <c r="I303" i="12"/>
  <c r="J303" i="12" s="1"/>
  <c r="K307" i="12"/>
  <c r="G306" i="12"/>
  <c r="V19" i="11" s="1"/>
  <c r="G370" i="12"/>
  <c r="V35" i="11" s="1"/>
  <c r="G400" i="12"/>
  <c r="AH10" i="11" s="1"/>
  <c r="I400" i="12"/>
  <c r="J400" i="12" s="1"/>
  <c r="I409" i="12"/>
  <c r="J409" i="12" s="1"/>
  <c r="K735" i="12"/>
  <c r="G734" i="12"/>
  <c r="Q30" i="11" s="1"/>
  <c r="I12" i="12"/>
  <c r="I32" i="12"/>
  <c r="I38" i="12"/>
  <c r="J38" i="12" s="1"/>
  <c r="G42" i="12"/>
  <c r="B17" i="11" s="1"/>
  <c r="I54" i="12"/>
  <c r="J54" i="12" s="1"/>
  <c r="G58" i="12"/>
  <c r="B21" i="11" s="1"/>
  <c r="K62" i="12"/>
  <c r="I66" i="12"/>
  <c r="J66" i="12" s="1"/>
  <c r="G70" i="12"/>
  <c r="B24" i="11" s="1"/>
  <c r="I88" i="12"/>
  <c r="J88" i="12" s="1"/>
  <c r="I109" i="12"/>
  <c r="J109" i="12" s="1"/>
  <c r="G134" i="12"/>
  <c r="L8" i="11" s="1"/>
  <c r="K138" i="12"/>
  <c r="G186" i="12"/>
  <c r="L21" i="11" s="1"/>
  <c r="I208" i="12"/>
  <c r="I227" i="12"/>
  <c r="J227" i="12" s="1"/>
  <c r="I228" i="12"/>
  <c r="J228" i="12" s="1"/>
  <c r="K238" i="12"/>
  <c r="K274" i="12"/>
  <c r="I282" i="12"/>
  <c r="J282" i="12" s="1"/>
  <c r="K315" i="12"/>
  <c r="K314" i="12"/>
  <c r="K316" i="12"/>
  <c r="I316" i="12"/>
  <c r="J316" i="12" s="1"/>
  <c r="G368" i="12"/>
  <c r="X34" i="11" s="1"/>
  <c r="I368" i="12"/>
  <c r="J368" i="12" s="1"/>
  <c r="I693" i="12"/>
  <c r="J693" i="12" s="1"/>
  <c r="G693" i="12"/>
  <c r="T19" i="11" s="1"/>
  <c r="I701" i="12"/>
  <c r="J701" i="12" s="1"/>
  <c r="G701" i="12"/>
  <c r="T21" i="11" s="1"/>
  <c r="I709" i="12"/>
  <c r="J709" i="12" s="1"/>
  <c r="G709" i="12"/>
  <c r="T23" i="11" s="1"/>
  <c r="I717" i="12"/>
  <c r="J717" i="12" s="1"/>
  <c r="G717" i="12"/>
  <c r="T25" i="11" s="1"/>
  <c r="I725" i="12"/>
  <c r="J725" i="12" s="1"/>
  <c r="G725" i="12"/>
  <c r="T27" i="11" s="1"/>
  <c r="I733" i="12"/>
  <c r="J733" i="12" s="1"/>
  <c r="G733" i="12"/>
  <c r="T29" i="11" s="1"/>
  <c r="I40" i="12"/>
  <c r="J40" i="12" s="1"/>
  <c r="I58" i="12"/>
  <c r="J58" i="12" s="1"/>
  <c r="I59" i="12"/>
  <c r="J59" i="12" s="1"/>
  <c r="I70" i="12"/>
  <c r="J70" i="12" s="1"/>
  <c r="I71" i="12"/>
  <c r="J71" i="12" s="1"/>
  <c r="I91" i="12"/>
  <c r="J91" i="12" s="1"/>
  <c r="I103" i="12"/>
  <c r="J103" i="12" s="1"/>
  <c r="I107" i="12"/>
  <c r="J107" i="12" s="1"/>
  <c r="I132" i="12"/>
  <c r="I135" i="12"/>
  <c r="J135" i="12" s="1"/>
  <c r="I144" i="12"/>
  <c r="G166" i="12"/>
  <c r="L16" i="11" s="1"/>
  <c r="I180" i="12"/>
  <c r="I184" i="12"/>
  <c r="I186" i="12"/>
  <c r="J186" i="12" s="1"/>
  <c r="K226" i="12"/>
  <c r="G260" i="12"/>
  <c r="X7" i="11" s="1"/>
  <c r="I260" i="12"/>
  <c r="J260" i="12" s="1"/>
  <c r="K262" i="12"/>
  <c r="K271" i="12"/>
  <c r="G270" i="12"/>
  <c r="V10" i="11" s="1"/>
  <c r="K306" i="12"/>
  <c r="I336" i="12"/>
  <c r="J336" i="12" s="1"/>
  <c r="G425" i="12"/>
  <c r="AI16" i="11" s="1"/>
  <c r="I692" i="12"/>
  <c r="J692" i="12" s="1"/>
  <c r="G692" i="12"/>
  <c r="S19" i="11" s="1"/>
  <c r="I700" i="12"/>
  <c r="J700" i="12" s="1"/>
  <c r="G700" i="12"/>
  <c r="S21" i="11" s="1"/>
  <c r="I708" i="12"/>
  <c r="J708" i="12" s="1"/>
  <c r="G708" i="12"/>
  <c r="S23" i="11" s="1"/>
  <c r="I716" i="12"/>
  <c r="J716" i="12" s="1"/>
  <c r="G716" i="12"/>
  <c r="S25" i="11" s="1"/>
  <c r="I724" i="12"/>
  <c r="J724" i="12" s="1"/>
  <c r="G724" i="12"/>
  <c r="S27" i="11" s="1"/>
  <c r="I732" i="12"/>
  <c r="J732" i="12" s="1"/>
  <c r="G732" i="12"/>
  <c r="S29" i="11" s="1"/>
  <c r="I565" i="12"/>
  <c r="J565" i="12" s="1"/>
  <c r="I573" i="12"/>
  <c r="J573" i="12" s="1"/>
  <c r="I581" i="12"/>
  <c r="J581" i="12" s="1"/>
  <c r="I589" i="12"/>
  <c r="J589" i="12" s="1"/>
  <c r="I601" i="12"/>
  <c r="J601" i="12" s="1"/>
  <c r="I617" i="12"/>
  <c r="J617" i="12" s="1"/>
  <c r="I633" i="12"/>
  <c r="J633" i="12" s="1"/>
  <c r="I649" i="12"/>
  <c r="J649" i="12" s="1"/>
  <c r="I665" i="12"/>
  <c r="J665" i="12" s="1"/>
  <c r="G675" i="12"/>
  <c r="R15" i="11" s="1"/>
  <c r="I676" i="12"/>
  <c r="J676" i="12" s="1"/>
  <c r="G690" i="12"/>
  <c r="Q19" i="11" s="1"/>
  <c r="K690" i="12"/>
  <c r="I694" i="12"/>
  <c r="J694" i="12" s="1"/>
  <c r="G698" i="12"/>
  <c r="Q21" i="11" s="1"/>
  <c r="K698" i="12"/>
  <c r="I702" i="12"/>
  <c r="J702" i="12" s="1"/>
  <c r="G706" i="12"/>
  <c r="Q23" i="11" s="1"/>
  <c r="K706" i="12"/>
  <c r="I710" i="12"/>
  <c r="J710" i="12" s="1"/>
  <c r="G714" i="12"/>
  <c r="Q25" i="11" s="1"/>
  <c r="K714" i="12"/>
  <c r="I718" i="12"/>
  <c r="J718" i="12" s="1"/>
  <c r="G722" i="12"/>
  <c r="Q27" i="11" s="1"/>
  <c r="K722" i="12"/>
  <c r="I726" i="12"/>
  <c r="J726" i="12" s="1"/>
  <c r="G730" i="12"/>
  <c r="Q29" i="11" s="1"/>
  <c r="K730" i="12"/>
  <c r="G758" i="12"/>
  <c r="Q36" i="11" s="1"/>
  <c r="K758" i="12"/>
  <c r="I766" i="12"/>
  <c r="J766" i="12" s="1"/>
  <c r="G778" i="12"/>
  <c r="AA9" i="11" s="1"/>
  <c r="K778" i="12"/>
  <c r="G790" i="12"/>
  <c r="AA12" i="11" s="1"/>
  <c r="K790" i="12"/>
  <c r="G818" i="12"/>
  <c r="AA19" i="11" s="1"/>
  <c r="I824" i="12"/>
  <c r="J824" i="12" s="1"/>
  <c r="I838" i="12"/>
  <c r="I963" i="12"/>
  <c r="J963" i="12" s="1"/>
  <c r="I967" i="12"/>
  <c r="J967" i="12" s="1"/>
  <c r="I1012" i="12"/>
  <c r="J1012" i="12" s="1"/>
  <c r="G1016" i="12"/>
  <c r="AM36" i="11" s="1"/>
  <c r="I399" i="12"/>
  <c r="J399" i="12" s="1"/>
  <c r="G479" i="12"/>
  <c r="AG30" i="11" s="1"/>
  <c r="I497" i="12"/>
  <c r="J497" i="12" s="1"/>
  <c r="I929" i="12"/>
  <c r="I985" i="12"/>
  <c r="J985" i="12" s="1"/>
  <c r="G987" i="12"/>
  <c r="AL29" i="11" s="1"/>
  <c r="K272" i="12"/>
  <c r="I298" i="12"/>
  <c r="J298" i="12" s="1"/>
  <c r="K308" i="12"/>
  <c r="I318" i="12"/>
  <c r="J318" i="12" s="1"/>
  <c r="I346" i="12"/>
  <c r="J346" i="12" s="1"/>
  <c r="I359" i="12"/>
  <c r="J359" i="12" s="1"/>
  <c r="I367" i="12"/>
  <c r="J367" i="12" s="1"/>
  <c r="G378" i="12"/>
  <c r="V37" i="11" s="1"/>
  <c r="K380" i="12"/>
  <c r="I380" i="12"/>
  <c r="J380" i="12" s="1"/>
  <c r="I398" i="12"/>
  <c r="J398" i="12" s="1"/>
  <c r="I451" i="12"/>
  <c r="J451" i="12" s="1"/>
  <c r="G457" i="12"/>
  <c r="AI24" i="11" s="1"/>
  <c r="I464" i="12"/>
  <c r="J464" i="12" s="1"/>
  <c r="I465" i="12"/>
  <c r="J465" i="12" s="1"/>
  <c r="I469" i="12"/>
  <c r="J469" i="12" s="1"/>
  <c r="I473" i="12"/>
  <c r="J473" i="12" s="1"/>
  <c r="I477" i="12"/>
  <c r="J477" i="12" s="1"/>
  <c r="I517" i="12"/>
  <c r="I567" i="12"/>
  <c r="I575" i="12"/>
  <c r="I583" i="12"/>
  <c r="I591" i="12"/>
  <c r="I603" i="12"/>
  <c r="J603" i="12" s="1"/>
  <c r="I611" i="12"/>
  <c r="J611" i="12" s="1"/>
  <c r="I690" i="12"/>
  <c r="J690" i="12" s="1"/>
  <c r="I698" i="12"/>
  <c r="J698" i="12" s="1"/>
  <c r="I706" i="12"/>
  <c r="J706" i="12" s="1"/>
  <c r="I714" i="12"/>
  <c r="J714" i="12" s="1"/>
  <c r="I722" i="12"/>
  <c r="J722" i="12" s="1"/>
  <c r="I730" i="12"/>
  <c r="J730" i="12" s="1"/>
  <c r="I758" i="12"/>
  <c r="J758" i="12" s="1"/>
  <c r="G766" i="12"/>
  <c r="Q38" i="11" s="1"/>
  <c r="K766" i="12"/>
  <c r="G802" i="12"/>
  <c r="AA15" i="11" s="1"/>
  <c r="G806" i="12"/>
  <c r="AA16" i="11" s="1"/>
  <c r="K806" i="12"/>
  <c r="I814" i="12"/>
  <c r="J814" i="12" s="1"/>
  <c r="K849" i="12"/>
  <c r="I853" i="12"/>
  <c r="J853" i="12" s="1"/>
  <c r="I861" i="12"/>
  <c r="J861" i="12" s="1"/>
  <c r="I869" i="12"/>
  <c r="J869" i="12" s="1"/>
  <c r="I877" i="12"/>
  <c r="J877" i="12" s="1"/>
  <c r="I923" i="12"/>
  <c r="J923" i="12" s="1"/>
  <c r="I949" i="12"/>
  <c r="J949" i="12" s="1"/>
  <c r="I953" i="12"/>
  <c r="J953" i="12" s="1"/>
  <c r="G955" i="12"/>
  <c r="AL21" i="11" s="1"/>
  <c r="G963" i="12"/>
  <c r="AL23" i="11" s="1"/>
  <c r="G967" i="12"/>
  <c r="AL24" i="11" s="1"/>
  <c r="I987" i="12"/>
  <c r="J987" i="12" s="1"/>
  <c r="I991" i="12"/>
  <c r="J991" i="12" s="1"/>
  <c r="I999" i="12"/>
  <c r="J999" i="12" s="1"/>
  <c r="I1001" i="12"/>
  <c r="J1001" i="12" s="1"/>
  <c r="G1003" i="12"/>
  <c r="AL33" i="11" s="1"/>
  <c r="K87" i="12"/>
  <c r="K86" i="12"/>
  <c r="G244" i="12"/>
  <c r="N35" i="11" s="1"/>
  <c r="I244" i="12"/>
  <c r="J244" i="12" s="1"/>
  <c r="K246" i="12"/>
  <c r="K256" i="12"/>
  <c r="G254" i="12"/>
  <c r="L38" i="11" s="1"/>
  <c r="K283" i="12"/>
  <c r="G282" i="12"/>
  <c r="V13" i="11" s="1"/>
  <c r="K282" i="12"/>
  <c r="K6" i="12"/>
  <c r="G10" i="12"/>
  <c r="I11" i="12"/>
  <c r="J11" i="12" s="1"/>
  <c r="G22" i="12"/>
  <c r="I30" i="12"/>
  <c r="J30" i="12" s="1"/>
  <c r="I31" i="12"/>
  <c r="J31" i="12" s="1"/>
  <c r="K77" i="12"/>
  <c r="I76" i="12"/>
  <c r="J76" i="12" s="1"/>
  <c r="I148" i="12"/>
  <c r="I192" i="12"/>
  <c r="K202" i="12"/>
  <c r="G202" i="12"/>
  <c r="L25" i="11" s="1"/>
  <c r="K222" i="12"/>
  <c r="K291" i="12"/>
  <c r="G290" i="12"/>
  <c r="V15" i="11" s="1"/>
  <c r="K290" i="12"/>
  <c r="K299" i="12"/>
  <c r="K298" i="12"/>
  <c r="G298" i="12"/>
  <c r="V17" i="11" s="1"/>
  <c r="I304" i="12"/>
  <c r="J304" i="12" s="1"/>
  <c r="K9" i="12"/>
  <c r="I10" i="12"/>
  <c r="J10" i="12" s="1"/>
  <c r="I56" i="12"/>
  <c r="J56" i="12" s="1"/>
  <c r="I68" i="12"/>
  <c r="J68" i="12" s="1"/>
  <c r="K85" i="12"/>
  <c r="I84" i="12"/>
  <c r="J84" i="12" s="1"/>
  <c r="I86" i="12"/>
  <c r="J86" i="12" s="1"/>
  <c r="K170" i="12"/>
  <c r="G176" i="12"/>
  <c r="N18" i="11" s="1"/>
  <c r="I176" i="12"/>
  <c r="G224" i="12"/>
  <c r="N30" i="11" s="1"/>
  <c r="I224" i="12"/>
  <c r="J224" i="12" s="1"/>
  <c r="K236" i="12"/>
  <c r="G234" i="12"/>
  <c r="L33" i="11" s="1"/>
  <c r="K260" i="12"/>
  <c r="K258" i="12"/>
  <c r="K323" i="12"/>
  <c r="K322" i="12"/>
  <c r="G322" i="12"/>
  <c r="V23" i="11" s="1"/>
  <c r="K331" i="12"/>
  <c r="G330" i="12"/>
  <c r="V25" i="11" s="1"/>
  <c r="K330" i="12"/>
  <c r="G2" i="12"/>
  <c r="I3" i="12"/>
  <c r="J3" i="12" s="1"/>
  <c r="I15" i="12"/>
  <c r="J15" i="12" s="1"/>
  <c r="I24" i="12"/>
  <c r="I26" i="12"/>
  <c r="J26" i="12" s="1"/>
  <c r="I27" i="12"/>
  <c r="J27" i="12" s="1"/>
  <c r="I42" i="12"/>
  <c r="J42" i="12" s="1"/>
  <c r="I43" i="12"/>
  <c r="J43" i="12" s="1"/>
  <c r="G54" i="12"/>
  <c r="B20" i="11" s="1"/>
  <c r="I63" i="12"/>
  <c r="J63" i="12" s="1"/>
  <c r="I74" i="12"/>
  <c r="J74" i="12" s="1"/>
  <c r="K79" i="12"/>
  <c r="K78" i="12"/>
  <c r="G103" i="12"/>
  <c r="C32" i="11" s="1"/>
  <c r="G117" i="12"/>
  <c r="I117" i="12"/>
  <c r="J117" i="12" s="1"/>
  <c r="I123" i="12"/>
  <c r="J123" i="12" s="1"/>
  <c r="I131" i="12"/>
  <c r="J131" i="12" s="1"/>
  <c r="K152" i="12"/>
  <c r="K150" i="12"/>
  <c r="I168" i="12"/>
  <c r="J168" i="12" s="1"/>
  <c r="I200" i="12"/>
  <c r="I207" i="12"/>
  <c r="J207" i="12" s="1"/>
  <c r="G212" i="12"/>
  <c r="N27" i="11" s="1"/>
  <c r="I212" i="12"/>
  <c r="J212" i="12" s="1"/>
  <c r="G222" i="12"/>
  <c r="L30" i="11" s="1"/>
  <c r="K242" i="12"/>
  <c r="I330" i="12"/>
  <c r="J330" i="12" s="1"/>
  <c r="K395" i="12"/>
  <c r="G394" i="12"/>
  <c r="AF9" i="11" s="1"/>
  <c r="I439" i="12"/>
  <c r="I521" i="12"/>
  <c r="I537" i="12"/>
  <c r="I680" i="12"/>
  <c r="J680" i="12" s="1"/>
  <c r="I274" i="12"/>
  <c r="J274" i="12" s="1"/>
  <c r="I275" i="12"/>
  <c r="J275" i="12" s="1"/>
  <c r="I286" i="12"/>
  <c r="J286" i="12" s="1"/>
  <c r="I287" i="12"/>
  <c r="J287" i="12" s="1"/>
  <c r="K300" i="12"/>
  <c r="I300" i="12"/>
  <c r="J300" i="12" s="1"/>
  <c r="I311" i="12"/>
  <c r="J311" i="12" s="1"/>
  <c r="K324" i="12"/>
  <c r="I334" i="12"/>
  <c r="J334" i="12" s="1"/>
  <c r="I351" i="12"/>
  <c r="J351" i="12" s="1"/>
  <c r="K354" i="12"/>
  <c r="G362" i="12"/>
  <c r="V33" i="11" s="1"/>
  <c r="K364" i="12"/>
  <c r="I364" i="12"/>
  <c r="J364" i="12" s="1"/>
  <c r="I375" i="12"/>
  <c r="J375" i="12" s="1"/>
  <c r="G384" i="12"/>
  <c r="X38" i="11" s="1"/>
  <c r="I384" i="12"/>
  <c r="J384" i="12" s="1"/>
  <c r="I394" i="12"/>
  <c r="J394" i="12" s="1"/>
  <c r="K402" i="12"/>
  <c r="I431" i="12"/>
  <c r="G433" i="12"/>
  <c r="AI18" i="11" s="1"/>
  <c r="G439" i="12"/>
  <c r="AG20" i="11" s="1"/>
  <c r="I480" i="12"/>
  <c r="J480" i="12" s="1"/>
  <c r="I481" i="12"/>
  <c r="J481" i="12" s="1"/>
  <c r="I501" i="12"/>
  <c r="J501" i="12" s="1"/>
  <c r="G521" i="12"/>
  <c r="I536" i="12"/>
  <c r="J536" i="12" s="1"/>
  <c r="K679" i="12"/>
  <c r="K678" i="12"/>
  <c r="K681" i="12"/>
  <c r="I809" i="12"/>
  <c r="J809" i="12" s="1"/>
  <c r="G809" i="12"/>
  <c r="AD16" i="11" s="1"/>
  <c r="I993" i="12"/>
  <c r="J993" i="12" s="1"/>
  <c r="G993" i="12"/>
  <c r="AN30" i="11" s="1"/>
  <c r="K601" i="12"/>
  <c r="G678" i="12"/>
  <c r="Q16" i="11" s="1"/>
  <c r="K787" i="12"/>
  <c r="I786" i="12"/>
  <c r="J786" i="12" s="1"/>
  <c r="I808" i="12"/>
  <c r="J808" i="12" s="1"/>
  <c r="G808" i="12"/>
  <c r="AC16" i="11" s="1"/>
  <c r="G937" i="12"/>
  <c r="AN16" i="11" s="1"/>
  <c r="I937" i="12"/>
  <c r="J937" i="12" s="1"/>
  <c r="I75" i="12"/>
  <c r="J75" i="12" s="1"/>
  <c r="I83" i="12"/>
  <c r="J83" i="12" s="1"/>
  <c r="I116" i="12"/>
  <c r="J116" i="12" s="1"/>
  <c r="I143" i="12"/>
  <c r="J143" i="12" s="1"/>
  <c r="I147" i="12"/>
  <c r="J147" i="12" s="1"/>
  <c r="I155" i="12"/>
  <c r="J155" i="12" s="1"/>
  <c r="I163" i="12"/>
  <c r="J163" i="12" s="1"/>
  <c r="I175" i="12"/>
  <c r="J175" i="12" s="1"/>
  <c r="I190" i="12"/>
  <c r="J190" i="12" s="1"/>
  <c r="I191" i="12"/>
  <c r="J191" i="12" s="1"/>
  <c r="I211" i="12"/>
  <c r="J211" i="12" s="1"/>
  <c r="I223" i="12"/>
  <c r="J223" i="12" s="1"/>
  <c r="I243" i="12"/>
  <c r="J243" i="12" s="1"/>
  <c r="I270" i="12"/>
  <c r="J270" i="12" s="1"/>
  <c r="I271" i="12"/>
  <c r="J271" i="12" s="1"/>
  <c r="I272" i="12"/>
  <c r="J272" i="12" s="1"/>
  <c r="K284" i="12"/>
  <c r="I284" i="12"/>
  <c r="J284" i="12" s="1"/>
  <c r="K292" i="12"/>
  <c r="I302" i="12"/>
  <c r="J302" i="12" s="1"/>
  <c r="I314" i="12"/>
  <c r="J314" i="12" s="1"/>
  <c r="I319" i="12"/>
  <c r="J319" i="12" s="1"/>
  <c r="I320" i="12"/>
  <c r="J320" i="12" s="1"/>
  <c r="K332" i="12"/>
  <c r="I332" i="12"/>
  <c r="J332" i="12" s="1"/>
  <c r="I343" i="12"/>
  <c r="J343" i="12" s="1"/>
  <c r="G354" i="12"/>
  <c r="V31" i="11" s="1"/>
  <c r="K356" i="12"/>
  <c r="K362" i="12"/>
  <c r="I366" i="12"/>
  <c r="J366" i="12" s="1"/>
  <c r="I378" i="12"/>
  <c r="J378" i="12" s="1"/>
  <c r="I383" i="12"/>
  <c r="J383" i="12" s="1"/>
  <c r="K387" i="12"/>
  <c r="K386" i="12"/>
  <c r="K388" i="12"/>
  <c r="G402" i="12"/>
  <c r="AF11" i="11" s="1"/>
  <c r="K404" i="12"/>
  <c r="I433" i="12"/>
  <c r="I441" i="12"/>
  <c r="J441" i="12" s="1"/>
  <c r="I445" i="12"/>
  <c r="J445" i="12" s="1"/>
  <c r="I447" i="12"/>
  <c r="J447" i="12" s="1"/>
  <c r="G449" i="12"/>
  <c r="AI22" i="11" s="1"/>
  <c r="I457" i="12"/>
  <c r="J457" i="12" s="1"/>
  <c r="I461" i="12"/>
  <c r="J461" i="12" s="1"/>
  <c r="I467" i="12"/>
  <c r="J467" i="12" s="1"/>
  <c r="I503" i="12"/>
  <c r="J503" i="12" s="1"/>
  <c r="I504" i="12"/>
  <c r="J504" i="12" s="1"/>
  <c r="G513" i="12"/>
  <c r="AI38" i="11" s="1"/>
  <c r="I525" i="12"/>
  <c r="G529" i="12"/>
  <c r="I543" i="12"/>
  <c r="J543" i="12" s="1"/>
  <c r="I563" i="12"/>
  <c r="I571" i="12"/>
  <c r="I579" i="12"/>
  <c r="I587" i="12"/>
  <c r="I595" i="12"/>
  <c r="I599" i="12"/>
  <c r="G676" i="12"/>
  <c r="S15" i="11" s="1"/>
  <c r="I762" i="12"/>
  <c r="J762" i="12" s="1"/>
  <c r="I770" i="12"/>
  <c r="J770" i="12" s="1"/>
  <c r="I782" i="12"/>
  <c r="J782" i="12" s="1"/>
  <c r="I882" i="12"/>
  <c r="J882" i="12" s="1"/>
  <c r="I931" i="12"/>
  <c r="I947" i="12"/>
  <c r="J947" i="12" s="1"/>
  <c r="I995" i="12"/>
  <c r="J995" i="12" s="1"/>
  <c r="I619" i="12"/>
  <c r="J619" i="12" s="1"/>
  <c r="I627" i="12"/>
  <c r="J627" i="12" s="1"/>
  <c r="I635" i="12"/>
  <c r="J635" i="12" s="1"/>
  <c r="I643" i="12"/>
  <c r="J643" i="12" s="1"/>
  <c r="I651" i="12"/>
  <c r="J651" i="12" s="1"/>
  <c r="I659" i="12"/>
  <c r="J659" i="12" s="1"/>
  <c r="I667" i="12"/>
  <c r="J667" i="12" s="1"/>
  <c r="I674" i="12"/>
  <c r="J674" i="12" s="1"/>
  <c r="I675" i="12"/>
  <c r="J675" i="12" s="1"/>
  <c r="I678" i="12"/>
  <c r="J678" i="12" s="1"/>
  <c r="G682" i="12"/>
  <c r="Q17" i="11" s="1"/>
  <c r="I757" i="12"/>
  <c r="J757" i="12" s="1"/>
  <c r="I764" i="12"/>
  <c r="J764" i="12" s="1"/>
  <c r="I765" i="12"/>
  <c r="J765" i="12" s="1"/>
  <c r="I776" i="12"/>
  <c r="J776" i="12" s="1"/>
  <c r="I777" i="12"/>
  <c r="J777" i="12" s="1"/>
  <c r="K794" i="12"/>
  <c r="I798" i="12"/>
  <c r="J798" i="12" s="1"/>
  <c r="G822" i="12"/>
  <c r="AA20" i="11" s="1"/>
  <c r="K822" i="12"/>
  <c r="G824" i="12"/>
  <c r="AC20" i="11" s="1"/>
  <c r="G825" i="12"/>
  <c r="AD20" i="11" s="1"/>
  <c r="G834" i="12"/>
  <c r="AA23" i="11" s="1"/>
  <c r="G842" i="12"/>
  <c r="AA25" i="11" s="1"/>
  <c r="I905" i="12"/>
  <c r="J905" i="12" s="1"/>
  <c r="G919" i="12"/>
  <c r="AL12" i="11" s="1"/>
  <c r="I921" i="12"/>
  <c r="J921" i="12" s="1"/>
  <c r="G939" i="12"/>
  <c r="AL17" i="11" s="1"/>
  <c r="I961" i="12"/>
  <c r="J961" i="12" s="1"/>
  <c r="I965" i="12"/>
  <c r="J965" i="12" s="1"/>
  <c r="G979" i="12"/>
  <c r="AL27" i="11" s="1"/>
  <c r="I1018" i="12"/>
  <c r="J1018" i="12" s="1"/>
  <c r="K396" i="12"/>
  <c r="I396" i="12"/>
  <c r="J396" i="12" s="1"/>
  <c r="I407" i="12"/>
  <c r="J407" i="12" s="1"/>
  <c r="I415" i="12"/>
  <c r="J415" i="12" s="1"/>
  <c r="I425" i="12"/>
  <c r="I429" i="12"/>
  <c r="I435" i="12"/>
  <c r="G441" i="12"/>
  <c r="AI20" i="11" s="1"/>
  <c r="I448" i="12"/>
  <c r="J448" i="12" s="1"/>
  <c r="I449" i="12"/>
  <c r="J449" i="12" s="1"/>
  <c r="I472" i="12"/>
  <c r="J472" i="12" s="1"/>
  <c r="G481" i="12"/>
  <c r="AI30" i="11" s="1"/>
  <c r="I489" i="12"/>
  <c r="J489" i="12" s="1"/>
  <c r="I493" i="12"/>
  <c r="J493" i="12" s="1"/>
  <c r="I499" i="12"/>
  <c r="J499" i="12" s="1"/>
  <c r="G505" i="12"/>
  <c r="AI36" i="11" s="1"/>
  <c r="I532" i="12"/>
  <c r="J532" i="12" s="1"/>
  <c r="I549" i="12"/>
  <c r="J549" i="12" s="1"/>
  <c r="I553" i="12"/>
  <c r="J553" i="12" s="1"/>
  <c r="I556" i="12"/>
  <c r="J556" i="12" s="1"/>
  <c r="I558" i="12"/>
  <c r="J558" i="12" s="1"/>
  <c r="I681" i="12"/>
  <c r="J681" i="12" s="1"/>
  <c r="G694" i="12"/>
  <c r="Q20" i="11" s="1"/>
  <c r="K694" i="12"/>
  <c r="G702" i="12"/>
  <c r="Q22" i="11" s="1"/>
  <c r="K702" i="12"/>
  <c r="G710" i="12"/>
  <c r="Q24" i="11" s="1"/>
  <c r="K710" i="12"/>
  <c r="G718" i="12"/>
  <c r="Q26" i="11" s="1"/>
  <c r="K718" i="12"/>
  <c r="G726" i="12"/>
  <c r="Q28" i="11" s="1"/>
  <c r="K726" i="12"/>
  <c r="I756" i="12"/>
  <c r="J756" i="12" s="1"/>
  <c r="G762" i="12"/>
  <c r="Q37" i="11" s="1"/>
  <c r="K762" i="12"/>
  <c r="G770" i="12"/>
  <c r="AA7" i="11" s="1"/>
  <c r="G786" i="12"/>
  <c r="AA11" i="11" s="1"/>
  <c r="I792" i="12"/>
  <c r="J792" i="12" s="1"/>
  <c r="I793" i="12"/>
  <c r="J793" i="12" s="1"/>
  <c r="I802" i="12"/>
  <c r="J802" i="12" s="1"/>
  <c r="K810" i="12"/>
  <c r="G838" i="12"/>
  <c r="AA24" i="11" s="1"/>
  <c r="I842" i="12"/>
  <c r="J842" i="12" s="1"/>
  <c r="G858" i="12"/>
  <c r="AA29" i="11" s="1"/>
  <c r="G866" i="12"/>
  <c r="AA31" i="11" s="1"/>
  <c r="G874" i="12"/>
  <c r="AA33" i="11" s="1"/>
  <c r="I895" i="12"/>
  <c r="J895" i="12" s="1"/>
  <c r="I911" i="12"/>
  <c r="J911" i="12" s="1"/>
  <c r="G923" i="12"/>
  <c r="AL13" i="11" s="1"/>
  <c r="I928" i="12"/>
  <c r="J928" i="12" s="1"/>
  <c r="I935" i="12"/>
  <c r="I939" i="12"/>
  <c r="I943" i="12"/>
  <c r="J943" i="12" s="1"/>
  <c r="I945" i="12"/>
  <c r="J945" i="12" s="1"/>
  <c r="G947" i="12"/>
  <c r="AL19" i="11" s="1"/>
  <c r="G951" i="12"/>
  <c r="AL20" i="11" s="1"/>
  <c r="G995" i="12"/>
  <c r="AL31" i="11" s="1"/>
  <c r="I1003" i="12"/>
  <c r="J1003" i="12" s="1"/>
  <c r="I1007" i="12"/>
  <c r="J1007" i="12" s="1"/>
  <c r="I1014" i="12"/>
  <c r="J1014" i="12" s="1"/>
  <c r="I1020" i="12"/>
  <c r="J1020" i="12" s="1"/>
  <c r="K37" i="12"/>
  <c r="K53" i="12"/>
  <c r="I67" i="12"/>
  <c r="J67" i="12" s="1"/>
  <c r="K75" i="12"/>
  <c r="G74" i="12"/>
  <c r="B25" i="11" s="1"/>
  <c r="K83" i="12"/>
  <c r="K82" i="12"/>
  <c r="I87" i="12"/>
  <c r="J87" i="12" s="1"/>
  <c r="K126" i="12"/>
  <c r="G130" i="12"/>
  <c r="L7" i="11" s="1"/>
  <c r="I151" i="12"/>
  <c r="J151" i="12" s="1"/>
  <c r="K154" i="12"/>
  <c r="G160" i="12"/>
  <c r="N14" i="11" s="1"/>
  <c r="I160" i="12"/>
  <c r="K17" i="12"/>
  <c r="G18" i="12"/>
  <c r="I22" i="12"/>
  <c r="J22" i="12" s="1"/>
  <c r="I23" i="12"/>
  <c r="J23" i="12" s="1"/>
  <c r="G34" i="12"/>
  <c r="B15" i="11" s="1"/>
  <c r="K49" i="12"/>
  <c r="G50" i="12"/>
  <c r="B19" i="11" s="1"/>
  <c r="I55" i="12"/>
  <c r="J55" i="12" s="1"/>
  <c r="K65" i="12"/>
  <c r="I64" i="12"/>
  <c r="J64" i="12" s="1"/>
  <c r="G128" i="12"/>
  <c r="I128" i="12"/>
  <c r="K148" i="12"/>
  <c r="G146" i="12"/>
  <c r="L11" i="11" s="1"/>
  <c r="G198" i="12"/>
  <c r="L24" i="11" s="1"/>
  <c r="K198" i="12"/>
  <c r="G216" i="12"/>
  <c r="N28" i="11" s="1"/>
  <c r="I216" i="12"/>
  <c r="J216" i="12" s="1"/>
  <c r="K232" i="12"/>
  <c r="G230" i="12"/>
  <c r="L32" i="11" s="1"/>
  <c r="K230" i="12"/>
  <c r="K5" i="12"/>
  <c r="K2" i="12"/>
  <c r="G6" i="12"/>
  <c r="I7" i="12"/>
  <c r="J7" i="12" s="1"/>
  <c r="I8" i="12"/>
  <c r="K13" i="12"/>
  <c r="K10" i="12"/>
  <c r="G14" i="12"/>
  <c r="I18" i="12"/>
  <c r="J18" i="12" s="1"/>
  <c r="I19" i="12"/>
  <c r="J19" i="12" s="1"/>
  <c r="I34" i="12"/>
  <c r="J34" i="12" s="1"/>
  <c r="I35" i="12"/>
  <c r="J35" i="12" s="1"/>
  <c r="I36" i="12"/>
  <c r="J36" i="12" s="1"/>
  <c r="K38" i="12"/>
  <c r="K45" i="12"/>
  <c r="G46" i="12"/>
  <c r="B18" i="11" s="1"/>
  <c r="I50" i="12"/>
  <c r="J50" i="12" s="1"/>
  <c r="I51" i="12"/>
  <c r="J51" i="12" s="1"/>
  <c r="I52" i="12"/>
  <c r="J52" i="12" s="1"/>
  <c r="K54" i="12"/>
  <c r="K61" i="12"/>
  <c r="G62" i="12"/>
  <c r="B22" i="11" s="1"/>
  <c r="K69" i="12"/>
  <c r="K81" i="12"/>
  <c r="I80" i="12"/>
  <c r="J80" i="12" s="1"/>
  <c r="I82" i="12"/>
  <c r="J82" i="12" s="1"/>
  <c r="I90" i="12"/>
  <c r="J90" i="12" s="1"/>
  <c r="G99" i="12"/>
  <c r="C31" i="11" s="1"/>
  <c r="G105" i="12"/>
  <c r="I105" i="12"/>
  <c r="J105" i="12" s="1"/>
  <c r="I112" i="12"/>
  <c r="J112" i="12" s="1"/>
  <c r="I113" i="12"/>
  <c r="J113" i="12" s="1"/>
  <c r="I120" i="12"/>
  <c r="J120" i="12" s="1"/>
  <c r="I121" i="12"/>
  <c r="J121" i="12" s="1"/>
  <c r="I6" i="12"/>
  <c r="J6" i="12" s="1"/>
  <c r="I14" i="12"/>
  <c r="J14" i="12" s="1"/>
  <c r="K18" i="12"/>
  <c r="K41" i="12"/>
  <c r="K50" i="12"/>
  <c r="K57" i="12"/>
  <c r="I62" i="12"/>
  <c r="J62" i="12" s="1"/>
  <c r="K67" i="12"/>
  <c r="K66" i="12"/>
  <c r="K90" i="12"/>
  <c r="G93" i="12"/>
  <c r="I93" i="12"/>
  <c r="J93" i="12" s="1"/>
  <c r="I95" i="12"/>
  <c r="J95" i="12" s="1"/>
  <c r="I101" i="12"/>
  <c r="J101" i="12" s="1"/>
  <c r="K130" i="12"/>
  <c r="K146" i="12"/>
  <c r="I156" i="12"/>
  <c r="J156" i="12" s="1"/>
  <c r="G182" i="12"/>
  <c r="L20" i="11" s="1"/>
  <c r="K182" i="12"/>
  <c r="K216" i="12"/>
  <c r="G214" i="12"/>
  <c r="L28" i="11" s="1"/>
  <c r="K214" i="12"/>
  <c r="G232" i="12"/>
  <c r="N32" i="11" s="1"/>
  <c r="I232" i="12"/>
  <c r="J232" i="12" s="1"/>
  <c r="K73" i="12"/>
  <c r="I78" i="12"/>
  <c r="J78" i="12" s="1"/>
  <c r="I79" i="12"/>
  <c r="J79" i="12" s="1"/>
  <c r="K89" i="12"/>
  <c r="I99" i="12"/>
  <c r="J99" i="12" s="1"/>
  <c r="G107" i="12"/>
  <c r="C33" i="11" s="1"/>
  <c r="I111" i="12"/>
  <c r="J111" i="12" s="1"/>
  <c r="I119" i="12"/>
  <c r="J119" i="12" s="1"/>
  <c r="I127" i="12"/>
  <c r="J127" i="12" s="1"/>
  <c r="K142" i="12"/>
  <c r="I159" i="12"/>
  <c r="J159" i="12" s="1"/>
  <c r="K174" i="12"/>
  <c r="G178" i="12"/>
  <c r="L19" i="11" s="1"/>
  <c r="I182" i="12"/>
  <c r="J182" i="12" s="1"/>
  <c r="I183" i="12"/>
  <c r="J183" i="12" s="1"/>
  <c r="I199" i="12"/>
  <c r="J199" i="12" s="1"/>
  <c r="G210" i="12"/>
  <c r="L27" i="11" s="1"/>
  <c r="I215" i="12"/>
  <c r="J215" i="12" s="1"/>
  <c r="K218" i="12"/>
  <c r="G226" i="12"/>
  <c r="L31" i="11" s="1"/>
  <c r="I231" i="12"/>
  <c r="J231" i="12" s="1"/>
  <c r="K234" i="12"/>
  <c r="G242" i="12"/>
  <c r="L35" i="11" s="1"/>
  <c r="I247" i="12"/>
  <c r="J247" i="12" s="1"/>
  <c r="I248" i="12"/>
  <c r="J248" i="12" s="1"/>
  <c r="K250" i="12"/>
  <c r="G258" i="12"/>
  <c r="V7" i="11" s="1"/>
  <c r="I263" i="12"/>
  <c r="J263" i="12" s="1"/>
  <c r="I264" i="12"/>
  <c r="J264" i="12" s="1"/>
  <c r="K266" i="12"/>
  <c r="G274" i="12"/>
  <c r="V11" i="11" s="1"/>
  <c r="K276" i="12"/>
  <c r="I278" i="12"/>
  <c r="J278" i="12" s="1"/>
  <c r="I279" i="12"/>
  <c r="J279" i="12" s="1"/>
  <c r="I280" i="12"/>
  <c r="J280" i="12" s="1"/>
  <c r="I294" i="12"/>
  <c r="J294" i="12" s="1"/>
  <c r="I296" i="12"/>
  <c r="J296" i="12" s="1"/>
  <c r="I310" i="12"/>
  <c r="J310" i="12" s="1"/>
  <c r="I312" i="12"/>
  <c r="J312" i="12" s="1"/>
  <c r="I326" i="12"/>
  <c r="J326" i="12" s="1"/>
  <c r="I328" i="12"/>
  <c r="J328" i="12" s="1"/>
  <c r="I342" i="12"/>
  <c r="J342" i="12" s="1"/>
  <c r="I344" i="12"/>
  <c r="J344" i="12" s="1"/>
  <c r="I358" i="12"/>
  <c r="J358" i="12" s="1"/>
  <c r="I360" i="12"/>
  <c r="J360" i="12" s="1"/>
  <c r="I374" i="12"/>
  <c r="J374" i="12" s="1"/>
  <c r="I376" i="12"/>
  <c r="J376" i="12" s="1"/>
  <c r="I390" i="12"/>
  <c r="J390" i="12" s="1"/>
  <c r="I392" i="12"/>
  <c r="J392" i="12" s="1"/>
  <c r="I406" i="12"/>
  <c r="J406" i="12" s="1"/>
  <c r="I413" i="12"/>
  <c r="J413" i="12" s="1"/>
  <c r="I512" i="12"/>
  <c r="J512" i="12" s="1"/>
  <c r="I516" i="12"/>
  <c r="J516" i="12" s="1"/>
  <c r="I520" i="12"/>
  <c r="J520" i="12" s="1"/>
  <c r="I524" i="12"/>
  <c r="J524" i="12" s="1"/>
  <c r="I528" i="12"/>
  <c r="J528" i="12" s="1"/>
  <c r="G615" i="12"/>
  <c r="H32" i="11" s="1"/>
  <c r="I615" i="12"/>
  <c r="J615" i="12" s="1"/>
  <c r="G631" i="12"/>
  <c r="H36" i="11" s="1"/>
  <c r="I631" i="12"/>
  <c r="J631" i="12" s="1"/>
  <c r="G647" i="12"/>
  <c r="R8" i="11" s="1"/>
  <c r="I647" i="12"/>
  <c r="J647" i="12" s="1"/>
  <c r="G663" i="12"/>
  <c r="R12" i="11" s="1"/>
  <c r="I663" i="12"/>
  <c r="J663" i="12" s="1"/>
  <c r="K162" i="12"/>
  <c r="I179" i="12"/>
  <c r="J179" i="12" s="1"/>
  <c r="K278" i="12"/>
  <c r="G286" i="12"/>
  <c r="V14" i="11" s="1"/>
  <c r="K288" i="12"/>
  <c r="I290" i="12"/>
  <c r="J290" i="12" s="1"/>
  <c r="I291" i="12"/>
  <c r="J291" i="12" s="1"/>
  <c r="I292" i="12"/>
  <c r="J292" i="12" s="1"/>
  <c r="K294" i="12"/>
  <c r="G302" i="12"/>
  <c r="V18" i="11" s="1"/>
  <c r="K304" i="12"/>
  <c r="I306" i="12"/>
  <c r="J306" i="12" s="1"/>
  <c r="I307" i="12"/>
  <c r="J307" i="12" s="1"/>
  <c r="I308" i="12"/>
  <c r="J308" i="12" s="1"/>
  <c r="K310" i="12"/>
  <c r="G318" i="12"/>
  <c r="V22" i="11" s="1"/>
  <c r="K320" i="12"/>
  <c r="I322" i="12"/>
  <c r="J322" i="12" s="1"/>
  <c r="I323" i="12"/>
  <c r="J323" i="12" s="1"/>
  <c r="I324" i="12"/>
  <c r="J324" i="12" s="1"/>
  <c r="K326" i="12"/>
  <c r="G334" i="12"/>
  <c r="V26" i="11" s="1"/>
  <c r="K336" i="12"/>
  <c r="I338" i="12"/>
  <c r="J338" i="12" s="1"/>
  <c r="I339" i="12"/>
  <c r="J339" i="12" s="1"/>
  <c r="I340" i="12"/>
  <c r="J340" i="12" s="1"/>
  <c r="K342" i="12"/>
  <c r="G350" i="12"/>
  <c r="V30" i="11" s="1"/>
  <c r="K352" i="12"/>
  <c r="I354" i="12"/>
  <c r="J354" i="12" s="1"/>
  <c r="I355" i="12"/>
  <c r="J355" i="12" s="1"/>
  <c r="I356" i="12"/>
  <c r="J356" i="12" s="1"/>
  <c r="K358" i="12"/>
  <c r="G366" i="12"/>
  <c r="V34" i="11" s="1"/>
  <c r="K368" i="12"/>
  <c r="I370" i="12"/>
  <c r="J370" i="12" s="1"/>
  <c r="I371" i="12"/>
  <c r="J371" i="12" s="1"/>
  <c r="I372" i="12"/>
  <c r="J372" i="12" s="1"/>
  <c r="K374" i="12"/>
  <c r="G382" i="12"/>
  <c r="V38" i="11" s="1"/>
  <c r="K384" i="12"/>
  <c r="I386" i="12"/>
  <c r="J386" i="12" s="1"/>
  <c r="I387" i="12"/>
  <c r="J387" i="12" s="1"/>
  <c r="I388" i="12"/>
  <c r="J388" i="12" s="1"/>
  <c r="K390" i="12"/>
  <c r="G398" i="12"/>
  <c r="AF10" i="11" s="1"/>
  <c r="K400" i="12"/>
  <c r="I402" i="12"/>
  <c r="J402" i="12" s="1"/>
  <c r="I403" i="12"/>
  <c r="J403" i="12" s="1"/>
  <c r="I404" i="12"/>
  <c r="J404" i="12" s="1"/>
  <c r="K406" i="12"/>
  <c r="I411" i="12"/>
  <c r="J411" i="12" s="1"/>
  <c r="I417" i="12"/>
  <c r="J417" i="12" s="1"/>
  <c r="G419" i="12"/>
  <c r="AG15" i="11" s="1"/>
  <c r="I427" i="12"/>
  <c r="G429" i="12"/>
  <c r="AI17" i="11" s="1"/>
  <c r="G435" i="12"/>
  <c r="AG19" i="11" s="1"/>
  <c r="I443" i="12"/>
  <c r="J443" i="12" s="1"/>
  <c r="G445" i="12"/>
  <c r="AI21" i="11" s="1"/>
  <c r="G451" i="12"/>
  <c r="AG23" i="11" s="1"/>
  <c r="I452" i="12"/>
  <c r="J452" i="12" s="1"/>
  <c r="I459" i="12"/>
  <c r="J459" i="12" s="1"/>
  <c r="G461" i="12"/>
  <c r="AI25" i="11" s="1"/>
  <c r="G467" i="12"/>
  <c r="AG27" i="11" s="1"/>
  <c r="I468" i="12"/>
  <c r="J468" i="12" s="1"/>
  <c r="I475" i="12"/>
  <c r="J475" i="12" s="1"/>
  <c r="G477" i="12"/>
  <c r="AI29" i="11" s="1"/>
  <c r="G483" i="12"/>
  <c r="AG31" i="11" s="1"/>
  <c r="I484" i="12"/>
  <c r="J484" i="12" s="1"/>
  <c r="I491" i="12"/>
  <c r="J491" i="12" s="1"/>
  <c r="G493" i="12"/>
  <c r="AI33" i="11" s="1"/>
  <c r="G499" i="12"/>
  <c r="AG35" i="11" s="1"/>
  <c r="I500" i="12"/>
  <c r="J500" i="12" s="1"/>
  <c r="I507" i="12"/>
  <c r="J507" i="12" s="1"/>
  <c r="G509" i="12"/>
  <c r="AI37" i="11" s="1"/>
  <c r="I511" i="12"/>
  <c r="J511" i="12" s="1"/>
  <c r="G512" i="12"/>
  <c r="AH38" i="11" s="1"/>
  <c r="I515" i="12"/>
  <c r="J515" i="12" s="1"/>
  <c r="G516" i="12"/>
  <c r="I7" i="11" s="1"/>
  <c r="I519" i="12"/>
  <c r="J519" i="12" s="1"/>
  <c r="G520" i="12"/>
  <c r="I8" i="11" s="1"/>
  <c r="I523" i="12"/>
  <c r="J523" i="12" s="1"/>
  <c r="G524" i="12"/>
  <c r="I9" i="11" s="1"/>
  <c r="I527" i="12"/>
  <c r="J527" i="12" s="1"/>
  <c r="G528" i="12"/>
  <c r="I10" i="11" s="1"/>
  <c r="I531" i="12"/>
  <c r="J531" i="12" s="1"/>
  <c r="G532" i="12"/>
  <c r="I11" i="11" s="1"/>
  <c r="I535" i="12"/>
  <c r="J535" i="12" s="1"/>
  <c r="G536" i="12"/>
  <c r="I12" i="11" s="1"/>
  <c r="I539" i="12"/>
  <c r="J539" i="12" s="1"/>
  <c r="G541" i="12"/>
  <c r="I546" i="12"/>
  <c r="J546" i="12" s="1"/>
  <c r="I557" i="12"/>
  <c r="J557" i="12" s="1"/>
  <c r="I560" i="12"/>
  <c r="J560" i="12" s="1"/>
  <c r="I562" i="12"/>
  <c r="J562" i="12" s="1"/>
  <c r="I570" i="12"/>
  <c r="J570" i="12" s="1"/>
  <c r="I578" i="12"/>
  <c r="J578" i="12" s="1"/>
  <c r="I586" i="12"/>
  <c r="J586" i="12" s="1"/>
  <c r="I594" i="12"/>
  <c r="J594" i="12" s="1"/>
  <c r="I605" i="12"/>
  <c r="J605" i="12" s="1"/>
  <c r="I608" i="12"/>
  <c r="J608" i="12" s="1"/>
  <c r="I610" i="12"/>
  <c r="J610" i="12" s="1"/>
  <c r="I621" i="12"/>
  <c r="J621" i="12" s="1"/>
  <c r="I624" i="12"/>
  <c r="J624" i="12" s="1"/>
  <c r="I626" i="12"/>
  <c r="J626" i="12" s="1"/>
  <c r="I637" i="12"/>
  <c r="J637" i="12" s="1"/>
  <c r="I640" i="12"/>
  <c r="J640" i="12" s="1"/>
  <c r="I642" i="12"/>
  <c r="J642" i="12" s="1"/>
  <c r="I653" i="12"/>
  <c r="J653" i="12" s="1"/>
  <c r="I656" i="12"/>
  <c r="J656" i="12" s="1"/>
  <c r="I658" i="12"/>
  <c r="J658" i="12" s="1"/>
  <c r="I669" i="12"/>
  <c r="J669" i="12" s="1"/>
  <c r="I672" i="12"/>
  <c r="J672" i="12" s="1"/>
  <c r="G680" i="12"/>
  <c r="S16" i="11" s="1"/>
  <c r="G681" i="12"/>
  <c r="T16" i="11" s="1"/>
  <c r="I684" i="12"/>
  <c r="J684" i="12" s="1"/>
  <c r="G684" i="12"/>
  <c r="S17" i="11" s="1"/>
  <c r="I737" i="12"/>
  <c r="J737" i="12" s="1"/>
  <c r="G737" i="12"/>
  <c r="T30" i="11" s="1"/>
  <c r="I741" i="12"/>
  <c r="J741" i="12" s="1"/>
  <c r="G741" i="12"/>
  <c r="T31" i="11" s="1"/>
  <c r="I745" i="12"/>
  <c r="J745" i="12" s="1"/>
  <c r="G745" i="12"/>
  <c r="T32" i="11" s="1"/>
  <c r="I753" i="12"/>
  <c r="J753" i="12" s="1"/>
  <c r="G753" i="12"/>
  <c r="T34" i="11" s="1"/>
  <c r="I561" i="12"/>
  <c r="J561" i="12" s="1"/>
  <c r="K565" i="12"/>
  <c r="I569" i="12"/>
  <c r="J569" i="12" s="1"/>
  <c r="K573" i="12"/>
  <c r="I577" i="12"/>
  <c r="J577" i="12" s="1"/>
  <c r="K581" i="12"/>
  <c r="I585" i="12"/>
  <c r="J585" i="12" s="1"/>
  <c r="K589" i="12"/>
  <c r="I593" i="12"/>
  <c r="J593" i="12" s="1"/>
  <c r="K597" i="12"/>
  <c r="G607" i="12"/>
  <c r="H30" i="11" s="1"/>
  <c r="I607" i="12"/>
  <c r="J607" i="12" s="1"/>
  <c r="I609" i="12"/>
  <c r="J609" i="12" s="1"/>
  <c r="G623" i="12"/>
  <c r="H34" i="11" s="1"/>
  <c r="I623" i="12"/>
  <c r="J623" i="12" s="1"/>
  <c r="I625" i="12"/>
  <c r="J625" i="12" s="1"/>
  <c r="G639" i="12"/>
  <c r="H38" i="11" s="1"/>
  <c r="I639" i="12"/>
  <c r="J639" i="12" s="1"/>
  <c r="I641" i="12"/>
  <c r="J641" i="12" s="1"/>
  <c r="G655" i="12"/>
  <c r="R10" i="11" s="1"/>
  <c r="I655" i="12"/>
  <c r="J655" i="12" s="1"/>
  <c r="I657" i="12"/>
  <c r="J657" i="12" s="1"/>
  <c r="G671" i="12"/>
  <c r="R14" i="11" s="1"/>
  <c r="I671" i="12"/>
  <c r="J671" i="12" s="1"/>
  <c r="I673" i="12"/>
  <c r="J673" i="12" s="1"/>
  <c r="I679" i="12"/>
  <c r="J679" i="12" s="1"/>
  <c r="I736" i="12"/>
  <c r="J736" i="12" s="1"/>
  <c r="G736" i="12"/>
  <c r="S30" i="11" s="1"/>
  <c r="I740" i="12"/>
  <c r="J740" i="12" s="1"/>
  <c r="G740" i="12"/>
  <c r="S31" i="11" s="1"/>
  <c r="I744" i="12"/>
  <c r="J744" i="12" s="1"/>
  <c r="G744" i="12"/>
  <c r="S32" i="11" s="1"/>
  <c r="I752" i="12"/>
  <c r="J752" i="12" s="1"/>
  <c r="G752" i="12"/>
  <c r="S34" i="11" s="1"/>
  <c r="K178" i="12"/>
  <c r="I187" i="12"/>
  <c r="J187" i="12" s="1"/>
  <c r="I203" i="12"/>
  <c r="J203" i="12" s="1"/>
  <c r="I219" i="12"/>
  <c r="J219" i="12" s="1"/>
  <c r="I235" i="12"/>
  <c r="J235" i="12" s="1"/>
  <c r="I236" i="12"/>
  <c r="J236" i="12" s="1"/>
  <c r="G246" i="12"/>
  <c r="L36" i="11" s="1"/>
  <c r="I251" i="12"/>
  <c r="J251" i="12" s="1"/>
  <c r="I252" i="12"/>
  <c r="J252" i="12" s="1"/>
  <c r="G262" i="12"/>
  <c r="V8" i="11" s="1"/>
  <c r="I267" i="12"/>
  <c r="J267" i="12" s="1"/>
  <c r="I268" i="12"/>
  <c r="J268" i="12" s="1"/>
  <c r="G278" i="12"/>
  <c r="V12" i="11" s="1"/>
  <c r="K280" i="12"/>
  <c r="I283" i="12"/>
  <c r="J283" i="12" s="1"/>
  <c r="G294" i="12"/>
  <c r="V16" i="11" s="1"/>
  <c r="K296" i="12"/>
  <c r="I299" i="12"/>
  <c r="J299" i="12" s="1"/>
  <c r="K302" i="12"/>
  <c r="G310" i="12"/>
  <c r="V20" i="11" s="1"/>
  <c r="K312" i="12"/>
  <c r="I315" i="12"/>
  <c r="J315" i="12" s="1"/>
  <c r="K318" i="12"/>
  <c r="G326" i="12"/>
  <c r="V24" i="11" s="1"/>
  <c r="K328" i="12"/>
  <c r="I331" i="12"/>
  <c r="J331" i="12" s="1"/>
  <c r="K334" i="12"/>
  <c r="G342" i="12"/>
  <c r="V28" i="11" s="1"/>
  <c r="K344" i="12"/>
  <c r="I347" i="12"/>
  <c r="J347" i="12" s="1"/>
  <c r="K350" i="12"/>
  <c r="G358" i="12"/>
  <c r="V32" i="11" s="1"/>
  <c r="K360" i="12"/>
  <c r="I363" i="12"/>
  <c r="J363" i="12" s="1"/>
  <c r="K366" i="12"/>
  <c r="G374" i="12"/>
  <c r="V36" i="11" s="1"/>
  <c r="K376" i="12"/>
  <c r="I379" i="12"/>
  <c r="J379" i="12" s="1"/>
  <c r="K382" i="12"/>
  <c r="G390" i="12"/>
  <c r="AF8" i="11" s="1"/>
  <c r="K392" i="12"/>
  <c r="I395" i="12"/>
  <c r="J395" i="12" s="1"/>
  <c r="K398" i="12"/>
  <c r="K409" i="12"/>
  <c r="G411" i="12"/>
  <c r="AG13" i="11" s="1"/>
  <c r="I419" i="12"/>
  <c r="J419" i="12" s="1"/>
  <c r="G421" i="12"/>
  <c r="AI15" i="11" s="1"/>
  <c r="G437" i="12"/>
  <c r="AI19" i="11" s="1"/>
  <c r="I444" i="12"/>
  <c r="J444" i="12" s="1"/>
  <c r="G453" i="12"/>
  <c r="AI23" i="11" s="1"/>
  <c r="I460" i="12"/>
  <c r="J460" i="12" s="1"/>
  <c r="G469" i="12"/>
  <c r="AI27" i="11" s="1"/>
  <c r="I476" i="12"/>
  <c r="J476" i="12" s="1"/>
  <c r="G485" i="12"/>
  <c r="AI31" i="11" s="1"/>
  <c r="I492" i="12"/>
  <c r="J492" i="12" s="1"/>
  <c r="G501" i="12"/>
  <c r="AI35" i="11" s="1"/>
  <c r="I508" i="12"/>
  <c r="J508" i="12" s="1"/>
  <c r="I547" i="12"/>
  <c r="J547" i="12" s="1"/>
  <c r="I552" i="12"/>
  <c r="J552" i="12" s="1"/>
  <c r="I554" i="12"/>
  <c r="J554" i="12" s="1"/>
  <c r="I566" i="12"/>
  <c r="J566" i="12" s="1"/>
  <c r="I574" i="12"/>
  <c r="J574" i="12" s="1"/>
  <c r="I582" i="12"/>
  <c r="J582" i="12" s="1"/>
  <c r="I590" i="12"/>
  <c r="J590" i="12" s="1"/>
  <c r="I597" i="12"/>
  <c r="J597" i="12" s="1"/>
  <c r="I602" i="12"/>
  <c r="J602" i="12" s="1"/>
  <c r="I613" i="12"/>
  <c r="J613" i="12" s="1"/>
  <c r="I616" i="12"/>
  <c r="J616" i="12" s="1"/>
  <c r="I618" i="12"/>
  <c r="J618" i="12" s="1"/>
  <c r="I629" i="12"/>
  <c r="J629" i="12" s="1"/>
  <c r="I632" i="12"/>
  <c r="J632" i="12" s="1"/>
  <c r="I645" i="12"/>
  <c r="J645" i="12" s="1"/>
  <c r="I648" i="12"/>
  <c r="J648" i="12" s="1"/>
  <c r="I650" i="12"/>
  <c r="J650" i="12" s="1"/>
  <c r="I661" i="12"/>
  <c r="J661" i="12" s="1"/>
  <c r="I664" i="12"/>
  <c r="J664" i="12" s="1"/>
  <c r="I666" i="12"/>
  <c r="J666" i="12" s="1"/>
  <c r="K775" i="12"/>
  <c r="I774" i="12"/>
  <c r="J774" i="12" s="1"/>
  <c r="I748" i="12"/>
  <c r="J748" i="12" s="1"/>
  <c r="I749" i="12"/>
  <c r="J749" i="12" s="1"/>
  <c r="I772" i="12"/>
  <c r="J772" i="12" s="1"/>
  <c r="G772" i="12"/>
  <c r="AC7" i="11" s="1"/>
  <c r="I805" i="12"/>
  <c r="J805" i="12" s="1"/>
  <c r="G805" i="12"/>
  <c r="AD15" i="11" s="1"/>
  <c r="I837" i="12"/>
  <c r="J837" i="12" s="1"/>
  <c r="G837" i="12"/>
  <c r="AD23" i="11" s="1"/>
  <c r="I849" i="12"/>
  <c r="J849" i="12" s="1"/>
  <c r="G849" i="12"/>
  <c r="AD26" i="11" s="1"/>
  <c r="K860" i="12"/>
  <c r="I859" i="12"/>
  <c r="J859" i="12" s="1"/>
  <c r="K876" i="12"/>
  <c r="I875" i="12"/>
  <c r="J875" i="12" s="1"/>
  <c r="K891" i="12"/>
  <c r="G890" i="12"/>
  <c r="AA37" i="11" s="1"/>
  <c r="I941" i="12"/>
  <c r="J941" i="12" s="1"/>
  <c r="G941" i="12"/>
  <c r="AN17" i="11" s="1"/>
  <c r="I1005" i="12"/>
  <c r="J1005" i="12" s="1"/>
  <c r="G1005" i="12"/>
  <c r="AN33" i="11" s="1"/>
  <c r="I598" i="12"/>
  <c r="J598" i="12" s="1"/>
  <c r="I604" i="12"/>
  <c r="J604" i="12" s="1"/>
  <c r="I606" i="12"/>
  <c r="J606" i="12" s="1"/>
  <c r="I612" i="12"/>
  <c r="J612" i="12" s="1"/>
  <c r="I614" i="12"/>
  <c r="J614" i="12" s="1"/>
  <c r="I620" i="12"/>
  <c r="J620" i="12" s="1"/>
  <c r="I622" i="12"/>
  <c r="J622" i="12" s="1"/>
  <c r="I628" i="12"/>
  <c r="J628" i="12" s="1"/>
  <c r="I630" i="12"/>
  <c r="J630" i="12" s="1"/>
  <c r="I636" i="12"/>
  <c r="J636" i="12" s="1"/>
  <c r="I644" i="12"/>
  <c r="J644" i="12" s="1"/>
  <c r="I646" i="12"/>
  <c r="J646" i="12" s="1"/>
  <c r="I652" i="12"/>
  <c r="J652" i="12" s="1"/>
  <c r="I654" i="12"/>
  <c r="J654" i="12" s="1"/>
  <c r="I660" i="12"/>
  <c r="J660" i="12" s="1"/>
  <c r="I662" i="12"/>
  <c r="J662" i="12" s="1"/>
  <c r="I668" i="12"/>
  <c r="J668" i="12" s="1"/>
  <c r="I670" i="12"/>
  <c r="J670" i="12" s="1"/>
  <c r="I685" i="12"/>
  <c r="J685" i="12" s="1"/>
  <c r="G686" i="12"/>
  <c r="Q18" i="11" s="1"/>
  <c r="I688" i="12"/>
  <c r="J688" i="12" s="1"/>
  <c r="I689" i="12"/>
  <c r="J689" i="12" s="1"/>
  <c r="I696" i="12"/>
  <c r="J696" i="12" s="1"/>
  <c r="I697" i="12"/>
  <c r="J697" i="12" s="1"/>
  <c r="I704" i="12"/>
  <c r="J704" i="12" s="1"/>
  <c r="I705" i="12"/>
  <c r="J705" i="12" s="1"/>
  <c r="I712" i="12"/>
  <c r="J712" i="12" s="1"/>
  <c r="I713" i="12"/>
  <c r="J713" i="12" s="1"/>
  <c r="I720" i="12"/>
  <c r="J720" i="12" s="1"/>
  <c r="I721" i="12"/>
  <c r="J721" i="12" s="1"/>
  <c r="I728" i="12"/>
  <c r="J728" i="12" s="1"/>
  <c r="I729" i="12"/>
  <c r="J729" i="12" s="1"/>
  <c r="I734" i="12"/>
  <c r="J734" i="12" s="1"/>
  <c r="G738" i="12"/>
  <c r="Q31" i="11" s="1"/>
  <c r="K738" i="12"/>
  <c r="I742" i="12"/>
  <c r="J742" i="12" s="1"/>
  <c r="G746" i="12"/>
  <c r="Q33" i="11" s="1"/>
  <c r="K746" i="12"/>
  <c r="G748" i="12"/>
  <c r="S33" i="11" s="1"/>
  <c r="G749" i="12"/>
  <c r="T33" i="11" s="1"/>
  <c r="I750" i="12"/>
  <c r="J750" i="12" s="1"/>
  <c r="G754" i="12"/>
  <c r="Q35" i="11" s="1"/>
  <c r="K754" i="12"/>
  <c r="I760" i="12"/>
  <c r="J760" i="12" s="1"/>
  <c r="I761" i="12"/>
  <c r="J761" i="12" s="1"/>
  <c r="I768" i="12"/>
  <c r="J768" i="12" s="1"/>
  <c r="I769" i="12"/>
  <c r="J769" i="12" s="1"/>
  <c r="G774" i="12"/>
  <c r="AA8" i="11" s="1"/>
  <c r="K779" i="12"/>
  <c r="I778" i="12"/>
  <c r="J778" i="12" s="1"/>
  <c r="K791" i="12"/>
  <c r="I790" i="12"/>
  <c r="J790" i="12" s="1"/>
  <c r="I804" i="12"/>
  <c r="J804" i="12" s="1"/>
  <c r="G804" i="12"/>
  <c r="AC15" i="11" s="1"/>
  <c r="K811" i="12"/>
  <c r="I810" i="12"/>
  <c r="J810" i="12" s="1"/>
  <c r="K823" i="12"/>
  <c r="I822" i="12"/>
  <c r="J822" i="12" s="1"/>
  <c r="I836" i="12"/>
  <c r="J836" i="12" s="1"/>
  <c r="G836" i="12"/>
  <c r="AC23" i="11" s="1"/>
  <c r="K853" i="12"/>
  <c r="G853" i="12"/>
  <c r="AD27" i="11" s="1"/>
  <c r="I854" i="12"/>
  <c r="J854" i="12" s="1"/>
  <c r="G869" i="12"/>
  <c r="AD31" i="11" s="1"/>
  <c r="I870" i="12"/>
  <c r="J870" i="12" s="1"/>
  <c r="I885" i="12"/>
  <c r="J885" i="12" s="1"/>
  <c r="G885" i="12"/>
  <c r="AD35" i="11" s="1"/>
  <c r="I889" i="12"/>
  <c r="J889" i="12" s="1"/>
  <c r="G889" i="12"/>
  <c r="AD36" i="11" s="1"/>
  <c r="G899" i="12"/>
  <c r="AL7" i="11" s="1"/>
  <c r="I899" i="12"/>
  <c r="J899" i="12" s="1"/>
  <c r="G915" i="12"/>
  <c r="AL11" i="11" s="1"/>
  <c r="I915" i="12"/>
  <c r="J915" i="12" s="1"/>
  <c r="I925" i="12"/>
  <c r="J925" i="12" s="1"/>
  <c r="G925" i="12"/>
  <c r="AN13" i="11" s="1"/>
  <c r="I1008" i="12"/>
  <c r="J1008" i="12" s="1"/>
  <c r="G1008" i="12"/>
  <c r="AM34" i="11" s="1"/>
  <c r="K774" i="12"/>
  <c r="I789" i="12"/>
  <c r="J789" i="12" s="1"/>
  <c r="G789" i="12"/>
  <c r="AD11" i="11" s="1"/>
  <c r="I821" i="12"/>
  <c r="J821" i="12" s="1"/>
  <c r="G821" i="12"/>
  <c r="AD19" i="11" s="1"/>
  <c r="K852" i="12"/>
  <c r="I851" i="12"/>
  <c r="J851" i="12" s="1"/>
  <c r="K868" i="12"/>
  <c r="I867" i="12"/>
  <c r="J867" i="12" s="1"/>
  <c r="I973" i="12"/>
  <c r="J973" i="12" s="1"/>
  <c r="G973" i="12"/>
  <c r="AN25" i="11" s="1"/>
  <c r="K734" i="12"/>
  <c r="I738" i="12"/>
  <c r="J738" i="12" s="1"/>
  <c r="G742" i="12"/>
  <c r="Q32" i="11" s="1"/>
  <c r="K742" i="12"/>
  <c r="I746" i="12"/>
  <c r="J746" i="12" s="1"/>
  <c r="G750" i="12"/>
  <c r="Q34" i="11" s="1"/>
  <c r="K750" i="12"/>
  <c r="I754" i="12"/>
  <c r="J754" i="12" s="1"/>
  <c r="I773" i="12"/>
  <c r="J773" i="12" s="1"/>
  <c r="G773" i="12"/>
  <c r="AD7" i="11" s="1"/>
  <c r="I788" i="12"/>
  <c r="J788" i="12" s="1"/>
  <c r="G788" i="12"/>
  <c r="AC11" i="11" s="1"/>
  <c r="K795" i="12"/>
  <c r="I794" i="12"/>
  <c r="J794" i="12" s="1"/>
  <c r="K807" i="12"/>
  <c r="I806" i="12"/>
  <c r="J806" i="12" s="1"/>
  <c r="I820" i="12"/>
  <c r="J820" i="12" s="1"/>
  <c r="G820" i="12"/>
  <c r="AC19" i="11" s="1"/>
  <c r="K827" i="12"/>
  <c r="I826" i="12"/>
  <c r="J826" i="12" s="1"/>
  <c r="K851" i="12"/>
  <c r="G850" i="12"/>
  <c r="AA27" i="11" s="1"/>
  <c r="G861" i="12"/>
  <c r="AD29" i="11" s="1"/>
  <c r="I862" i="12"/>
  <c r="J862" i="12" s="1"/>
  <c r="G877" i="12"/>
  <c r="AD33" i="11" s="1"/>
  <c r="I878" i="12"/>
  <c r="J878" i="12" s="1"/>
  <c r="K892" i="12"/>
  <c r="I891" i="12"/>
  <c r="J891" i="12" s="1"/>
  <c r="G907" i="12"/>
  <c r="AL9" i="11" s="1"/>
  <c r="I907" i="12"/>
  <c r="J907" i="12" s="1"/>
  <c r="G927" i="12"/>
  <c r="AL14" i="11" s="1"/>
  <c r="I927" i="12"/>
  <c r="J927" i="12" s="1"/>
  <c r="I957" i="12"/>
  <c r="J957" i="12" s="1"/>
  <c r="G957" i="12"/>
  <c r="AN21" i="11" s="1"/>
  <c r="I989" i="12"/>
  <c r="J989" i="12" s="1"/>
  <c r="G989" i="12"/>
  <c r="AN29" i="11" s="1"/>
  <c r="K888" i="12"/>
  <c r="I981" i="12"/>
  <c r="J981" i="12" s="1"/>
  <c r="G983" i="12"/>
  <c r="AL28" i="11" s="1"/>
  <c r="I997" i="12"/>
  <c r="J997" i="12" s="1"/>
  <c r="G999" i="12"/>
  <c r="AL32" i="11" s="1"/>
  <c r="I1006" i="12"/>
  <c r="J1006" i="12" s="1"/>
  <c r="G1010" i="12"/>
  <c r="AK35" i="11" s="1"/>
  <c r="K1012" i="12"/>
  <c r="K1014" i="12"/>
  <c r="I1019" i="12"/>
  <c r="J1019" i="12" s="1"/>
  <c r="G1020" i="12"/>
  <c r="AM37" i="11" s="1"/>
  <c r="K770" i="12"/>
  <c r="G782" i="12"/>
  <c r="AA10" i="11" s="1"/>
  <c r="I784" i="12"/>
  <c r="J784" i="12" s="1"/>
  <c r="I785" i="12"/>
  <c r="J785" i="12" s="1"/>
  <c r="K786" i="12"/>
  <c r="G798" i="12"/>
  <c r="AA14" i="11" s="1"/>
  <c r="I800" i="12"/>
  <c r="J800" i="12" s="1"/>
  <c r="I801" i="12"/>
  <c r="J801" i="12" s="1"/>
  <c r="K802" i="12"/>
  <c r="G814" i="12"/>
  <c r="AA18" i="11" s="1"/>
  <c r="I816" i="12"/>
  <c r="J816" i="12" s="1"/>
  <c r="I817" i="12"/>
  <c r="J817" i="12" s="1"/>
  <c r="K818" i="12"/>
  <c r="G830" i="12"/>
  <c r="AA22" i="11" s="1"/>
  <c r="I832" i="12"/>
  <c r="J832" i="12" s="1"/>
  <c r="I833" i="12"/>
  <c r="J833" i="12" s="1"/>
  <c r="K834" i="12"/>
  <c r="I845" i="12"/>
  <c r="J845" i="12" s="1"/>
  <c r="I857" i="12"/>
  <c r="J857" i="12" s="1"/>
  <c r="I865" i="12"/>
  <c r="J865" i="12" s="1"/>
  <c r="I873" i="12"/>
  <c r="J873" i="12" s="1"/>
  <c r="I881" i="12"/>
  <c r="J881" i="12" s="1"/>
  <c r="K884" i="12"/>
  <c r="G886" i="12"/>
  <c r="AA36" i="11" s="1"/>
  <c r="I890" i="12"/>
  <c r="J890" i="12" s="1"/>
  <c r="G897" i="12"/>
  <c r="AD38" i="11" s="1"/>
  <c r="G905" i="12"/>
  <c r="AN8" i="11" s="1"/>
  <c r="G913" i="12"/>
  <c r="AN10" i="11" s="1"/>
  <c r="G921" i="12"/>
  <c r="AN12" i="11" s="1"/>
  <c r="G922" i="12"/>
  <c r="AK13" i="11" s="1"/>
  <c r="K1016" i="12"/>
  <c r="I780" i="12"/>
  <c r="J780" i="12" s="1"/>
  <c r="I781" i="12"/>
  <c r="J781" i="12" s="1"/>
  <c r="K782" i="12"/>
  <c r="G784" i="12"/>
  <c r="AC10" i="11" s="1"/>
  <c r="G785" i="12"/>
  <c r="AD10" i="11" s="1"/>
  <c r="G794" i="12"/>
  <c r="AA13" i="11" s="1"/>
  <c r="I796" i="12"/>
  <c r="J796" i="12" s="1"/>
  <c r="I797" i="12"/>
  <c r="J797" i="12" s="1"/>
  <c r="K798" i="12"/>
  <c r="G800" i="12"/>
  <c r="AC14" i="11" s="1"/>
  <c r="G801" i="12"/>
  <c r="AD14" i="11" s="1"/>
  <c r="G810" i="12"/>
  <c r="AA17" i="11" s="1"/>
  <c r="I812" i="12"/>
  <c r="J812" i="12" s="1"/>
  <c r="I813" i="12"/>
  <c r="J813" i="12" s="1"/>
  <c r="K814" i="12"/>
  <c r="G816" i="12"/>
  <c r="AC18" i="11" s="1"/>
  <c r="G817" i="12"/>
  <c r="AD18" i="11" s="1"/>
  <c r="G826" i="12"/>
  <c r="AA21" i="11" s="1"/>
  <c r="I828" i="12"/>
  <c r="J828" i="12" s="1"/>
  <c r="I829" i="12"/>
  <c r="J829" i="12" s="1"/>
  <c r="K830" i="12"/>
  <c r="G832" i="12"/>
  <c r="AC22" i="11" s="1"/>
  <c r="G833" i="12"/>
  <c r="AD22" i="11" s="1"/>
  <c r="I841" i="12"/>
  <c r="J841" i="12" s="1"/>
  <c r="K844" i="12"/>
  <c r="K845" i="12"/>
  <c r="G845" i="12"/>
  <c r="AD25" i="11" s="1"/>
  <c r="I850" i="12"/>
  <c r="J850" i="12" s="1"/>
  <c r="G854" i="12"/>
  <c r="AA28" i="11" s="1"/>
  <c r="K856" i="12"/>
  <c r="G857" i="12"/>
  <c r="AD28" i="11" s="1"/>
  <c r="I858" i="12"/>
  <c r="J858" i="12" s="1"/>
  <c r="G862" i="12"/>
  <c r="AA30" i="11" s="1"/>
  <c r="K864" i="12"/>
  <c r="G865" i="12"/>
  <c r="AD30" i="11" s="1"/>
  <c r="I866" i="12"/>
  <c r="J866" i="12" s="1"/>
  <c r="G870" i="12"/>
  <c r="AA32" i="11" s="1"/>
  <c r="K872" i="12"/>
  <c r="G873" i="12"/>
  <c r="AD32" i="11" s="1"/>
  <c r="I874" i="12"/>
  <c r="J874" i="12" s="1"/>
  <c r="G878" i="12"/>
  <c r="AA34" i="11" s="1"/>
  <c r="K880" i="12"/>
  <c r="G881" i="12"/>
  <c r="AD34" i="11" s="1"/>
  <c r="G882" i="12"/>
  <c r="AA35" i="11" s="1"/>
  <c r="I886" i="12"/>
  <c r="J886" i="12" s="1"/>
  <c r="I887" i="12"/>
  <c r="J887" i="12" s="1"/>
  <c r="I893" i="12"/>
  <c r="J893" i="12" s="1"/>
  <c r="I901" i="12"/>
  <c r="J901" i="12" s="1"/>
  <c r="I909" i="12"/>
  <c r="J909" i="12" s="1"/>
  <c r="I917" i="12"/>
  <c r="J917" i="12" s="1"/>
  <c r="G943" i="12"/>
  <c r="AL18" i="11" s="1"/>
  <c r="G959" i="12"/>
  <c r="AL22" i="11" s="1"/>
  <c r="G975" i="12"/>
  <c r="AL26" i="11" s="1"/>
  <c r="G991" i="12"/>
  <c r="AL30" i="11" s="1"/>
  <c r="G1007" i="12"/>
  <c r="AL34" i="11" s="1"/>
  <c r="K1010" i="12"/>
  <c r="I1011" i="12"/>
  <c r="J1011" i="12" s="1"/>
  <c r="G1014" i="12"/>
  <c r="AK36" i="11" s="1"/>
  <c r="G5" i="12"/>
  <c r="I5" i="12"/>
  <c r="J5" i="12" s="1"/>
  <c r="G9" i="12"/>
  <c r="I9" i="12"/>
  <c r="J9" i="12" s="1"/>
  <c r="G13" i="12"/>
  <c r="I13" i="12"/>
  <c r="J13" i="12" s="1"/>
  <c r="G17" i="12"/>
  <c r="I17" i="12"/>
  <c r="J17" i="12" s="1"/>
  <c r="K21" i="12"/>
  <c r="G21" i="12"/>
  <c r="I21" i="12"/>
  <c r="J21" i="12" s="1"/>
  <c r="K23" i="12"/>
  <c r="K25" i="12"/>
  <c r="G25" i="12"/>
  <c r="I25" i="12"/>
  <c r="J25" i="12" s="1"/>
  <c r="K27" i="12"/>
  <c r="K29" i="12"/>
  <c r="G29" i="12"/>
  <c r="I29" i="12"/>
  <c r="J29" i="12" s="1"/>
  <c r="K31" i="12"/>
  <c r="K33" i="12"/>
  <c r="J4" i="12"/>
  <c r="J8" i="12"/>
  <c r="J12" i="12"/>
  <c r="J16" i="12"/>
  <c r="J20" i="12"/>
  <c r="J24" i="12"/>
  <c r="J28" i="12"/>
  <c r="J32" i="12"/>
  <c r="G4" i="12"/>
  <c r="K4" i="12"/>
  <c r="F7" i="11" s="1"/>
  <c r="G8" i="12"/>
  <c r="K8" i="12"/>
  <c r="F8" i="11" s="1"/>
  <c r="G12" i="12"/>
  <c r="K12" i="12"/>
  <c r="F8" i="10" s="1"/>
  <c r="G16" i="12"/>
  <c r="K16" i="12"/>
  <c r="G20" i="12"/>
  <c r="K20" i="12"/>
  <c r="G24" i="12"/>
  <c r="K24" i="12"/>
  <c r="G28" i="12"/>
  <c r="K28" i="12"/>
  <c r="G32" i="12"/>
  <c r="K32" i="12"/>
  <c r="G36" i="12"/>
  <c r="K36" i="12"/>
  <c r="G40" i="12"/>
  <c r="K40" i="12"/>
  <c r="G44" i="12"/>
  <c r="K44" i="12"/>
  <c r="G48" i="12"/>
  <c r="K48" i="12"/>
  <c r="G52" i="12"/>
  <c r="K52" i="12"/>
  <c r="G56" i="12"/>
  <c r="K56" i="12"/>
  <c r="G60" i="12"/>
  <c r="K60" i="12"/>
  <c r="G64" i="12"/>
  <c r="K64" i="12"/>
  <c r="G68" i="12"/>
  <c r="K68" i="12"/>
  <c r="G72" i="12"/>
  <c r="K72" i="12"/>
  <c r="G76" i="12"/>
  <c r="K76" i="12"/>
  <c r="G80" i="12"/>
  <c r="K80" i="12"/>
  <c r="G84" i="12"/>
  <c r="K84" i="12"/>
  <c r="G88" i="12"/>
  <c r="K88" i="12"/>
  <c r="K91" i="12"/>
  <c r="I92" i="12"/>
  <c r="J92" i="12" s="1"/>
  <c r="K93" i="12"/>
  <c r="K95" i="12"/>
  <c r="I96" i="12"/>
  <c r="J96" i="12" s="1"/>
  <c r="K99" i="12"/>
  <c r="I100" i="12"/>
  <c r="J100" i="12" s="1"/>
  <c r="K103" i="12"/>
  <c r="I104" i="12"/>
  <c r="J104" i="12" s="1"/>
  <c r="K107" i="12"/>
  <c r="I108" i="12"/>
  <c r="J108" i="12" s="1"/>
  <c r="J128" i="12"/>
  <c r="G136" i="12"/>
  <c r="N8" i="11" s="1"/>
  <c r="G137" i="12"/>
  <c r="O8" i="11" s="1"/>
  <c r="I137" i="12"/>
  <c r="J137" i="12" s="1"/>
  <c r="K140" i="12"/>
  <c r="J144" i="12"/>
  <c r="G152" i="12"/>
  <c r="N12" i="11" s="1"/>
  <c r="G153" i="12"/>
  <c r="O12" i="11" s="1"/>
  <c r="I153" i="12"/>
  <c r="J153" i="12" s="1"/>
  <c r="K156" i="12"/>
  <c r="J160" i="12"/>
  <c r="G168" i="12"/>
  <c r="N16" i="11" s="1"/>
  <c r="G169" i="12"/>
  <c r="I169" i="12"/>
  <c r="J169" i="12" s="1"/>
  <c r="K172" i="12"/>
  <c r="J176" i="12"/>
  <c r="I33" i="12"/>
  <c r="J33" i="12" s="1"/>
  <c r="I37" i="12"/>
  <c r="J37" i="12" s="1"/>
  <c r="I41" i="12"/>
  <c r="J41" i="12" s="1"/>
  <c r="I45" i="12"/>
  <c r="J45" i="12" s="1"/>
  <c r="I49" i="12"/>
  <c r="J49" i="12" s="1"/>
  <c r="I53" i="12"/>
  <c r="J53" i="12" s="1"/>
  <c r="I57" i="12"/>
  <c r="J57" i="12" s="1"/>
  <c r="I61" i="12"/>
  <c r="J61" i="12" s="1"/>
  <c r="I65" i="12"/>
  <c r="J65" i="12" s="1"/>
  <c r="I69" i="12"/>
  <c r="J69" i="12" s="1"/>
  <c r="I73" i="12"/>
  <c r="J73" i="12" s="1"/>
  <c r="I77" i="12"/>
  <c r="J77" i="12" s="1"/>
  <c r="I81" i="12"/>
  <c r="J81" i="12" s="1"/>
  <c r="I85" i="12"/>
  <c r="J85" i="12" s="1"/>
  <c r="I89" i="12"/>
  <c r="J89" i="12" s="1"/>
  <c r="K92" i="12"/>
  <c r="G125" i="12"/>
  <c r="I125" i="12"/>
  <c r="J125" i="12" s="1"/>
  <c r="K128" i="12"/>
  <c r="J132" i="12"/>
  <c r="G141" i="12"/>
  <c r="O9" i="11" s="1"/>
  <c r="I141" i="12"/>
  <c r="J141" i="12" s="1"/>
  <c r="K144" i="12"/>
  <c r="J148" i="12"/>
  <c r="G157" i="12"/>
  <c r="O13" i="11" s="1"/>
  <c r="I157" i="12"/>
  <c r="J157" i="12" s="1"/>
  <c r="K160" i="12"/>
  <c r="J164" i="12"/>
  <c r="G173" i="12"/>
  <c r="I173" i="12"/>
  <c r="J173" i="12" s="1"/>
  <c r="K176" i="12"/>
  <c r="J180" i="12"/>
  <c r="J184" i="12"/>
  <c r="J188" i="12"/>
  <c r="J192" i="12"/>
  <c r="J196" i="12"/>
  <c r="J200" i="12"/>
  <c r="J204" i="12"/>
  <c r="J208" i="12"/>
  <c r="K96" i="12"/>
  <c r="I94" i="12"/>
  <c r="J94" i="12" s="1"/>
  <c r="K94" i="12"/>
  <c r="K100" i="12"/>
  <c r="I98" i="12"/>
  <c r="J98" i="12" s="1"/>
  <c r="K98" i="12"/>
  <c r="K104" i="12"/>
  <c r="I102" i="12"/>
  <c r="J102" i="12" s="1"/>
  <c r="K102" i="12"/>
  <c r="K108" i="12"/>
  <c r="I106" i="12"/>
  <c r="J106" i="12" s="1"/>
  <c r="K106" i="12"/>
  <c r="K112" i="12"/>
  <c r="I110" i="12"/>
  <c r="J110" i="12" s="1"/>
  <c r="K113" i="12"/>
  <c r="K110" i="12"/>
  <c r="K116" i="12"/>
  <c r="I114" i="12"/>
  <c r="J114" i="12" s="1"/>
  <c r="K117" i="12"/>
  <c r="K114" i="12"/>
  <c r="K120" i="12"/>
  <c r="I118" i="12"/>
  <c r="J118" i="12" s="1"/>
  <c r="K121" i="12"/>
  <c r="K118" i="12"/>
  <c r="K124" i="12"/>
  <c r="I122" i="12"/>
  <c r="J122" i="12" s="1"/>
  <c r="K125" i="12"/>
  <c r="K122" i="12"/>
  <c r="G129" i="12"/>
  <c r="I129" i="12"/>
  <c r="J129" i="12" s="1"/>
  <c r="G145" i="12"/>
  <c r="O10" i="11" s="1"/>
  <c r="I145" i="12"/>
  <c r="J145" i="12" s="1"/>
  <c r="G161" i="12"/>
  <c r="I161" i="12"/>
  <c r="J161" i="12" s="1"/>
  <c r="G177" i="12"/>
  <c r="I177" i="12"/>
  <c r="J177" i="12" s="1"/>
  <c r="G94" i="12"/>
  <c r="G98" i="12"/>
  <c r="G102" i="12"/>
  <c r="G106" i="12"/>
  <c r="G110" i="12"/>
  <c r="K111" i="12"/>
  <c r="G114" i="12"/>
  <c r="K115" i="12"/>
  <c r="G118" i="12"/>
  <c r="K119" i="12"/>
  <c r="G122" i="12"/>
  <c r="K123" i="12"/>
  <c r="G132" i="12"/>
  <c r="N7" i="11" s="1"/>
  <c r="G133" i="12"/>
  <c r="O7" i="11" s="1"/>
  <c r="I133" i="12"/>
  <c r="J133" i="12" s="1"/>
  <c r="G148" i="12"/>
  <c r="N11" i="11" s="1"/>
  <c r="G149" i="12"/>
  <c r="O11" i="11" s="1"/>
  <c r="I149" i="12"/>
  <c r="J149" i="12" s="1"/>
  <c r="G164" i="12"/>
  <c r="N15" i="11" s="1"/>
  <c r="G165" i="12"/>
  <c r="I165" i="12"/>
  <c r="J165" i="12" s="1"/>
  <c r="G180" i="12"/>
  <c r="N19" i="11" s="1"/>
  <c r="G181" i="12"/>
  <c r="I181" i="12"/>
  <c r="J181" i="12" s="1"/>
  <c r="K184" i="12"/>
  <c r="G184" i="12"/>
  <c r="N20" i="11" s="1"/>
  <c r="G185" i="12"/>
  <c r="I185" i="12"/>
  <c r="J185" i="12" s="1"/>
  <c r="K188" i="12"/>
  <c r="G188" i="12"/>
  <c r="N21" i="11" s="1"/>
  <c r="G189" i="12"/>
  <c r="I189" i="12"/>
  <c r="J189" i="12" s="1"/>
  <c r="K192" i="12"/>
  <c r="G192" i="12"/>
  <c r="N22" i="11" s="1"/>
  <c r="G193" i="12"/>
  <c r="I193" i="12"/>
  <c r="J193" i="12" s="1"/>
  <c r="K196" i="12"/>
  <c r="G196" i="12"/>
  <c r="N23" i="11" s="1"/>
  <c r="G197" i="12"/>
  <c r="I197" i="12"/>
  <c r="J197" i="12" s="1"/>
  <c r="K200" i="12"/>
  <c r="G200" i="12"/>
  <c r="N24" i="11" s="1"/>
  <c r="G201" i="12"/>
  <c r="I201" i="12"/>
  <c r="J201" i="12" s="1"/>
  <c r="K204" i="12"/>
  <c r="G204" i="12"/>
  <c r="N25" i="11" s="1"/>
  <c r="G205" i="12"/>
  <c r="I205" i="12"/>
  <c r="J205" i="12" s="1"/>
  <c r="K208" i="12"/>
  <c r="G208" i="12"/>
  <c r="N26" i="11" s="1"/>
  <c r="K127" i="12"/>
  <c r="K131" i="12"/>
  <c r="K135" i="12"/>
  <c r="K139" i="12"/>
  <c r="K143" i="12"/>
  <c r="K147" i="12"/>
  <c r="K151" i="12"/>
  <c r="K155" i="12"/>
  <c r="K159" i="12"/>
  <c r="K163" i="12"/>
  <c r="K167" i="12"/>
  <c r="K171" i="12"/>
  <c r="K175" i="12"/>
  <c r="K179" i="12"/>
  <c r="K183" i="12"/>
  <c r="K187" i="12"/>
  <c r="K191" i="12"/>
  <c r="K195" i="12"/>
  <c r="K199" i="12"/>
  <c r="K203" i="12"/>
  <c r="K207" i="12"/>
  <c r="I209" i="12"/>
  <c r="J209" i="12" s="1"/>
  <c r="K211" i="12"/>
  <c r="I213" i="12"/>
  <c r="J213" i="12" s="1"/>
  <c r="K215" i="12"/>
  <c r="I217" i="12"/>
  <c r="J217" i="12" s="1"/>
  <c r="K219" i="12"/>
  <c r="I221" i="12"/>
  <c r="J221" i="12" s="1"/>
  <c r="K223" i="12"/>
  <c r="I225" i="12"/>
  <c r="J225" i="12" s="1"/>
  <c r="K227" i="12"/>
  <c r="I229" i="12"/>
  <c r="J229" i="12" s="1"/>
  <c r="K231" i="12"/>
  <c r="I233" i="12"/>
  <c r="J233" i="12" s="1"/>
  <c r="K235" i="12"/>
  <c r="I237" i="12"/>
  <c r="J237" i="12" s="1"/>
  <c r="K239" i="12"/>
  <c r="I241" i="12"/>
  <c r="J241" i="12" s="1"/>
  <c r="K243" i="12"/>
  <c r="I245" i="12"/>
  <c r="J245" i="12" s="1"/>
  <c r="K247" i="12"/>
  <c r="I249" i="12"/>
  <c r="J249" i="12" s="1"/>
  <c r="K251" i="12"/>
  <c r="I253" i="12"/>
  <c r="J253" i="12" s="1"/>
  <c r="K255" i="12"/>
  <c r="I257" i="12"/>
  <c r="J257" i="12" s="1"/>
  <c r="K259" i="12"/>
  <c r="I261" i="12"/>
  <c r="J261" i="12" s="1"/>
  <c r="K263" i="12"/>
  <c r="I265" i="12"/>
  <c r="J265" i="12" s="1"/>
  <c r="K267" i="12"/>
  <c r="I269" i="12"/>
  <c r="J269" i="12" s="1"/>
  <c r="G271" i="12"/>
  <c r="I273" i="12"/>
  <c r="J273" i="12" s="1"/>
  <c r="G275" i="12"/>
  <c r="I277" i="12"/>
  <c r="J277" i="12" s="1"/>
  <c r="G279" i="12"/>
  <c r="I281" i="12"/>
  <c r="J281" i="12" s="1"/>
  <c r="G283" i="12"/>
  <c r="I285" i="12"/>
  <c r="J285" i="12" s="1"/>
  <c r="G287" i="12"/>
  <c r="I289" i="12"/>
  <c r="J289" i="12" s="1"/>
  <c r="G291" i="12"/>
  <c r="I293" i="12"/>
  <c r="J293" i="12" s="1"/>
  <c r="G295" i="12"/>
  <c r="I297" i="12"/>
  <c r="J297" i="12" s="1"/>
  <c r="G299" i="12"/>
  <c r="I301" i="12"/>
  <c r="J301" i="12" s="1"/>
  <c r="G303" i="12"/>
  <c r="I305" i="12"/>
  <c r="J305" i="12" s="1"/>
  <c r="G307" i="12"/>
  <c r="I309" i="12"/>
  <c r="J309" i="12" s="1"/>
  <c r="G311" i="12"/>
  <c r="I313" i="12"/>
  <c r="J313" i="12" s="1"/>
  <c r="G315" i="12"/>
  <c r="I317" i="12"/>
  <c r="J317" i="12" s="1"/>
  <c r="G319" i="12"/>
  <c r="I321" i="12"/>
  <c r="J321" i="12" s="1"/>
  <c r="G323" i="12"/>
  <c r="I325" i="12"/>
  <c r="J325" i="12" s="1"/>
  <c r="G327" i="12"/>
  <c r="I329" i="12"/>
  <c r="J329" i="12" s="1"/>
  <c r="G331" i="12"/>
  <c r="I333" i="12"/>
  <c r="J333" i="12" s="1"/>
  <c r="G335" i="12"/>
  <c r="I337" i="12"/>
  <c r="J337" i="12" s="1"/>
  <c r="G339" i="12"/>
  <c r="I341" i="12"/>
  <c r="J341" i="12" s="1"/>
  <c r="G343" i="12"/>
  <c r="I345" i="12"/>
  <c r="J345" i="12" s="1"/>
  <c r="G347" i="12"/>
  <c r="I349" i="12"/>
  <c r="J349" i="12" s="1"/>
  <c r="G351" i="12"/>
  <c r="I353" i="12"/>
  <c r="J353" i="12" s="1"/>
  <c r="G355" i="12"/>
  <c r="I357" i="12"/>
  <c r="J357" i="12" s="1"/>
  <c r="G359" i="12"/>
  <c r="I361" i="12"/>
  <c r="J361" i="12" s="1"/>
  <c r="G363" i="12"/>
  <c r="I365" i="12"/>
  <c r="J365" i="12" s="1"/>
  <c r="G367" i="12"/>
  <c r="I369" i="12"/>
  <c r="J369" i="12" s="1"/>
  <c r="G371" i="12"/>
  <c r="I373" i="12"/>
  <c r="J373" i="12" s="1"/>
  <c r="G375" i="12"/>
  <c r="I377" i="12"/>
  <c r="J377" i="12" s="1"/>
  <c r="G379" i="12"/>
  <c r="I381" i="12"/>
  <c r="J381" i="12" s="1"/>
  <c r="G383" i="12"/>
  <c r="I385" i="12"/>
  <c r="J385" i="12" s="1"/>
  <c r="G387" i="12"/>
  <c r="I389" i="12"/>
  <c r="J389" i="12" s="1"/>
  <c r="G391" i="12"/>
  <c r="I393" i="12"/>
  <c r="J393" i="12" s="1"/>
  <c r="G395" i="12"/>
  <c r="I397" i="12"/>
  <c r="J397" i="12" s="1"/>
  <c r="G399" i="12"/>
  <c r="AG10" i="11" s="1"/>
  <c r="I401" i="12"/>
  <c r="J401" i="12" s="1"/>
  <c r="G403" i="12"/>
  <c r="AG11" i="11" s="1"/>
  <c r="I405" i="12"/>
  <c r="J405" i="12" s="1"/>
  <c r="K408" i="12"/>
  <c r="G407" i="12"/>
  <c r="AG12" i="11" s="1"/>
  <c r="K422" i="12"/>
  <c r="G422" i="12"/>
  <c r="K424" i="12"/>
  <c r="I422" i="12"/>
  <c r="J422" i="12" s="1"/>
  <c r="K423" i="12"/>
  <c r="K426" i="12"/>
  <c r="G426" i="12"/>
  <c r="K428" i="12"/>
  <c r="I426" i="12"/>
  <c r="J426" i="12" s="1"/>
  <c r="K427" i="12"/>
  <c r="K430" i="12"/>
  <c r="G430" i="12"/>
  <c r="K432" i="12"/>
  <c r="I430" i="12"/>
  <c r="J430" i="12" s="1"/>
  <c r="K431" i="12"/>
  <c r="K434" i="12"/>
  <c r="G434" i="12"/>
  <c r="K436" i="12"/>
  <c r="I434" i="12"/>
  <c r="J434" i="12" s="1"/>
  <c r="K435" i="12"/>
  <c r="K441" i="12"/>
  <c r="K438" i="12"/>
  <c r="G438" i="12"/>
  <c r="K440" i="12"/>
  <c r="I438" i="12"/>
  <c r="J438" i="12" s="1"/>
  <c r="K439" i="12"/>
  <c r="K412" i="12"/>
  <c r="I410" i="12"/>
  <c r="J410" i="12" s="1"/>
  <c r="K410" i="12"/>
  <c r="K416" i="12"/>
  <c r="I414" i="12"/>
  <c r="J414" i="12" s="1"/>
  <c r="K414" i="12"/>
  <c r="K420" i="12"/>
  <c r="I418" i="12"/>
  <c r="J418" i="12" s="1"/>
  <c r="K418" i="12"/>
  <c r="J421" i="12"/>
  <c r="J425" i="12"/>
  <c r="J429" i="12"/>
  <c r="J433" i="12"/>
  <c r="J437" i="12"/>
  <c r="K445" i="12"/>
  <c r="K442" i="12"/>
  <c r="G442" i="12"/>
  <c r="K443" i="12"/>
  <c r="K444" i="12"/>
  <c r="I442" i="12"/>
  <c r="J442" i="12" s="1"/>
  <c r="K129" i="12"/>
  <c r="K133" i="12"/>
  <c r="K137" i="12"/>
  <c r="K141" i="12"/>
  <c r="K145" i="12"/>
  <c r="K149" i="12"/>
  <c r="K153" i="12"/>
  <c r="K157" i="12"/>
  <c r="K161" i="12"/>
  <c r="K165" i="12"/>
  <c r="K169" i="12"/>
  <c r="K173" i="12"/>
  <c r="K177" i="12"/>
  <c r="K181" i="12"/>
  <c r="K185" i="12"/>
  <c r="K189" i="12"/>
  <c r="K193" i="12"/>
  <c r="K197" i="12"/>
  <c r="K201" i="12"/>
  <c r="K205" i="12"/>
  <c r="K209" i="12"/>
  <c r="K213" i="12"/>
  <c r="K217" i="12"/>
  <c r="K221" i="12"/>
  <c r="K225" i="12"/>
  <c r="K229" i="12"/>
  <c r="K233" i="12"/>
  <c r="K237" i="12"/>
  <c r="K241" i="12"/>
  <c r="K245" i="12"/>
  <c r="K249" i="12"/>
  <c r="K253" i="12"/>
  <c r="K257" i="12"/>
  <c r="K261" i="12"/>
  <c r="K265" i="12"/>
  <c r="K269" i="12"/>
  <c r="K273" i="12"/>
  <c r="Z10" i="11" s="1"/>
  <c r="K277" i="12"/>
  <c r="Z11" i="11" s="1"/>
  <c r="K281" i="12"/>
  <c r="Z12" i="11" s="1"/>
  <c r="K285" i="12"/>
  <c r="Z13" i="11" s="1"/>
  <c r="K289" i="12"/>
  <c r="Z14" i="11" s="1"/>
  <c r="K293" i="12"/>
  <c r="Z15" i="11" s="1"/>
  <c r="K297" i="12"/>
  <c r="Z16" i="11" s="1"/>
  <c r="K301" i="12"/>
  <c r="Z17" i="11" s="1"/>
  <c r="K305" i="12"/>
  <c r="Z18" i="11" s="1"/>
  <c r="K309" i="12"/>
  <c r="Z19" i="11" s="1"/>
  <c r="K313" i="12"/>
  <c r="Z20" i="11" s="1"/>
  <c r="K317" i="12"/>
  <c r="Z21" i="11" s="1"/>
  <c r="K321" i="12"/>
  <c r="Z22" i="11" s="1"/>
  <c r="K325" i="12"/>
  <c r="Z23" i="11" s="1"/>
  <c r="K329" i="12"/>
  <c r="Z24" i="11" s="1"/>
  <c r="K333" i="12"/>
  <c r="Z25" i="11" s="1"/>
  <c r="K337" i="12"/>
  <c r="Z26" i="11" s="1"/>
  <c r="K341" i="12"/>
  <c r="Z27" i="11" s="1"/>
  <c r="K345" i="12"/>
  <c r="Z28" i="11" s="1"/>
  <c r="K349" i="12"/>
  <c r="Z29" i="11" s="1"/>
  <c r="K353" i="12"/>
  <c r="Z30" i="11" s="1"/>
  <c r="K357" i="12"/>
  <c r="Z31" i="11" s="1"/>
  <c r="K361" i="12"/>
  <c r="Z32" i="11" s="1"/>
  <c r="K365" i="12"/>
  <c r="Z33" i="11" s="1"/>
  <c r="K369" i="12"/>
  <c r="Z34" i="11" s="1"/>
  <c r="K373" i="12"/>
  <c r="Z35" i="11" s="1"/>
  <c r="K377" i="12"/>
  <c r="Z36" i="11" s="1"/>
  <c r="K381" i="12"/>
  <c r="Z37" i="11" s="1"/>
  <c r="K385" i="12"/>
  <c r="Z38" i="11" s="1"/>
  <c r="K389" i="12"/>
  <c r="AJ7" i="11" s="1"/>
  <c r="K393" i="12"/>
  <c r="AJ8" i="11" s="1"/>
  <c r="K397" i="12"/>
  <c r="AJ9" i="11" s="1"/>
  <c r="K401" i="12"/>
  <c r="AJ10" i="11" s="1"/>
  <c r="K405" i="12"/>
  <c r="AJ11" i="11" s="1"/>
  <c r="G410" i="12"/>
  <c r="G414" i="12"/>
  <c r="G418" i="12"/>
  <c r="K421" i="12"/>
  <c r="I424" i="12"/>
  <c r="J424" i="12" s="1"/>
  <c r="G424" i="12"/>
  <c r="AH16" i="11" s="1"/>
  <c r="K425" i="12"/>
  <c r="I428" i="12"/>
  <c r="J428" i="12" s="1"/>
  <c r="G428" i="12"/>
  <c r="AH17" i="11" s="1"/>
  <c r="K429" i="12"/>
  <c r="I432" i="12"/>
  <c r="J432" i="12" s="1"/>
  <c r="G432" i="12"/>
  <c r="AH18" i="11" s="1"/>
  <c r="K433" i="12"/>
  <c r="I436" i="12"/>
  <c r="J436" i="12" s="1"/>
  <c r="G436" i="12"/>
  <c r="AH19" i="11" s="1"/>
  <c r="K437" i="12"/>
  <c r="I126" i="12"/>
  <c r="J126" i="12" s="1"/>
  <c r="I130" i="12"/>
  <c r="J130" i="12" s="1"/>
  <c r="I134" i="12"/>
  <c r="J134" i="12" s="1"/>
  <c r="I138" i="12"/>
  <c r="J138" i="12" s="1"/>
  <c r="I142" i="12"/>
  <c r="J142" i="12" s="1"/>
  <c r="I146" i="12"/>
  <c r="J146" i="12" s="1"/>
  <c r="I150" i="12"/>
  <c r="J150" i="12" s="1"/>
  <c r="I154" i="12"/>
  <c r="J154" i="12" s="1"/>
  <c r="I158" i="12"/>
  <c r="J158" i="12" s="1"/>
  <c r="I162" i="12"/>
  <c r="J162" i="12" s="1"/>
  <c r="I166" i="12"/>
  <c r="J166" i="12" s="1"/>
  <c r="I170" i="12"/>
  <c r="J170" i="12" s="1"/>
  <c r="I174" i="12"/>
  <c r="J174" i="12" s="1"/>
  <c r="I178" i="12"/>
  <c r="J178" i="12" s="1"/>
  <c r="I194" i="12"/>
  <c r="J194" i="12" s="1"/>
  <c r="I198" i="12"/>
  <c r="J198" i="12" s="1"/>
  <c r="I202" i="12"/>
  <c r="J202" i="12" s="1"/>
  <c r="I206" i="12"/>
  <c r="J206" i="12" s="1"/>
  <c r="I210" i="12"/>
  <c r="J210" i="12" s="1"/>
  <c r="I214" i="12"/>
  <c r="J214" i="12" s="1"/>
  <c r="I218" i="12"/>
  <c r="J218" i="12" s="1"/>
  <c r="I222" i="12"/>
  <c r="J222" i="12" s="1"/>
  <c r="I226" i="12"/>
  <c r="J226" i="12" s="1"/>
  <c r="I230" i="12"/>
  <c r="J230" i="12" s="1"/>
  <c r="I234" i="12"/>
  <c r="J234" i="12" s="1"/>
  <c r="I238" i="12"/>
  <c r="J238" i="12" s="1"/>
  <c r="I242" i="12"/>
  <c r="J242" i="12" s="1"/>
  <c r="I246" i="12"/>
  <c r="J246" i="12" s="1"/>
  <c r="I250" i="12"/>
  <c r="J250" i="12" s="1"/>
  <c r="I254" i="12"/>
  <c r="J254" i="12" s="1"/>
  <c r="I258" i="12"/>
  <c r="J258" i="12" s="1"/>
  <c r="I262" i="12"/>
  <c r="J262" i="12" s="1"/>
  <c r="I266" i="12"/>
  <c r="J266" i="12" s="1"/>
  <c r="K407" i="12"/>
  <c r="AJ12" i="11" s="1"/>
  <c r="I408" i="12"/>
  <c r="J408" i="12" s="1"/>
  <c r="K411" i="12"/>
  <c r="I412" i="12"/>
  <c r="J412" i="12" s="1"/>
  <c r="K413" i="12"/>
  <c r="K415" i="12"/>
  <c r="I416" i="12"/>
  <c r="J416" i="12" s="1"/>
  <c r="K417" i="12"/>
  <c r="K419" i="12"/>
  <c r="I420" i="12"/>
  <c r="J420" i="12" s="1"/>
  <c r="J423" i="12"/>
  <c r="J427" i="12"/>
  <c r="J431" i="12"/>
  <c r="J435" i="12"/>
  <c r="J439" i="12"/>
  <c r="G440" i="12"/>
  <c r="AH20" i="11" s="1"/>
  <c r="G444" i="12"/>
  <c r="AH21" i="11" s="1"/>
  <c r="I446" i="12"/>
  <c r="J446" i="12" s="1"/>
  <c r="G448" i="12"/>
  <c r="AH22" i="11" s="1"/>
  <c r="K448" i="12"/>
  <c r="I450" i="12"/>
  <c r="J450" i="12" s="1"/>
  <c r="G452" i="12"/>
  <c r="AH23" i="11" s="1"/>
  <c r="K452" i="12"/>
  <c r="I454" i="12"/>
  <c r="J454" i="12" s="1"/>
  <c r="G456" i="12"/>
  <c r="AH24" i="11" s="1"/>
  <c r="K456" i="12"/>
  <c r="I458" i="12"/>
  <c r="J458" i="12" s="1"/>
  <c r="G460" i="12"/>
  <c r="AH25" i="11" s="1"/>
  <c r="K460" i="12"/>
  <c r="I462" i="12"/>
  <c r="J462" i="12" s="1"/>
  <c r="G464" i="12"/>
  <c r="AH26" i="11" s="1"/>
  <c r="K464" i="12"/>
  <c r="I466" i="12"/>
  <c r="J466" i="12" s="1"/>
  <c r="G468" i="12"/>
  <c r="AH27" i="11" s="1"/>
  <c r="K468" i="12"/>
  <c r="I470" i="12"/>
  <c r="J470" i="12" s="1"/>
  <c r="G472" i="12"/>
  <c r="AH28" i="11" s="1"/>
  <c r="K472" i="12"/>
  <c r="I474" i="12"/>
  <c r="J474" i="12" s="1"/>
  <c r="G476" i="12"/>
  <c r="K476" i="12"/>
  <c r="I478" i="12"/>
  <c r="J478" i="12" s="1"/>
  <c r="G480" i="12"/>
  <c r="K480" i="12"/>
  <c r="I482" i="12"/>
  <c r="J482" i="12" s="1"/>
  <c r="G484" i="12"/>
  <c r="K484" i="12"/>
  <c r="I486" i="12"/>
  <c r="J486" i="12" s="1"/>
  <c r="G488" i="12"/>
  <c r="K488" i="12"/>
  <c r="I490" i="12"/>
  <c r="J490" i="12" s="1"/>
  <c r="G492" i="12"/>
  <c r="K492" i="12"/>
  <c r="I494" i="12"/>
  <c r="J494" i="12" s="1"/>
  <c r="G496" i="12"/>
  <c r="K496" i="12"/>
  <c r="I498" i="12"/>
  <c r="J498" i="12" s="1"/>
  <c r="G500" i="12"/>
  <c r="K500" i="12"/>
  <c r="I502" i="12"/>
  <c r="J502" i="12" s="1"/>
  <c r="G504" i="12"/>
  <c r="K504" i="12"/>
  <c r="I506" i="12"/>
  <c r="J506" i="12" s="1"/>
  <c r="G508" i="12"/>
  <c r="K508" i="12"/>
  <c r="I510" i="12"/>
  <c r="J510" i="12" s="1"/>
  <c r="G511" i="12"/>
  <c r="AG38" i="11" s="1"/>
  <c r="K511" i="12"/>
  <c r="K513" i="12"/>
  <c r="I514" i="12"/>
  <c r="J514" i="12" s="1"/>
  <c r="G515" i="12"/>
  <c r="K515" i="12"/>
  <c r="I518" i="12"/>
  <c r="J518" i="12" s="1"/>
  <c r="G519" i="12"/>
  <c r="K519" i="12"/>
  <c r="I522" i="12"/>
  <c r="J522" i="12" s="1"/>
  <c r="G523" i="12"/>
  <c r="K523" i="12"/>
  <c r="I526" i="12"/>
  <c r="J526" i="12" s="1"/>
  <c r="G527" i="12"/>
  <c r="K527" i="12"/>
  <c r="I530" i="12"/>
  <c r="J530" i="12" s="1"/>
  <c r="G531" i="12"/>
  <c r="K531" i="12"/>
  <c r="I534" i="12"/>
  <c r="J534" i="12" s="1"/>
  <c r="G535" i="12"/>
  <c r="K535" i="12"/>
  <c r="I538" i="12"/>
  <c r="J538" i="12" s="1"/>
  <c r="G539" i="12"/>
  <c r="K539" i="12"/>
  <c r="G543" i="12"/>
  <c r="K543" i="12"/>
  <c r="G547" i="12"/>
  <c r="K550" i="12"/>
  <c r="G551" i="12"/>
  <c r="K554" i="12"/>
  <c r="G555" i="12"/>
  <c r="K558" i="12"/>
  <c r="G559" i="12"/>
  <c r="K560" i="12"/>
  <c r="J563" i="12"/>
  <c r="J567" i="12"/>
  <c r="J571" i="12"/>
  <c r="J575" i="12"/>
  <c r="J579" i="12"/>
  <c r="J583" i="12"/>
  <c r="J587" i="12"/>
  <c r="J591" i="12"/>
  <c r="J595" i="12"/>
  <c r="J599" i="12"/>
  <c r="K447" i="12"/>
  <c r="K451" i="12"/>
  <c r="K455" i="12"/>
  <c r="K459" i="12"/>
  <c r="K463" i="12"/>
  <c r="K467" i="12"/>
  <c r="K471" i="12"/>
  <c r="K475" i="12"/>
  <c r="K479" i="12"/>
  <c r="K483" i="12"/>
  <c r="K487" i="12"/>
  <c r="K491" i="12"/>
  <c r="K495" i="12"/>
  <c r="K499" i="12"/>
  <c r="K503" i="12"/>
  <c r="K507" i="12"/>
  <c r="K548" i="12"/>
  <c r="K552" i="12"/>
  <c r="K556" i="12"/>
  <c r="K561" i="12"/>
  <c r="G446" i="12"/>
  <c r="K446" i="12"/>
  <c r="AJ22" i="11" s="1"/>
  <c r="G450" i="12"/>
  <c r="K450" i="12"/>
  <c r="G454" i="12"/>
  <c r="K454" i="12"/>
  <c r="AJ24" i="11" s="1"/>
  <c r="G458" i="12"/>
  <c r="K458" i="12"/>
  <c r="AJ25" i="11" s="1"/>
  <c r="G462" i="12"/>
  <c r="K462" i="12"/>
  <c r="AJ26" i="11" s="1"/>
  <c r="G466" i="12"/>
  <c r="K466" i="12"/>
  <c r="G470" i="12"/>
  <c r="K470" i="12"/>
  <c r="AJ28" i="11" s="1"/>
  <c r="G474" i="12"/>
  <c r="K474" i="12"/>
  <c r="AJ29" i="11" s="1"/>
  <c r="G478" i="12"/>
  <c r="AF30" i="11" s="1"/>
  <c r="K478" i="12"/>
  <c r="AJ30" i="11" s="1"/>
  <c r="G482" i="12"/>
  <c r="AF31" i="11" s="1"/>
  <c r="K482" i="12"/>
  <c r="G486" i="12"/>
  <c r="AF32" i="11" s="1"/>
  <c r="K486" i="12"/>
  <c r="AJ32" i="11" s="1"/>
  <c r="G490" i="12"/>
  <c r="AF33" i="11" s="1"/>
  <c r="K490" i="12"/>
  <c r="AJ33" i="11" s="1"/>
  <c r="G494" i="12"/>
  <c r="AF34" i="11" s="1"/>
  <c r="K494" i="12"/>
  <c r="AJ34" i="11" s="1"/>
  <c r="G498" i="12"/>
  <c r="AF35" i="11" s="1"/>
  <c r="K498" i="12"/>
  <c r="G502" i="12"/>
  <c r="AF36" i="11" s="1"/>
  <c r="K502" i="12"/>
  <c r="AJ36" i="11" s="1"/>
  <c r="G506" i="12"/>
  <c r="AF37" i="11" s="1"/>
  <c r="K506" i="12"/>
  <c r="AJ37" i="11" s="1"/>
  <c r="G510" i="12"/>
  <c r="K512" i="12"/>
  <c r="K514" i="12"/>
  <c r="G514" i="12"/>
  <c r="K516" i="12"/>
  <c r="K518" i="12"/>
  <c r="G518" i="12"/>
  <c r="K520" i="12"/>
  <c r="K522" i="12"/>
  <c r="G522" i="12"/>
  <c r="K524" i="12"/>
  <c r="K526" i="12"/>
  <c r="G526" i="12"/>
  <c r="K528" i="12"/>
  <c r="K530" i="12"/>
  <c r="G530" i="12"/>
  <c r="K532" i="12"/>
  <c r="K534" i="12"/>
  <c r="G534" i="12"/>
  <c r="K536" i="12"/>
  <c r="K538" i="12"/>
  <c r="G538" i="12"/>
  <c r="I540" i="12"/>
  <c r="J540" i="12" s="1"/>
  <c r="K540" i="12"/>
  <c r="K542" i="12"/>
  <c r="G542" i="12"/>
  <c r="I544" i="12"/>
  <c r="J544" i="12" s="1"/>
  <c r="K544" i="12"/>
  <c r="K546" i="12"/>
  <c r="G546" i="12"/>
  <c r="K547" i="12"/>
  <c r="G548" i="12"/>
  <c r="K549" i="12"/>
  <c r="I551" i="12"/>
  <c r="J551" i="12" s="1"/>
  <c r="G552" i="12"/>
  <c r="K553" i="12"/>
  <c r="I555" i="12"/>
  <c r="J555" i="12" s="1"/>
  <c r="G556" i="12"/>
  <c r="K557" i="12"/>
  <c r="I559" i="12"/>
  <c r="J559" i="12" s="1"/>
  <c r="G560" i="12"/>
  <c r="G563" i="12"/>
  <c r="I564" i="12"/>
  <c r="J564" i="12" s="1"/>
  <c r="G564" i="12"/>
  <c r="G567" i="12"/>
  <c r="I568" i="12"/>
  <c r="J568" i="12" s="1"/>
  <c r="G568" i="12"/>
  <c r="G571" i="12"/>
  <c r="I572" i="12"/>
  <c r="J572" i="12" s="1"/>
  <c r="G572" i="12"/>
  <c r="G575" i="12"/>
  <c r="I576" i="12"/>
  <c r="J576" i="12" s="1"/>
  <c r="G576" i="12"/>
  <c r="G579" i="12"/>
  <c r="I580" i="12"/>
  <c r="J580" i="12" s="1"/>
  <c r="G580" i="12"/>
  <c r="G583" i="12"/>
  <c r="I584" i="12"/>
  <c r="J584" i="12" s="1"/>
  <c r="G584" i="12"/>
  <c r="G587" i="12"/>
  <c r="I588" i="12"/>
  <c r="J588" i="12" s="1"/>
  <c r="G588" i="12"/>
  <c r="G591" i="12"/>
  <c r="I592" i="12"/>
  <c r="J592" i="12" s="1"/>
  <c r="G592" i="12"/>
  <c r="G595" i="12"/>
  <c r="I596" i="12"/>
  <c r="J596" i="12" s="1"/>
  <c r="G596" i="12"/>
  <c r="G599" i="12"/>
  <c r="I600" i="12"/>
  <c r="J600" i="12" s="1"/>
  <c r="G600" i="12"/>
  <c r="J513" i="12"/>
  <c r="J517" i="12"/>
  <c r="J521" i="12"/>
  <c r="J525" i="12"/>
  <c r="J529" i="12"/>
  <c r="J533" i="12"/>
  <c r="J537" i="12"/>
  <c r="J541" i="12"/>
  <c r="J545" i="12"/>
  <c r="K562" i="12"/>
  <c r="K566" i="12"/>
  <c r="K570" i="12"/>
  <c r="K574" i="12"/>
  <c r="K578" i="12"/>
  <c r="K582" i="12"/>
  <c r="K586" i="12"/>
  <c r="K590" i="12"/>
  <c r="K594" i="12"/>
  <c r="K598" i="12"/>
  <c r="K605" i="12"/>
  <c r="K609" i="12"/>
  <c r="K613" i="12"/>
  <c r="K617" i="12"/>
  <c r="K621" i="12"/>
  <c r="K625" i="12"/>
  <c r="K629" i="12"/>
  <c r="K633" i="12"/>
  <c r="K637" i="12"/>
  <c r="K641" i="12"/>
  <c r="K645" i="12"/>
  <c r="K649" i="12"/>
  <c r="K653" i="12"/>
  <c r="K657" i="12"/>
  <c r="K661" i="12"/>
  <c r="K665" i="12"/>
  <c r="K669" i="12"/>
  <c r="K673" i="12"/>
  <c r="K676" i="12"/>
  <c r="K564" i="12"/>
  <c r="K568" i="12"/>
  <c r="K572" i="12"/>
  <c r="K576" i="12"/>
  <c r="K580" i="12"/>
  <c r="K584" i="12"/>
  <c r="K588" i="12"/>
  <c r="K592" i="12"/>
  <c r="K596" i="12"/>
  <c r="K600" i="12"/>
  <c r="G604" i="12"/>
  <c r="K604" i="12"/>
  <c r="G608" i="12"/>
  <c r="K608" i="12"/>
  <c r="G612" i="12"/>
  <c r="K612" i="12"/>
  <c r="G616" i="12"/>
  <c r="K616" i="12"/>
  <c r="G620" i="12"/>
  <c r="K620" i="12"/>
  <c r="G624" i="12"/>
  <c r="K624" i="12"/>
  <c r="G628" i="12"/>
  <c r="K628" i="12"/>
  <c r="G632" i="12"/>
  <c r="K632" i="12"/>
  <c r="I634" i="12"/>
  <c r="J634" i="12" s="1"/>
  <c r="G636" i="12"/>
  <c r="K636" i="12"/>
  <c r="I638" i="12"/>
  <c r="J638" i="12" s="1"/>
  <c r="G640" i="12"/>
  <c r="K640" i="12"/>
  <c r="G644" i="12"/>
  <c r="K644" i="12"/>
  <c r="G648" i="12"/>
  <c r="K648" i="12"/>
  <c r="G652" i="12"/>
  <c r="K652" i="12"/>
  <c r="G656" i="12"/>
  <c r="K656" i="12"/>
  <c r="G660" i="12"/>
  <c r="K660" i="12"/>
  <c r="G664" i="12"/>
  <c r="K664" i="12"/>
  <c r="G668" i="12"/>
  <c r="K668" i="12"/>
  <c r="G672" i="12"/>
  <c r="K672" i="12"/>
  <c r="K551" i="12"/>
  <c r="K555" i="12"/>
  <c r="K559" i="12"/>
  <c r="K563" i="12"/>
  <c r="K567" i="12"/>
  <c r="K571" i="12"/>
  <c r="K575" i="12"/>
  <c r="K579" i="12"/>
  <c r="K583" i="12"/>
  <c r="K587" i="12"/>
  <c r="K591" i="12"/>
  <c r="K595" i="12"/>
  <c r="K599" i="12"/>
  <c r="K603" i="12"/>
  <c r="K607" i="12"/>
  <c r="K611" i="12"/>
  <c r="K615" i="12"/>
  <c r="K619" i="12"/>
  <c r="K623" i="12"/>
  <c r="K627" i="12"/>
  <c r="K631" i="12"/>
  <c r="K635" i="12"/>
  <c r="K639" i="12"/>
  <c r="K643" i="12"/>
  <c r="U7" i="11" s="1"/>
  <c r="K647" i="12"/>
  <c r="U8" i="11" s="1"/>
  <c r="K651" i="12"/>
  <c r="U9" i="11" s="1"/>
  <c r="K655" i="12"/>
  <c r="K659" i="12"/>
  <c r="U11" i="11" s="1"/>
  <c r="K663" i="12"/>
  <c r="U12" i="11" s="1"/>
  <c r="K667" i="12"/>
  <c r="U13" i="11" s="1"/>
  <c r="K671" i="12"/>
  <c r="K675" i="12"/>
  <c r="I677" i="12"/>
  <c r="J677" i="12" s="1"/>
  <c r="K677" i="12"/>
  <c r="K682" i="12"/>
  <c r="G683" i="12"/>
  <c r="R17" i="11" s="1"/>
  <c r="K686" i="12"/>
  <c r="U18" i="11" s="1"/>
  <c r="G687" i="12"/>
  <c r="R18" i="11" s="1"/>
  <c r="K688" i="12"/>
  <c r="K689" i="12"/>
  <c r="I687" i="12"/>
  <c r="J687" i="12" s="1"/>
  <c r="G550" i="12"/>
  <c r="G554" i="12"/>
  <c r="G558" i="12"/>
  <c r="G562" i="12"/>
  <c r="G566" i="12"/>
  <c r="G570" i="12"/>
  <c r="G574" i="12"/>
  <c r="G578" i="12"/>
  <c r="G582" i="12"/>
  <c r="G586" i="12"/>
  <c r="G590" i="12"/>
  <c r="G594" i="12"/>
  <c r="G598" i="12"/>
  <c r="G602" i="12"/>
  <c r="G606" i="12"/>
  <c r="G610" i="12"/>
  <c r="G614" i="12"/>
  <c r="G618" i="12"/>
  <c r="G622" i="12"/>
  <c r="G626" i="12"/>
  <c r="G630" i="12"/>
  <c r="G634" i="12"/>
  <c r="G638" i="12"/>
  <c r="G642" i="12"/>
  <c r="Q7" i="11" s="1"/>
  <c r="G646" i="12"/>
  <c r="Q8" i="11" s="1"/>
  <c r="G650" i="12"/>
  <c r="Q9" i="11" s="1"/>
  <c r="G654" i="12"/>
  <c r="Q10" i="11" s="1"/>
  <c r="G658" i="12"/>
  <c r="Q11" i="11" s="1"/>
  <c r="G662" i="12"/>
  <c r="Q12" i="11" s="1"/>
  <c r="G666" i="12"/>
  <c r="Q13" i="11" s="1"/>
  <c r="G670" i="12"/>
  <c r="Q14" i="11" s="1"/>
  <c r="G674" i="12"/>
  <c r="Q15" i="11" s="1"/>
  <c r="K674" i="12"/>
  <c r="G677" i="12"/>
  <c r="K680" i="12"/>
  <c r="U16" i="11" s="1"/>
  <c r="K684" i="12"/>
  <c r="I691" i="12"/>
  <c r="J691" i="12" s="1"/>
  <c r="K693" i="12"/>
  <c r="I695" i="12"/>
  <c r="J695" i="12" s="1"/>
  <c r="K697" i="12"/>
  <c r="I699" i="12"/>
  <c r="J699" i="12" s="1"/>
  <c r="K701" i="12"/>
  <c r="I703" i="12"/>
  <c r="J703" i="12" s="1"/>
  <c r="K705" i="12"/>
  <c r="I707" i="12"/>
  <c r="J707" i="12" s="1"/>
  <c r="K709" i="12"/>
  <c r="I711" i="12"/>
  <c r="J711" i="12" s="1"/>
  <c r="K713" i="12"/>
  <c r="I715" i="12"/>
  <c r="J715" i="12" s="1"/>
  <c r="K717" i="12"/>
  <c r="I719" i="12"/>
  <c r="J719" i="12" s="1"/>
  <c r="K721" i="12"/>
  <c r="I723" i="12"/>
  <c r="J723" i="12" s="1"/>
  <c r="K725" i="12"/>
  <c r="I727" i="12"/>
  <c r="J727" i="12" s="1"/>
  <c r="K729" i="12"/>
  <c r="I731" i="12"/>
  <c r="J731" i="12" s="1"/>
  <c r="K733" i="12"/>
  <c r="I735" i="12"/>
  <c r="J735" i="12" s="1"/>
  <c r="K737" i="12"/>
  <c r="I739" i="12"/>
  <c r="J739" i="12" s="1"/>
  <c r="K741" i="12"/>
  <c r="I743" i="12"/>
  <c r="J743" i="12" s="1"/>
  <c r="K745" i="12"/>
  <c r="I747" i="12"/>
  <c r="J747" i="12" s="1"/>
  <c r="K749" i="12"/>
  <c r="I751" i="12"/>
  <c r="J751" i="12" s="1"/>
  <c r="K753" i="12"/>
  <c r="I755" i="12"/>
  <c r="J755" i="12" s="1"/>
  <c r="K757" i="12"/>
  <c r="I759" i="12"/>
  <c r="J759" i="12" s="1"/>
  <c r="K761" i="12"/>
  <c r="I763" i="12"/>
  <c r="J763" i="12" s="1"/>
  <c r="K765" i="12"/>
  <c r="I767" i="12"/>
  <c r="J767" i="12" s="1"/>
  <c r="K769" i="12"/>
  <c r="I771" i="12"/>
  <c r="J771" i="12" s="1"/>
  <c r="K773" i="12"/>
  <c r="I775" i="12"/>
  <c r="J775" i="12" s="1"/>
  <c r="K777" i="12"/>
  <c r="I779" i="12"/>
  <c r="J779" i="12" s="1"/>
  <c r="K781" i="12"/>
  <c r="I783" i="12"/>
  <c r="J783" i="12" s="1"/>
  <c r="K785" i="12"/>
  <c r="I787" i="12"/>
  <c r="J787" i="12" s="1"/>
  <c r="K789" i="12"/>
  <c r="I791" i="12"/>
  <c r="J791" i="12" s="1"/>
  <c r="K793" i="12"/>
  <c r="I795" i="12"/>
  <c r="J795" i="12" s="1"/>
  <c r="K797" i="12"/>
  <c r="I799" i="12"/>
  <c r="J799" i="12" s="1"/>
  <c r="K801" i="12"/>
  <c r="I803" i="12"/>
  <c r="J803" i="12" s="1"/>
  <c r="K805" i="12"/>
  <c r="I807" i="12"/>
  <c r="J807" i="12" s="1"/>
  <c r="K809" i="12"/>
  <c r="I811" i="12"/>
  <c r="J811" i="12" s="1"/>
  <c r="K813" i="12"/>
  <c r="I815" i="12"/>
  <c r="J815" i="12" s="1"/>
  <c r="K817" i="12"/>
  <c r="I819" i="12"/>
  <c r="J819" i="12" s="1"/>
  <c r="K821" i="12"/>
  <c r="I823" i="12"/>
  <c r="J823" i="12" s="1"/>
  <c r="K825" i="12"/>
  <c r="I827" i="12"/>
  <c r="J827" i="12" s="1"/>
  <c r="K829" i="12"/>
  <c r="I831" i="12"/>
  <c r="J831" i="12" s="1"/>
  <c r="K833" i="12"/>
  <c r="I835" i="12"/>
  <c r="J835" i="12" s="1"/>
  <c r="K837" i="12"/>
  <c r="I840" i="12"/>
  <c r="J840" i="12" s="1"/>
  <c r="J847" i="12"/>
  <c r="K692" i="12"/>
  <c r="U19" i="11" s="1"/>
  <c r="K696" i="12"/>
  <c r="U20" i="11" s="1"/>
  <c r="K700" i="12"/>
  <c r="U21" i="11" s="1"/>
  <c r="K704" i="12"/>
  <c r="U22" i="11" s="1"/>
  <c r="K708" i="12"/>
  <c r="U23" i="11" s="1"/>
  <c r="K712" i="12"/>
  <c r="U24" i="11" s="1"/>
  <c r="K716" i="12"/>
  <c r="U25" i="11" s="1"/>
  <c r="K720" i="12"/>
  <c r="U26" i="11" s="1"/>
  <c r="K724" i="12"/>
  <c r="U27" i="11" s="1"/>
  <c r="K728" i="12"/>
  <c r="U28" i="11" s="1"/>
  <c r="K732" i="12"/>
  <c r="U29" i="11" s="1"/>
  <c r="K736" i="12"/>
  <c r="U30" i="11" s="1"/>
  <c r="K740" i="12"/>
  <c r="U31" i="11" s="1"/>
  <c r="K744" i="12"/>
  <c r="U32" i="11" s="1"/>
  <c r="K748" i="12"/>
  <c r="U33" i="11" s="1"/>
  <c r="K752" i="12"/>
  <c r="U34" i="11" s="1"/>
  <c r="G756" i="12"/>
  <c r="S35" i="11" s="1"/>
  <c r="K756" i="12"/>
  <c r="U35" i="11" s="1"/>
  <c r="K760" i="12"/>
  <c r="K764" i="12"/>
  <c r="U37" i="11" s="1"/>
  <c r="K768" i="12"/>
  <c r="K772" i="12"/>
  <c r="AE7" i="11" s="1"/>
  <c r="K776" i="12"/>
  <c r="K780" i="12"/>
  <c r="AE9" i="11" s="1"/>
  <c r="K784" i="12"/>
  <c r="K788" i="12"/>
  <c r="AE11" i="11" s="1"/>
  <c r="K792" i="12"/>
  <c r="K796" i="12"/>
  <c r="AE13" i="11" s="1"/>
  <c r="K800" i="12"/>
  <c r="K804" i="12"/>
  <c r="AE15" i="11" s="1"/>
  <c r="K808" i="12"/>
  <c r="K812" i="12"/>
  <c r="AE17" i="11" s="1"/>
  <c r="K816" i="12"/>
  <c r="K820" i="12"/>
  <c r="AE19" i="11" s="1"/>
  <c r="K824" i="12"/>
  <c r="K828" i="12"/>
  <c r="AE21" i="11" s="1"/>
  <c r="K832" i="12"/>
  <c r="K836" i="12"/>
  <c r="AE23" i="11" s="1"/>
  <c r="J838" i="12"/>
  <c r="G844" i="12"/>
  <c r="AC25" i="11" s="1"/>
  <c r="I844" i="12"/>
  <c r="J844" i="12" s="1"/>
  <c r="K842" i="12"/>
  <c r="AE25" i="11" s="1"/>
  <c r="G691" i="12"/>
  <c r="R19" i="11" s="1"/>
  <c r="G695" i="12"/>
  <c r="R20" i="11" s="1"/>
  <c r="G699" i="12"/>
  <c r="R21" i="11" s="1"/>
  <c r="G703" i="12"/>
  <c r="R22" i="11" s="1"/>
  <c r="G707" i="12"/>
  <c r="R23" i="11" s="1"/>
  <c r="G711" i="12"/>
  <c r="R24" i="11" s="1"/>
  <c r="G715" i="12"/>
  <c r="R25" i="11" s="1"/>
  <c r="G719" i="12"/>
  <c r="R26" i="11" s="1"/>
  <c r="G723" i="12"/>
  <c r="R27" i="11" s="1"/>
  <c r="G727" i="12"/>
  <c r="R28" i="11" s="1"/>
  <c r="G731" i="12"/>
  <c r="G735" i="12"/>
  <c r="G739" i="12"/>
  <c r="G743" i="12"/>
  <c r="G747" i="12"/>
  <c r="G751" i="12"/>
  <c r="G755" i="12"/>
  <c r="G759" i="12"/>
  <c r="G763" i="12"/>
  <c r="G767" i="12"/>
  <c r="G771" i="12"/>
  <c r="AB7" i="11" s="1"/>
  <c r="G775" i="12"/>
  <c r="AB8" i="11" s="1"/>
  <c r="G779" i="12"/>
  <c r="AB9" i="11" s="1"/>
  <c r="G783" i="12"/>
  <c r="AB10" i="11" s="1"/>
  <c r="G787" i="12"/>
  <c r="AB11" i="11" s="1"/>
  <c r="G791" i="12"/>
  <c r="AB12" i="11" s="1"/>
  <c r="G795" i="12"/>
  <c r="AB13" i="11" s="1"/>
  <c r="G799" i="12"/>
  <c r="AB14" i="11" s="1"/>
  <c r="G803" i="12"/>
  <c r="AB15" i="11" s="1"/>
  <c r="G807" i="12"/>
  <c r="AB16" i="11" s="1"/>
  <c r="G811" i="12"/>
  <c r="AB17" i="11" s="1"/>
  <c r="G815" i="12"/>
  <c r="AB18" i="11" s="1"/>
  <c r="G819" i="12"/>
  <c r="AB19" i="11" s="1"/>
  <c r="G823" i="12"/>
  <c r="AB20" i="11" s="1"/>
  <c r="G827" i="12"/>
  <c r="AB21" i="11" s="1"/>
  <c r="G831" i="12"/>
  <c r="AB22" i="11" s="1"/>
  <c r="G835" i="12"/>
  <c r="AB23" i="11" s="1"/>
  <c r="K839" i="12"/>
  <c r="K838" i="12"/>
  <c r="I839" i="12"/>
  <c r="J839" i="12" s="1"/>
  <c r="K840" i="12"/>
  <c r="K847" i="12"/>
  <c r="K848" i="12"/>
  <c r="G848" i="12"/>
  <c r="AC26" i="11" s="1"/>
  <c r="I848" i="12"/>
  <c r="J848" i="12" s="1"/>
  <c r="K846" i="12"/>
  <c r="AE26" i="11" s="1"/>
  <c r="K841" i="12"/>
  <c r="J843" i="12"/>
  <c r="G852" i="12"/>
  <c r="AC27" i="11" s="1"/>
  <c r="I852" i="12"/>
  <c r="J852" i="12" s="1"/>
  <c r="K850" i="12"/>
  <c r="AE27" i="11" s="1"/>
  <c r="G843" i="12"/>
  <c r="AB25" i="11" s="1"/>
  <c r="G847" i="12"/>
  <c r="AB26" i="11" s="1"/>
  <c r="G851" i="12"/>
  <c r="AB27" i="11" s="1"/>
  <c r="G855" i="12"/>
  <c r="AB28" i="11" s="1"/>
  <c r="G859" i="12"/>
  <c r="AB29" i="11" s="1"/>
  <c r="G863" i="12"/>
  <c r="AB30" i="11" s="1"/>
  <c r="G867" i="12"/>
  <c r="AB31" i="11" s="1"/>
  <c r="G871" i="12"/>
  <c r="AB32" i="11" s="1"/>
  <c r="G875" i="12"/>
  <c r="AB33" i="11" s="1"/>
  <c r="G879" i="12"/>
  <c r="AB34" i="11" s="1"/>
  <c r="G883" i="12"/>
  <c r="AB35" i="11" s="1"/>
  <c r="G887" i="12"/>
  <c r="AB36" i="11" s="1"/>
  <c r="G891" i="12"/>
  <c r="AB37" i="11" s="1"/>
  <c r="K895" i="12"/>
  <c r="K899" i="12"/>
  <c r="K903" i="12"/>
  <c r="K907" i="12"/>
  <c r="K911" i="12"/>
  <c r="K915" i="12"/>
  <c r="K919" i="12"/>
  <c r="K923" i="12"/>
  <c r="K928" i="12"/>
  <c r="K927" i="12"/>
  <c r="J931" i="12"/>
  <c r="J935" i="12"/>
  <c r="K939" i="12"/>
  <c r="K854" i="12"/>
  <c r="AE28" i="11" s="1"/>
  <c r="I856" i="12"/>
  <c r="J856" i="12" s="1"/>
  <c r="K858" i="12"/>
  <c r="I860" i="12"/>
  <c r="J860" i="12" s="1"/>
  <c r="K862" i="12"/>
  <c r="AE30" i="11" s="1"/>
  <c r="I864" i="12"/>
  <c r="J864" i="12" s="1"/>
  <c r="K866" i="12"/>
  <c r="I868" i="12"/>
  <c r="J868" i="12" s="1"/>
  <c r="K870" i="12"/>
  <c r="AE32" i="11" s="1"/>
  <c r="I872" i="12"/>
  <c r="J872" i="12" s="1"/>
  <c r="K874" i="12"/>
  <c r="I876" i="12"/>
  <c r="J876" i="12" s="1"/>
  <c r="K878" i="12"/>
  <c r="AE34" i="11" s="1"/>
  <c r="I880" i="12"/>
  <c r="J880" i="12" s="1"/>
  <c r="K882" i="12"/>
  <c r="I884" i="12"/>
  <c r="J884" i="12" s="1"/>
  <c r="K886" i="12"/>
  <c r="AE36" i="11" s="1"/>
  <c r="I888" i="12"/>
  <c r="J888" i="12" s="1"/>
  <c r="K890" i="12"/>
  <c r="I892" i="12"/>
  <c r="J892" i="12" s="1"/>
  <c r="G894" i="12"/>
  <c r="AA38" i="11" s="1"/>
  <c r="K894" i="12"/>
  <c r="I896" i="12"/>
  <c r="J896" i="12" s="1"/>
  <c r="G898" i="12"/>
  <c r="AK7" i="11" s="1"/>
  <c r="K898" i="12"/>
  <c r="AO7" i="11" s="1"/>
  <c r="I900" i="12"/>
  <c r="J900" i="12" s="1"/>
  <c r="G902" i="12"/>
  <c r="AK8" i="11" s="1"/>
  <c r="K902" i="12"/>
  <c r="I904" i="12"/>
  <c r="J904" i="12" s="1"/>
  <c r="G906" i="12"/>
  <c r="AK9" i="11" s="1"/>
  <c r="K906" i="12"/>
  <c r="I908" i="12"/>
  <c r="J908" i="12" s="1"/>
  <c r="G910" i="12"/>
  <c r="AK10" i="11" s="1"/>
  <c r="K910" i="12"/>
  <c r="I912" i="12"/>
  <c r="J912" i="12" s="1"/>
  <c r="G914" i="12"/>
  <c r="AK11" i="11" s="1"/>
  <c r="K914" i="12"/>
  <c r="AO11" i="11" s="1"/>
  <c r="I916" i="12"/>
  <c r="J916" i="12" s="1"/>
  <c r="G918" i="12"/>
  <c r="AK12" i="11" s="1"/>
  <c r="K918" i="12"/>
  <c r="I920" i="12"/>
  <c r="J920" i="12" s="1"/>
  <c r="K922" i="12"/>
  <c r="I924" i="12"/>
  <c r="J924" i="12" s="1"/>
  <c r="K926" i="12"/>
  <c r="K932" i="12"/>
  <c r="I930" i="12"/>
  <c r="J930" i="12" s="1"/>
  <c r="K930" i="12"/>
  <c r="G930" i="12"/>
  <c r="AK15" i="11" s="1"/>
  <c r="K931" i="12"/>
  <c r="K935" i="12"/>
  <c r="K936" i="12"/>
  <c r="I934" i="12"/>
  <c r="J934" i="12" s="1"/>
  <c r="K934" i="12"/>
  <c r="AO16" i="11" s="1"/>
  <c r="G934" i="12"/>
  <c r="AK16" i="11" s="1"/>
  <c r="J939" i="12"/>
  <c r="K857" i="12"/>
  <c r="K861" i="12"/>
  <c r="K865" i="12"/>
  <c r="K869" i="12"/>
  <c r="K873" i="12"/>
  <c r="K877" i="12"/>
  <c r="K881" i="12"/>
  <c r="K885" i="12"/>
  <c r="K889" i="12"/>
  <c r="K893" i="12"/>
  <c r="K897" i="12"/>
  <c r="K901" i="12"/>
  <c r="K905" i="12"/>
  <c r="K909" i="12"/>
  <c r="K913" i="12"/>
  <c r="K917" i="12"/>
  <c r="K921" i="12"/>
  <c r="K925" i="12"/>
  <c r="J929" i="12"/>
  <c r="J933" i="12"/>
  <c r="G936" i="12"/>
  <c r="AM16" i="11" s="1"/>
  <c r="I936" i="12"/>
  <c r="J936" i="12" s="1"/>
  <c r="K937" i="12"/>
  <c r="I894" i="12"/>
  <c r="J894" i="12" s="1"/>
  <c r="I898" i="12"/>
  <c r="J898" i="12" s="1"/>
  <c r="I902" i="12"/>
  <c r="J902" i="12" s="1"/>
  <c r="I906" i="12"/>
  <c r="J906" i="12" s="1"/>
  <c r="I910" i="12"/>
  <c r="J910" i="12" s="1"/>
  <c r="I914" i="12"/>
  <c r="J914" i="12" s="1"/>
  <c r="I918" i="12"/>
  <c r="J918" i="12" s="1"/>
  <c r="I922" i="12"/>
  <c r="J922" i="12" s="1"/>
  <c r="I926" i="12"/>
  <c r="J926" i="12" s="1"/>
  <c r="G928" i="12"/>
  <c r="AM14" i="11" s="1"/>
  <c r="K929" i="12"/>
  <c r="G932" i="12"/>
  <c r="AM15" i="11" s="1"/>
  <c r="I932" i="12"/>
  <c r="J932" i="12" s="1"/>
  <c r="K933" i="12"/>
  <c r="G940" i="12"/>
  <c r="AM17" i="11" s="1"/>
  <c r="I940" i="12"/>
  <c r="J940" i="12" s="1"/>
  <c r="K941" i="12"/>
  <c r="G938" i="12"/>
  <c r="AK17" i="11" s="1"/>
  <c r="K938" i="12"/>
  <c r="G942" i="12"/>
  <c r="AK18" i="11" s="1"/>
  <c r="K942" i="12"/>
  <c r="I944" i="12"/>
  <c r="J944" i="12" s="1"/>
  <c r="G946" i="12"/>
  <c r="AK19" i="11" s="1"/>
  <c r="K946" i="12"/>
  <c r="I948" i="12"/>
  <c r="J948" i="12" s="1"/>
  <c r="G950" i="12"/>
  <c r="AK20" i="11" s="1"/>
  <c r="K950" i="12"/>
  <c r="AO20" i="11" s="1"/>
  <c r="I952" i="12"/>
  <c r="J952" i="12" s="1"/>
  <c r="G954" i="12"/>
  <c r="AK21" i="11" s="1"/>
  <c r="K954" i="12"/>
  <c r="I956" i="12"/>
  <c r="J956" i="12" s="1"/>
  <c r="G958" i="12"/>
  <c r="AK22" i="11" s="1"/>
  <c r="K958" i="12"/>
  <c r="I960" i="12"/>
  <c r="J960" i="12" s="1"/>
  <c r="G962" i="12"/>
  <c r="AK23" i="11" s="1"/>
  <c r="K962" i="12"/>
  <c r="I964" i="12"/>
  <c r="J964" i="12" s="1"/>
  <c r="G966" i="12"/>
  <c r="AK24" i="11" s="1"/>
  <c r="K966" i="12"/>
  <c r="AO24" i="11" s="1"/>
  <c r="I968" i="12"/>
  <c r="J968" i="12" s="1"/>
  <c r="G970" i="12"/>
  <c r="AK25" i="11" s="1"/>
  <c r="K970" i="12"/>
  <c r="I972" i="12"/>
  <c r="J972" i="12" s="1"/>
  <c r="G974" i="12"/>
  <c r="AK26" i="11" s="1"/>
  <c r="K974" i="12"/>
  <c r="I976" i="12"/>
  <c r="J976" i="12" s="1"/>
  <c r="G978" i="12"/>
  <c r="AK27" i="11" s="1"/>
  <c r="K978" i="12"/>
  <c r="I980" i="12"/>
  <c r="J980" i="12" s="1"/>
  <c r="G982" i="12"/>
  <c r="AK28" i="11" s="1"/>
  <c r="K982" i="12"/>
  <c r="AO28" i="11" s="1"/>
  <c r="I984" i="12"/>
  <c r="J984" i="12" s="1"/>
  <c r="G986" i="12"/>
  <c r="AK29" i="11" s="1"/>
  <c r="K986" i="12"/>
  <c r="I988" i="12"/>
  <c r="J988" i="12" s="1"/>
  <c r="G990" i="12"/>
  <c r="AK30" i="11" s="1"/>
  <c r="K990" i="12"/>
  <c r="I992" i="12"/>
  <c r="J992" i="12" s="1"/>
  <c r="G994" i="12"/>
  <c r="AK31" i="11" s="1"/>
  <c r="K994" i="12"/>
  <c r="I996" i="12"/>
  <c r="J996" i="12" s="1"/>
  <c r="G998" i="12"/>
  <c r="AK32" i="11" s="1"/>
  <c r="K998" i="12"/>
  <c r="AO32" i="11" s="1"/>
  <c r="I1000" i="12"/>
  <c r="J1000" i="12" s="1"/>
  <c r="G1002" i="12"/>
  <c r="AK33" i="11" s="1"/>
  <c r="K1002" i="12"/>
  <c r="I1004" i="12"/>
  <c r="J1004" i="12" s="1"/>
  <c r="G1006" i="12"/>
  <c r="AK34" i="11" s="1"/>
  <c r="K1006" i="12"/>
  <c r="I1021" i="12"/>
  <c r="J1021" i="12" s="1"/>
  <c r="K945" i="12"/>
  <c r="K949" i="12"/>
  <c r="K953" i="12"/>
  <c r="K957" i="12"/>
  <c r="K961" i="12"/>
  <c r="K965" i="12"/>
  <c r="K969" i="12"/>
  <c r="K973" i="12"/>
  <c r="K977" i="12"/>
  <c r="K981" i="12"/>
  <c r="K985" i="12"/>
  <c r="K989" i="12"/>
  <c r="K993" i="12"/>
  <c r="K997" i="12"/>
  <c r="K1001" i="12"/>
  <c r="K1005" i="12"/>
  <c r="K1008" i="12"/>
  <c r="I1015" i="12"/>
  <c r="J1015" i="12" s="1"/>
  <c r="K1019" i="12"/>
  <c r="I938" i="12"/>
  <c r="J938" i="12" s="1"/>
  <c r="K940" i="12"/>
  <c r="I942" i="12"/>
  <c r="J942" i="12" s="1"/>
  <c r="K944" i="12"/>
  <c r="I946" i="12"/>
  <c r="J946" i="12" s="1"/>
  <c r="K948" i="12"/>
  <c r="I950" i="12"/>
  <c r="J950" i="12" s="1"/>
  <c r="K952" i="12"/>
  <c r="I954" i="12"/>
  <c r="J954" i="12" s="1"/>
  <c r="K956" i="12"/>
  <c r="I958" i="12"/>
  <c r="J958" i="12" s="1"/>
  <c r="K960" i="12"/>
  <c r="I962" i="12"/>
  <c r="J962" i="12" s="1"/>
  <c r="K964" i="12"/>
  <c r="I966" i="12"/>
  <c r="J966" i="12" s="1"/>
  <c r="K968" i="12"/>
  <c r="I970" i="12"/>
  <c r="J970" i="12" s="1"/>
  <c r="K972" i="12"/>
  <c r="I974" i="12"/>
  <c r="J974" i="12" s="1"/>
  <c r="K976" i="12"/>
  <c r="I978" i="12"/>
  <c r="J978" i="12" s="1"/>
  <c r="K980" i="12"/>
  <c r="I982" i="12"/>
  <c r="J982" i="12" s="1"/>
  <c r="K984" i="12"/>
  <c r="I986" i="12"/>
  <c r="J986" i="12" s="1"/>
  <c r="K988" i="12"/>
  <c r="I990" i="12"/>
  <c r="J990" i="12" s="1"/>
  <c r="K992" i="12"/>
  <c r="I994" i="12"/>
  <c r="J994" i="12" s="1"/>
  <c r="K996" i="12"/>
  <c r="I998" i="12"/>
  <c r="J998" i="12" s="1"/>
  <c r="K1000" i="12"/>
  <c r="I1002" i="12"/>
  <c r="J1002" i="12" s="1"/>
  <c r="K1004" i="12"/>
  <c r="G1019" i="12"/>
  <c r="AL37" i="11" s="1"/>
  <c r="K1018" i="12"/>
  <c r="K1020" i="12"/>
  <c r="K1007" i="12"/>
  <c r="I1009" i="12"/>
  <c r="J1009" i="12" s="1"/>
  <c r="K1009" i="12"/>
  <c r="I1013" i="12"/>
  <c r="J1013" i="12" s="1"/>
  <c r="K1013" i="12"/>
  <c r="AO35" i="11" s="1"/>
  <c r="G1015" i="12"/>
  <c r="AL36" i="11" s="1"/>
  <c r="I1017" i="12"/>
  <c r="J1017" i="12" s="1"/>
  <c r="K1017" i="12"/>
  <c r="AO36" i="11" s="1"/>
  <c r="G1022" i="12"/>
  <c r="AK38" i="11" s="1"/>
  <c r="HQ3" i="18"/>
  <c r="HQ5" i="18"/>
  <c r="HU10" i="18"/>
  <c r="HR23" i="18"/>
  <c r="HU23" i="18"/>
  <c r="HQ23" i="18"/>
  <c r="HR28" i="18"/>
  <c r="HU28" i="18"/>
  <c r="HQ28" i="18"/>
  <c r="HU29" i="18"/>
  <c r="G1021" i="12"/>
  <c r="K1021" i="12"/>
  <c r="I1023" i="12"/>
  <c r="J1023" i="12" s="1"/>
  <c r="G1025" i="12"/>
  <c r="K1025" i="12"/>
  <c r="HT3" i="18"/>
  <c r="HP4" i="18"/>
  <c r="HS5" i="18"/>
  <c r="HT5" i="18"/>
  <c r="HP7" i="18"/>
  <c r="HR11" i="18"/>
  <c r="HS11" i="18"/>
  <c r="HQ11" i="18"/>
  <c r="HR13" i="18"/>
  <c r="HT14" i="18"/>
  <c r="HT15" i="18"/>
  <c r="HS18" i="18"/>
  <c r="HT23" i="18"/>
  <c r="HT28" i="18"/>
  <c r="HP30" i="18"/>
  <c r="HR35" i="18"/>
  <c r="HU35" i="18"/>
  <c r="HQ35" i="18"/>
  <c r="I1022" i="12"/>
  <c r="J1022" i="12" s="1"/>
  <c r="K1024" i="12"/>
  <c r="AO38" i="11" s="1"/>
  <c r="HQ4" i="18"/>
  <c r="HQ7" i="18"/>
  <c r="HR8" i="18"/>
  <c r="HU9" i="18"/>
  <c r="HS9" i="18"/>
  <c r="HT11" i="18"/>
  <c r="HU13" i="18"/>
  <c r="HU18" i="18"/>
  <c r="HU22" i="18"/>
  <c r="HT24" i="18"/>
  <c r="HS29" i="18"/>
  <c r="HT35" i="18"/>
  <c r="L59" i="18"/>
  <c r="K59" i="18"/>
  <c r="I59" i="18"/>
  <c r="L63" i="18"/>
  <c r="K63" i="18"/>
  <c r="I63" i="18"/>
  <c r="HS3" i="18"/>
  <c r="HR3" i="18"/>
  <c r="HP3" i="18"/>
  <c r="HR4" i="18"/>
  <c r="HR5" i="18"/>
  <c r="HP6" i="18"/>
  <c r="HT6" i="18"/>
  <c r="HT7" i="18"/>
  <c r="HT9" i="18"/>
  <c r="HS10" i="18"/>
  <c r="HT10" i="18"/>
  <c r="HP10" i="18"/>
  <c r="HR10" i="18"/>
  <c r="HU11" i="18"/>
  <c r="HT13" i="18"/>
  <c r="HP13" i="18"/>
  <c r="HP14" i="18"/>
  <c r="HP15" i="18"/>
  <c r="HS15" i="18"/>
  <c r="HU16" i="18"/>
  <c r="HS16" i="18"/>
  <c r="HT17" i="18"/>
  <c r="HR18" i="18"/>
  <c r="HR19" i="18"/>
  <c r="HU19" i="18"/>
  <c r="HQ19" i="18"/>
  <c r="HS21" i="18"/>
  <c r="HS23" i="18"/>
  <c r="HU24" i="18"/>
  <c r="HP25" i="18"/>
  <c r="HS25" i="18"/>
  <c r="HS26" i="18"/>
  <c r="HT27" i="18"/>
  <c r="HS28" i="18"/>
  <c r="HP29" i="18"/>
  <c r="HR29" i="18"/>
  <c r="HT30" i="18"/>
  <c r="HU32" i="18"/>
  <c r="HS4" i="18"/>
  <c r="HQ6" i="18"/>
  <c r="HU6" i="18"/>
  <c r="HQ9" i="18"/>
  <c r="HR12" i="18"/>
  <c r="HQ13" i="18"/>
  <c r="HQ14" i="18"/>
  <c r="HU14" i="18"/>
  <c r="HQ15" i="18"/>
  <c r="HU15" i="18"/>
  <c r="HQ17" i="18"/>
  <c r="HQ20" i="18"/>
  <c r="HQ24" i="18"/>
  <c r="HQ25" i="18"/>
  <c r="HQ27" i="18"/>
  <c r="HT29" i="18"/>
  <c r="HQ30" i="18"/>
  <c r="HU30" i="18"/>
  <c r="HR31" i="18"/>
  <c r="HR32" i="18"/>
  <c r="I60" i="18"/>
  <c r="I61" i="18"/>
  <c r="I62" i="18"/>
  <c r="I64" i="18"/>
  <c r="I65" i="18"/>
  <c r="HT16" i="18"/>
  <c r="HS17" i="18"/>
  <c r="HT18" i="18"/>
  <c r="HS20" i="18"/>
  <c r="HT21" i="18"/>
  <c r="HT22" i="18"/>
  <c r="HS24" i="18"/>
  <c r="HT26" i="18"/>
  <c r="HS27" i="18"/>
  <c r="HS30" i="18"/>
  <c r="HT31" i="18"/>
  <c r="HT32" i="18"/>
  <c r="K60" i="18"/>
  <c r="K61" i="18"/>
  <c r="K62" i="18"/>
  <c r="K64" i="18"/>
  <c r="K65" i="18"/>
  <c r="HQ12" i="18"/>
  <c r="HQ16" i="18"/>
  <c r="HQ18" i="18"/>
  <c r="HP20" i="18"/>
  <c r="HQ21" i="18"/>
  <c r="HQ22" i="18"/>
  <c r="HP24" i="18"/>
  <c r="HQ26" i="18"/>
  <c r="HQ31" i="18"/>
  <c r="HQ32" i="18"/>
  <c r="J8" i="11" l="1"/>
  <c r="J7" i="10"/>
  <c r="B9" i="11"/>
  <c r="B8" i="10"/>
  <c r="E35" i="11"/>
  <c r="E34" i="10"/>
  <c r="J9" i="10"/>
  <c r="J10" i="11"/>
  <c r="B12" i="11"/>
  <c r="B11" i="10"/>
  <c r="B7" i="11"/>
  <c r="B6" i="10"/>
  <c r="J13" i="11"/>
  <c r="J12" i="10"/>
  <c r="E29" i="11"/>
  <c r="E28" i="10"/>
  <c r="E32" i="11"/>
  <c r="E31" i="10"/>
  <c r="B11" i="11"/>
  <c r="B10" i="10"/>
  <c r="B10" i="11"/>
  <c r="B9" i="10"/>
  <c r="B8" i="11"/>
  <c r="B7" i="10"/>
  <c r="D38" i="11"/>
  <c r="D37" i="10"/>
  <c r="AO33" i="11"/>
  <c r="AO29" i="11"/>
  <c r="AO25" i="11"/>
  <c r="AO21" i="11"/>
  <c r="AO14" i="11"/>
  <c r="AO12" i="11"/>
  <c r="AO8" i="11"/>
  <c r="R35" i="11"/>
  <c r="H34" i="10"/>
  <c r="R31" i="11"/>
  <c r="H30" i="10"/>
  <c r="AE20" i="11"/>
  <c r="AE16" i="11"/>
  <c r="AE12" i="11"/>
  <c r="AE8" i="11"/>
  <c r="U36" i="11"/>
  <c r="G38" i="11"/>
  <c r="G37" i="10"/>
  <c r="G34" i="11"/>
  <c r="G33" i="10"/>
  <c r="G29" i="10"/>
  <c r="G30" i="11"/>
  <c r="G25" i="10"/>
  <c r="G26" i="11"/>
  <c r="G21" i="10"/>
  <c r="G22" i="11"/>
  <c r="G17" i="10"/>
  <c r="G18" i="11"/>
  <c r="K35" i="11"/>
  <c r="K34" i="10"/>
  <c r="K31" i="11"/>
  <c r="K30" i="10"/>
  <c r="I37" i="11"/>
  <c r="I36" i="10"/>
  <c r="K27" i="11"/>
  <c r="K26" i="10"/>
  <c r="K23" i="11"/>
  <c r="K22" i="10"/>
  <c r="K19" i="11"/>
  <c r="K18" i="10"/>
  <c r="H28" i="11"/>
  <c r="H27" i="10"/>
  <c r="I25" i="10"/>
  <c r="I26" i="11"/>
  <c r="H24" i="11"/>
  <c r="H23" i="10"/>
  <c r="I21" i="10"/>
  <c r="I22" i="11"/>
  <c r="H20" i="11"/>
  <c r="H19" i="10"/>
  <c r="I17" i="10"/>
  <c r="I18" i="11"/>
  <c r="K15" i="11"/>
  <c r="K14" i="10"/>
  <c r="K13" i="10"/>
  <c r="K14" i="11"/>
  <c r="K12" i="10"/>
  <c r="K13" i="11"/>
  <c r="G9" i="10"/>
  <c r="G10" i="11"/>
  <c r="K8" i="10"/>
  <c r="K9" i="11"/>
  <c r="AF38" i="11"/>
  <c r="B37" i="10"/>
  <c r="B27" i="10"/>
  <c r="AF28" i="11"/>
  <c r="AF26" i="11"/>
  <c r="B25" i="10"/>
  <c r="B23" i="10"/>
  <c r="AF24" i="11"/>
  <c r="AF22" i="11"/>
  <c r="B21" i="10"/>
  <c r="H17" i="10"/>
  <c r="H18" i="11"/>
  <c r="H16" i="11"/>
  <c r="H15" i="10"/>
  <c r="H13" i="10"/>
  <c r="H14" i="11"/>
  <c r="H10" i="10"/>
  <c r="H11" i="11"/>
  <c r="H7" i="11"/>
  <c r="H6" i="10"/>
  <c r="AH34" i="11"/>
  <c r="D33" i="10"/>
  <c r="AH30" i="11"/>
  <c r="D29" i="10"/>
  <c r="AJ14" i="11"/>
  <c r="AJ19" i="11"/>
  <c r="AF18" i="11"/>
  <c r="B17" i="10"/>
  <c r="P23" i="11"/>
  <c r="P19" i="11"/>
  <c r="P15" i="11"/>
  <c r="P11" i="11"/>
  <c r="P7" i="11"/>
  <c r="E14" i="10"/>
  <c r="O15" i="11"/>
  <c r="B33" i="11"/>
  <c r="B32" i="10"/>
  <c r="F37" i="11"/>
  <c r="F36" i="10"/>
  <c r="F36" i="11"/>
  <c r="F35" i="10"/>
  <c r="F35" i="11"/>
  <c r="F34" i="10"/>
  <c r="F34" i="11"/>
  <c r="F33" i="10"/>
  <c r="F33" i="11"/>
  <c r="F32" i="10"/>
  <c r="F27" i="11"/>
  <c r="F26" i="10"/>
  <c r="F25" i="11"/>
  <c r="F24" i="10"/>
  <c r="F23" i="11"/>
  <c r="F22" i="10"/>
  <c r="F21" i="11"/>
  <c r="F20" i="10"/>
  <c r="F19" i="11"/>
  <c r="F18" i="10"/>
  <c r="F17" i="11"/>
  <c r="F16" i="10"/>
  <c r="F15" i="11"/>
  <c r="F14" i="10"/>
  <c r="F11" i="11"/>
  <c r="F10" i="10"/>
  <c r="F14" i="11"/>
  <c r="F13" i="10"/>
  <c r="F13" i="11"/>
  <c r="F12" i="10"/>
  <c r="F12" i="11"/>
  <c r="F11" i="10"/>
  <c r="F9" i="11"/>
  <c r="AO34" i="11"/>
  <c r="AO30" i="11"/>
  <c r="AO22" i="11"/>
  <c r="AO15" i="11"/>
  <c r="AO9" i="11"/>
  <c r="AE37" i="11"/>
  <c r="AE35" i="11"/>
  <c r="AE33" i="11"/>
  <c r="AE31" i="11"/>
  <c r="AE29" i="11"/>
  <c r="R38" i="11"/>
  <c r="H37" i="10"/>
  <c r="R34" i="11"/>
  <c r="H33" i="10"/>
  <c r="R30" i="11"/>
  <c r="H29" i="10"/>
  <c r="J14" i="10"/>
  <c r="T15" i="11"/>
  <c r="G37" i="11"/>
  <c r="G36" i="10"/>
  <c r="G33" i="11"/>
  <c r="G32" i="10"/>
  <c r="G28" i="10"/>
  <c r="G29" i="11"/>
  <c r="G24" i="10"/>
  <c r="G25" i="11"/>
  <c r="G20" i="10"/>
  <c r="G21" i="11"/>
  <c r="G16" i="10"/>
  <c r="G17" i="11"/>
  <c r="U17" i="11"/>
  <c r="U14" i="11"/>
  <c r="U10" i="11"/>
  <c r="K38" i="11"/>
  <c r="K37" i="10"/>
  <c r="K34" i="11"/>
  <c r="K33" i="10"/>
  <c r="K29" i="10"/>
  <c r="K30" i="11"/>
  <c r="I13" i="10"/>
  <c r="S14" i="11"/>
  <c r="I11" i="10"/>
  <c r="S12" i="11"/>
  <c r="I9" i="10"/>
  <c r="S10" i="11"/>
  <c r="I7" i="10"/>
  <c r="S8" i="11"/>
  <c r="I38" i="11"/>
  <c r="I37" i="10"/>
  <c r="I35" i="11"/>
  <c r="I34" i="10"/>
  <c r="I33" i="11"/>
  <c r="I32" i="10"/>
  <c r="I31" i="11"/>
  <c r="I30" i="10"/>
  <c r="I29" i="11"/>
  <c r="I28" i="10"/>
  <c r="K25" i="10"/>
  <c r="K26" i="11"/>
  <c r="K21" i="10"/>
  <c r="K22" i="11"/>
  <c r="I27" i="11"/>
  <c r="I26" i="10"/>
  <c r="H24" i="10"/>
  <c r="H25" i="11"/>
  <c r="I23" i="11"/>
  <c r="I22" i="10"/>
  <c r="H20" i="10"/>
  <c r="H21" i="11"/>
  <c r="I19" i="11"/>
  <c r="I18" i="10"/>
  <c r="I15" i="11"/>
  <c r="I14" i="10"/>
  <c r="G10" i="10"/>
  <c r="G11" i="11"/>
  <c r="K9" i="10"/>
  <c r="K10" i="11"/>
  <c r="G6" i="10"/>
  <c r="G7" i="11"/>
  <c r="AJ35" i="11"/>
  <c r="AJ31" i="11"/>
  <c r="AJ27" i="11"/>
  <c r="AJ23" i="11"/>
  <c r="K17" i="10"/>
  <c r="K18" i="11"/>
  <c r="K15" i="10"/>
  <c r="K16" i="11"/>
  <c r="H12" i="11"/>
  <c r="H11" i="10"/>
  <c r="H8" i="11"/>
  <c r="H7" i="10"/>
  <c r="AH35" i="11"/>
  <c r="D34" i="10"/>
  <c r="AH31" i="11"/>
  <c r="D30" i="10"/>
  <c r="B14" i="10"/>
  <c r="AF15" i="11"/>
  <c r="AF21" i="11"/>
  <c r="B20" i="10"/>
  <c r="AJ15" i="11"/>
  <c r="B19" i="10"/>
  <c r="AF20" i="11"/>
  <c r="AJ18" i="11"/>
  <c r="B16" i="10"/>
  <c r="AF17" i="11"/>
  <c r="C7" i="10"/>
  <c r="AG8" i="11"/>
  <c r="W38" i="11"/>
  <c r="C37" i="10"/>
  <c r="W36" i="11"/>
  <c r="C35" i="10"/>
  <c r="W34" i="11"/>
  <c r="C33" i="10"/>
  <c r="W32" i="11"/>
  <c r="C31" i="10"/>
  <c r="C29" i="10"/>
  <c r="W30" i="11"/>
  <c r="C27" i="10"/>
  <c r="W28" i="11"/>
  <c r="C25" i="10"/>
  <c r="W26" i="11"/>
  <c r="C23" i="10"/>
  <c r="W24" i="11"/>
  <c r="C21" i="10"/>
  <c r="W22" i="11"/>
  <c r="C19" i="10"/>
  <c r="W20" i="11"/>
  <c r="C17" i="10"/>
  <c r="W18" i="11"/>
  <c r="C15" i="10"/>
  <c r="W16" i="11"/>
  <c r="C13" i="10"/>
  <c r="W14" i="11"/>
  <c r="C11" i="10"/>
  <c r="W12" i="11"/>
  <c r="C9" i="10"/>
  <c r="W10" i="11"/>
  <c r="Z8" i="11"/>
  <c r="P38" i="11"/>
  <c r="P36" i="11"/>
  <c r="P34" i="11"/>
  <c r="P32" i="11"/>
  <c r="P30" i="11"/>
  <c r="P28" i="11"/>
  <c r="P26" i="11"/>
  <c r="P22" i="11"/>
  <c r="P18" i="11"/>
  <c r="P14" i="11"/>
  <c r="P10" i="11"/>
  <c r="F37" i="10"/>
  <c r="O25" i="11"/>
  <c r="E24" i="10"/>
  <c r="E23" i="10"/>
  <c r="O24" i="11"/>
  <c r="E22" i="10"/>
  <c r="O23" i="11"/>
  <c r="E21" i="10"/>
  <c r="O22" i="11"/>
  <c r="O21" i="11"/>
  <c r="E20" i="10"/>
  <c r="E19" i="10"/>
  <c r="O20" i="11"/>
  <c r="E18" i="10"/>
  <c r="O19" i="11"/>
  <c r="B37" i="11"/>
  <c r="B36" i="10"/>
  <c r="B35" i="11"/>
  <c r="B34" i="10"/>
  <c r="B32" i="11"/>
  <c r="B31" i="10"/>
  <c r="E17" i="10"/>
  <c r="O18" i="11"/>
  <c r="F30" i="11"/>
  <c r="F29" i="10"/>
  <c r="F29" i="11"/>
  <c r="F28" i="10"/>
  <c r="D27" i="11"/>
  <c r="D26" i="10"/>
  <c r="D24" i="10"/>
  <c r="D25" i="11"/>
  <c r="D23" i="11"/>
  <c r="D22" i="10"/>
  <c r="D20" i="10"/>
  <c r="D21" i="11"/>
  <c r="D18" i="10"/>
  <c r="D19" i="11"/>
  <c r="D16" i="10"/>
  <c r="D17" i="11"/>
  <c r="D14" i="10"/>
  <c r="D15" i="11"/>
  <c r="D12" i="10"/>
  <c r="D13" i="11"/>
  <c r="D11" i="11"/>
  <c r="D10" i="10"/>
  <c r="D8" i="10"/>
  <c r="D9" i="11"/>
  <c r="D6" i="10"/>
  <c r="D7" i="11"/>
  <c r="E9" i="10"/>
  <c r="E10" i="11"/>
  <c r="E7" i="10"/>
  <c r="E8" i="11"/>
  <c r="F6" i="10"/>
  <c r="AO17" i="11"/>
  <c r="AO37" i="11"/>
  <c r="AO26" i="11"/>
  <c r="AO18" i="11"/>
  <c r="AN37" i="11"/>
  <c r="J36" i="10"/>
  <c r="AO31" i="11"/>
  <c r="AO27" i="11"/>
  <c r="AO23" i="11"/>
  <c r="AO19" i="11"/>
  <c r="AO13" i="11"/>
  <c r="AO10" i="11"/>
  <c r="AE38" i="11"/>
  <c r="AE24" i="11"/>
  <c r="R37" i="11"/>
  <c r="H36" i="10"/>
  <c r="R33" i="11"/>
  <c r="H32" i="10"/>
  <c r="R29" i="11"/>
  <c r="H28" i="10"/>
  <c r="AE22" i="11"/>
  <c r="AE18" i="11"/>
  <c r="AE14" i="11"/>
  <c r="AE10" i="11"/>
  <c r="U38" i="11"/>
  <c r="U15" i="11"/>
  <c r="G36" i="11"/>
  <c r="G35" i="10"/>
  <c r="G32" i="11"/>
  <c r="G31" i="10"/>
  <c r="G27" i="10"/>
  <c r="G28" i="11"/>
  <c r="G23" i="10"/>
  <c r="G24" i="11"/>
  <c r="G19" i="10"/>
  <c r="G20" i="11"/>
  <c r="G15" i="10"/>
  <c r="G16" i="11"/>
  <c r="K37" i="11"/>
  <c r="K36" i="10"/>
  <c r="K33" i="11"/>
  <c r="K32" i="10"/>
  <c r="K28" i="10"/>
  <c r="K29" i="11"/>
  <c r="K24" i="10"/>
  <c r="K25" i="11"/>
  <c r="K20" i="10"/>
  <c r="K21" i="11"/>
  <c r="I28" i="11"/>
  <c r="I27" i="10"/>
  <c r="H25" i="10"/>
  <c r="H26" i="11"/>
  <c r="I24" i="11"/>
  <c r="I23" i="10"/>
  <c r="H21" i="10"/>
  <c r="H22" i="11"/>
  <c r="I19" i="10"/>
  <c r="I20" i="11"/>
  <c r="I16" i="11"/>
  <c r="I15" i="10"/>
  <c r="G11" i="10"/>
  <c r="G12" i="11"/>
  <c r="K10" i="10"/>
  <c r="K11" i="11"/>
  <c r="G7" i="10"/>
  <c r="G8" i="11"/>
  <c r="K6" i="10"/>
  <c r="K7" i="11"/>
  <c r="AF29" i="11"/>
  <c r="B28" i="10"/>
  <c r="B26" i="10"/>
  <c r="AF27" i="11"/>
  <c r="B24" i="10"/>
  <c r="AF25" i="11"/>
  <c r="B22" i="10"/>
  <c r="AF23" i="11"/>
  <c r="H16" i="10"/>
  <c r="H17" i="11"/>
  <c r="H14" i="10"/>
  <c r="H15" i="11"/>
  <c r="H12" i="10"/>
  <c r="H13" i="11"/>
  <c r="H8" i="10"/>
  <c r="H9" i="11"/>
  <c r="AH36" i="11"/>
  <c r="D35" i="10"/>
  <c r="AH32" i="11"/>
  <c r="D31" i="10"/>
  <c r="AF14" i="11"/>
  <c r="B13" i="10"/>
  <c r="AJ21" i="11"/>
  <c r="AJ20" i="11"/>
  <c r="AJ17" i="11"/>
  <c r="B15" i="10"/>
  <c r="AF16" i="11"/>
  <c r="P25" i="11"/>
  <c r="P21" i="11"/>
  <c r="P17" i="11"/>
  <c r="P13" i="11"/>
  <c r="P9" i="11"/>
  <c r="B31" i="11"/>
  <c r="B30" i="10"/>
  <c r="F31" i="11"/>
  <c r="F30" i="10"/>
  <c r="O17" i="11"/>
  <c r="E16" i="10"/>
  <c r="E37" i="11"/>
  <c r="E36" i="10"/>
  <c r="E15" i="10"/>
  <c r="O16" i="11"/>
  <c r="F28" i="11"/>
  <c r="F27" i="10"/>
  <c r="F26" i="11"/>
  <c r="F25" i="10"/>
  <c r="F24" i="11"/>
  <c r="F23" i="10"/>
  <c r="F22" i="11"/>
  <c r="F21" i="10"/>
  <c r="F20" i="11"/>
  <c r="F19" i="10"/>
  <c r="F18" i="11"/>
  <c r="F17" i="10"/>
  <c r="F16" i="11"/>
  <c r="F15" i="10"/>
  <c r="F10" i="11"/>
  <c r="F9" i="10"/>
  <c r="F38" i="11"/>
  <c r="E13" i="11"/>
  <c r="E12" i="10"/>
  <c r="E11" i="10"/>
  <c r="E12" i="11"/>
  <c r="E11" i="11"/>
  <c r="E10" i="10"/>
  <c r="F7" i="10"/>
  <c r="AN38" i="11"/>
  <c r="J37" i="10"/>
  <c r="R36" i="11"/>
  <c r="H35" i="10"/>
  <c r="R32" i="11"/>
  <c r="H31" i="10"/>
  <c r="G35" i="11"/>
  <c r="G34" i="10"/>
  <c r="G31" i="11"/>
  <c r="G30" i="10"/>
  <c r="G27" i="11"/>
  <c r="G26" i="10"/>
  <c r="G23" i="11"/>
  <c r="G22" i="10"/>
  <c r="G19" i="11"/>
  <c r="G18" i="10"/>
  <c r="K36" i="11"/>
  <c r="K35" i="10"/>
  <c r="K32" i="11"/>
  <c r="K31" i="10"/>
  <c r="S13" i="11"/>
  <c r="I12" i="10"/>
  <c r="I10" i="10"/>
  <c r="S11" i="11"/>
  <c r="S9" i="11"/>
  <c r="I8" i="10"/>
  <c r="I6" i="10"/>
  <c r="S7" i="11"/>
  <c r="I36" i="11"/>
  <c r="I35" i="10"/>
  <c r="I33" i="10"/>
  <c r="I34" i="11"/>
  <c r="I32" i="11"/>
  <c r="I31" i="10"/>
  <c r="I29" i="10"/>
  <c r="I30" i="11"/>
  <c r="K27" i="10"/>
  <c r="K28" i="11"/>
  <c r="K23" i="10"/>
  <c r="K24" i="11"/>
  <c r="K19" i="10"/>
  <c r="K20" i="11"/>
  <c r="H27" i="11"/>
  <c r="H26" i="10"/>
  <c r="I25" i="11"/>
  <c r="I24" i="10"/>
  <c r="H22" i="10"/>
  <c r="H23" i="11"/>
  <c r="I21" i="11"/>
  <c r="I20" i="10"/>
  <c r="H19" i="11"/>
  <c r="H18" i="10"/>
  <c r="I17" i="11"/>
  <c r="I16" i="10"/>
  <c r="G15" i="11"/>
  <c r="G14" i="10"/>
  <c r="G13" i="10"/>
  <c r="G14" i="11"/>
  <c r="G12" i="10"/>
  <c r="G13" i="11"/>
  <c r="K11" i="10"/>
  <c r="K12" i="11"/>
  <c r="G8" i="10"/>
  <c r="G9" i="11"/>
  <c r="K7" i="10"/>
  <c r="K8" i="11"/>
  <c r="K16" i="10"/>
  <c r="K17" i="11"/>
  <c r="H9" i="10"/>
  <c r="H10" i="11"/>
  <c r="AJ38" i="11"/>
  <c r="AH37" i="11"/>
  <c r="D36" i="10"/>
  <c r="AH33" i="11"/>
  <c r="D32" i="10"/>
  <c r="AH29" i="11"/>
  <c r="D28" i="10"/>
  <c r="B12" i="10"/>
  <c r="AF13" i="11"/>
  <c r="AJ13" i="11"/>
  <c r="B18" i="10"/>
  <c r="AF19" i="11"/>
  <c r="AJ16" i="11"/>
  <c r="AG9" i="11"/>
  <c r="C8" i="10"/>
  <c r="AG7" i="11"/>
  <c r="C6" i="10"/>
  <c r="W37" i="11"/>
  <c r="C36" i="10"/>
  <c r="W35" i="11"/>
  <c r="C34" i="10"/>
  <c r="W33" i="11"/>
  <c r="C32" i="10"/>
  <c r="W31" i="11"/>
  <c r="C30" i="10"/>
  <c r="C28" i="10"/>
  <c r="W29" i="11"/>
  <c r="W27" i="11"/>
  <c r="C26" i="10"/>
  <c r="C24" i="10"/>
  <c r="W25" i="11"/>
  <c r="W23" i="11"/>
  <c r="C22" i="10"/>
  <c r="C20" i="10"/>
  <c r="W21" i="11"/>
  <c r="W19" i="11"/>
  <c r="C18" i="10"/>
  <c r="C16" i="10"/>
  <c r="W17" i="11"/>
  <c r="W15" i="11"/>
  <c r="C14" i="10"/>
  <c r="C12" i="10"/>
  <c r="W13" i="11"/>
  <c r="W11" i="11"/>
  <c r="C10" i="10"/>
  <c r="L10" i="10" s="1"/>
  <c r="Z9" i="11"/>
  <c r="Z7" i="11"/>
  <c r="P37" i="11"/>
  <c r="P35" i="11"/>
  <c r="P33" i="11"/>
  <c r="P31" i="11"/>
  <c r="P29" i="11"/>
  <c r="P27" i="11"/>
  <c r="P24" i="11"/>
  <c r="P20" i="11"/>
  <c r="P16" i="11"/>
  <c r="P12" i="11"/>
  <c r="P8" i="11"/>
  <c r="B36" i="11"/>
  <c r="B35" i="10"/>
  <c r="L35" i="10" s="1"/>
  <c r="B34" i="11"/>
  <c r="B33" i="10"/>
  <c r="L33" i="10" s="1"/>
  <c r="B30" i="11"/>
  <c r="B29" i="10"/>
  <c r="L29" i="10" s="1"/>
  <c r="E13" i="10"/>
  <c r="O14" i="11"/>
  <c r="E38" i="11"/>
  <c r="E37" i="10"/>
  <c r="F31" i="10"/>
  <c r="F32" i="11"/>
  <c r="D28" i="11"/>
  <c r="D27" i="10"/>
  <c r="D25" i="10"/>
  <c r="D26" i="11"/>
  <c r="D24" i="11"/>
  <c r="D23" i="10"/>
  <c r="D21" i="10"/>
  <c r="D22" i="11"/>
  <c r="D20" i="11"/>
  <c r="D19" i="10"/>
  <c r="D17" i="10"/>
  <c r="D18" i="11"/>
  <c r="D16" i="11"/>
  <c r="D15" i="10"/>
  <c r="D13" i="10"/>
  <c r="D14" i="11"/>
  <c r="D11" i="10"/>
  <c r="D12" i="11"/>
  <c r="D9" i="10"/>
  <c r="D10" i="11"/>
  <c r="D8" i="11"/>
  <c r="D7" i="10"/>
  <c r="E8" i="10"/>
  <c r="E9" i="11"/>
  <c r="E7" i="11"/>
  <c r="E6" i="10"/>
  <c r="L6" i="10" l="1"/>
  <c r="L24" i="10"/>
  <c r="L34" i="10"/>
  <c r="L9" i="10"/>
  <c r="L16" i="10"/>
  <c r="L14" i="10"/>
  <c r="L21" i="10"/>
  <c r="L25" i="10"/>
  <c r="L37" i="10"/>
  <c r="L12" i="10"/>
  <c r="L20" i="10"/>
  <c r="L32" i="10"/>
  <c r="L8" i="10"/>
  <c r="L18" i="10"/>
  <c r="L22" i="10"/>
  <c r="L26" i="10"/>
  <c r="L31" i="10"/>
  <c r="L36" i="10"/>
  <c r="L11" i="10"/>
  <c r="L7" i="10"/>
  <c r="L17" i="10"/>
  <c r="L30" i="10"/>
  <c r="L15" i="10"/>
  <c r="L13" i="10"/>
  <c r="L28" i="10"/>
  <c r="L19" i="10"/>
  <c r="L23" i="10"/>
  <c r="L27" i="10"/>
</calcChain>
</file>

<file path=xl/sharedStrings.xml><?xml version="1.0" encoding="utf-8"?>
<sst xmlns="http://schemas.openxmlformats.org/spreadsheetml/2006/main" count="4621" uniqueCount="302">
  <si>
    <t>Supplementary Data 2/2, from :
Metal bottlenecks along energy transitions call for technology flexibility and sobriety
by Pénélope Bieuville, Guillaume Majeau Bettez and Anne de Bortoli</t>
  </si>
  <si>
    <t>For any additionnal information on the study, please contact the author, Pénélope Bieuville, at : penelope.bieuville@gmail.com</t>
  </si>
  <si>
    <t>Table of content</t>
  </si>
  <si>
    <t xml:space="preserve">Spreadsheet title </t>
  </si>
  <si>
    <t>Description</t>
  </si>
  <si>
    <t>Yellow spreadsheets represent data used to calculate mining constraints</t>
  </si>
  <si>
    <t>MiningCapacity_Calcul</t>
  </si>
  <si>
    <t>Production in 2020 by metal in tons by year, with specification of the mining flow considered</t>
  </si>
  <si>
    <t xml:space="preserve">Estimation of beta, the median of historical production, by metals, used to project future metal production until 2050. Specification of the historical production years used for each metals to estimate beta. Hypothesis of future production rate for each metals. </t>
  </si>
  <si>
    <t xml:space="preserve">IEA estimation of production between 2020 and 2040 in tons per year for cobalt, copper, nickel and lithium. Beta projection used between 2040 and 2050. </t>
  </si>
  <si>
    <t>By-product content hypothesis from the major host for cadmium, gallium, germanium, indium, selenium and tellurium</t>
  </si>
  <si>
    <t>Recycling_Rates</t>
  </si>
  <si>
    <t>Recycling rates in 2020 for metals used in electric vehicles, in percentage</t>
  </si>
  <si>
    <t>Hypothesis of evolution of recycling rates until 2050, according to the chosen SSP scenario</t>
  </si>
  <si>
    <t>Reserves_Resources_RR</t>
  </si>
  <si>
    <t xml:space="preserve">Reserve and resources estimates in tons per metal. </t>
  </si>
  <si>
    <t xml:space="preserve">Estimation of recovery rates by metals in percentage, by comparing the metal in the final product, and the production state for RR_Prod, and the mining state for RR_Res. </t>
  </si>
  <si>
    <t>Blue spreadsheets represent study results</t>
  </si>
  <si>
    <t>Fig 1. Cumulated_Demand</t>
  </si>
  <si>
    <t>Global cumulated metal demand in tons from 2020 to 2050 per metal and economic sector aggregates, in the initial and optimized IMAGE SSP1-26 scenario</t>
  </si>
  <si>
    <t>Fig 2. Annual_Demand</t>
  </si>
  <si>
    <t>Global annual metal demand in tons per year for decades from 2020 to 2050 per metal and economic sector aggregates, in the initial and optimized IMAGE SSP1-26 scenario</t>
  </si>
  <si>
    <t>Fig 2. Prod_Results</t>
  </si>
  <si>
    <t>Global primary and secondary mining capacity in tons per year for decades from 2020 to 2050 per metal, in the initial and optimized IMAGE SSP1-26 scenario</t>
  </si>
  <si>
    <t>Fig 3. Power_Capacity</t>
  </si>
  <si>
    <t>Cumulated power capacity per IAM regions and energy sources for decades from 2020 to 2050, in the initial and optimized IMAGE SSP1-26 scenario</t>
  </si>
  <si>
    <t>Fig 4. EV_Sales</t>
  </si>
  <si>
    <t>Global annual EV sales per year from 2020 to 2050, in the initial and optimized IMAGE SSP1-26 scenario</t>
  </si>
  <si>
    <t>Fig 5. Heatmap_RCP2.6</t>
  </si>
  <si>
    <t xml:space="preserve">Relative excess in metal demand (cumulated or annual) in comparison to metal constraints (resources, reserves, or mining capacity) for the marker IAM of SSP1, SSP2, SSP4 and SSP5, for RCP 2.6. </t>
  </si>
  <si>
    <t>Fig 6. Heatmap_110_models</t>
  </si>
  <si>
    <t>Heatmap comparing metal availability risks under different supply constraints in the initial and the optimized scenario. For each IAM model and SSP-RCP scenarios, an overshoot score is calculated by adding 1 for each metal exceeding a supply constraint (reserves, resources, mining capacity by decade). Overshoots are not counted when more than 90% of the annual or cumulated demand originates from the rest of the economy.</t>
  </si>
  <si>
    <t>Dark grey spreadsheet represent reference and hypothesis of calculation</t>
  </si>
  <si>
    <t>Ref&amp;Hp</t>
  </si>
  <si>
    <t>The references of each spreadsheet is organized in this file in a table, by spreadsheet name, followed by the hypothesis made.</t>
  </si>
  <si>
    <t>Calcul_Prod</t>
  </si>
  <si>
    <t xml:space="preserve">Table presenting calculation methods for future production. Includes historical data of production by metals, calculation of beta for each metals, by-product / host ratio estimates, and calculation of future by-product production based on the host one. </t>
  </si>
  <si>
    <t>Material limits [t]</t>
  </si>
  <si>
    <t>Aluminum</t>
  </si>
  <si>
    <t>Boron</t>
  </si>
  <si>
    <t>Cadmium</t>
  </si>
  <si>
    <t>Chromium</t>
  </si>
  <si>
    <t>Cobalt</t>
  </si>
  <si>
    <t>Concrete</t>
  </si>
  <si>
    <t>Copper</t>
  </si>
  <si>
    <t>Dysprosium</t>
  </si>
  <si>
    <t>Gallium</t>
  </si>
  <si>
    <t>Germanium</t>
  </si>
  <si>
    <t>Glass</t>
  </si>
  <si>
    <t>Hafnium</t>
  </si>
  <si>
    <t>Indium</t>
  </si>
  <si>
    <t>Irridium</t>
  </si>
  <si>
    <t>Iron</t>
  </si>
  <si>
    <t>Lead</t>
  </si>
  <si>
    <t>Lanthanum</t>
  </si>
  <si>
    <t>Lithium</t>
  </si>
  <si>
    <t>Magnesium</t>
  </si>
  <si>
    <t>Manganese</t>
  </si>
  <si>
    <t>Molybdenum</t>
  </si>
  <si>
    <t>Neodymium</t>
  </si>
  <si>
    <t>Nickel</t>
  </si>
  <si>
    <t>Niobium</t>
  </si>
  <si>
    <t>Palladium</t>
  </si>
  <si>
    <t>Polymers</t>
  </si>
  <si>
    <t>Praesodymium</t>
  </si>
  <si>
    <t>Platinum</t>
  </si>
  <si>
    <t>Selenium</t>
  </si>
  <si>
    <t>Silicon</t>
  </si>
  <si>
    <t>Silver</t>
  </si>
  <si>
    <t>Tantalum</t>
  </si>
  <si>
    <t>Tellurium</t>
  </si>
  <si>
    <t>Terbium</t>
  </si>
  <si>
    <t>Titanium</t>
  </si>
  <si>
    <t>Tin</t>
  </si>
  <si>
    <t>Tungsten</t>
  </si>
  <si>
    <t>Vanadium</t>
  </si>
  <si>
    <t>Yttrium</t>
  </si>
  <si>
    <t>Zinc</t>
  </si>
  <si>
    <t>Zirconium</t>
  </si>
  <si>
    <t>Full_Name</t>
  </si>
  <si>
    <t>Short_Code</t>
  </si>
  <si>
    <t>Al</t>
  </si>
  <si>
    <t>B</t>
  </si>
  <si>
    <t>Cd</t>
  </si>
  <si>
    <t>Cr</t>
  </si>
  <si>
    <t>Co</t>
  </si>
  <si>
    <t>Cu</t>
  </si>
  <si>
    <t>Dy</t>
  </si>
  <si>
    <t>Ga</t>
  </si>
  <si>
    <t>Ge</t>
  </si>
  <si>
    <t>Hf</t>
  </si>
  <si>
    <t>In</t>
  </si>
  <si>
    <t>Ir</t>
  </si>
  <si>
    <t>Fe</t>
  </si>
  <si>
    <t>Pb</t>
  </si>
  <si>
    <t>La</t>
  </si>
  <si>
    <t>Li</t>
  </si>
  <si>
    <t>Mg</t>
  </si>
  <si>
    <t>Mn</t>
  </si>
  <si>
    <t>Mo</t>
  </si>
  <si>
    <t>Nd</t>
  </si>
  <si>
    <t>Ni</t>
  </si>
  <si>
    <t>Nb</t>
  </si>
  <si>
    <t>Pd</t>
  </si>
  <si>
    <t>Pr</t>
  </si>
  <si>
    <t>Pt</t>
  </si>
  <si>
    <t>Se</t>
  </si>
  <si>
    <t>Si</t>
  </si>
  <si>
    <t>Ag</t>
  </si>
  <si>
    <t>Ta</t>
  </si>
  <si>
    <t>Te</t>
  </si>
  <si>
    <t>Tb</t>
  </si>
  <si>
    <t>Ti</t>
  </si>
  <si>
    <t>Sn</t>
  </si>
  <si>
    <t>W</t>
  </si>
  <si>
    <t>V</t>
  </si>
  <si>
    <t>Y</t>
  </si>
  <si>
    <t>Zn</t>
  </si>
  <si>
    <t>Zr</t>
  </si>
  <si>
    <t>Metal</t>
  </si>
  <si>
    <t>Production 2020 world</t>
  </si>
  <si>
    <t>Unit</t>
  </si>
  <si>
    <t>Mining flow</t>
  </si>
  <si>
    <t>Ref</t>
  </si>
  <si>
    <t>Future prod hypothesis</t>
  </si>
  <si>
    <t>Beta</t>
  </si>
  <si>
    <t>Years_considered</t>
  </si>
  <si>
    <t>Reference</t>
  </si>
  <si>
    <t>t/yr</t>
  </si>
  <si>
    <t>Mine production</t>
  </si>
  <si>
    <t>(USGS, 2021)</t>
  </si>
  <si>
    <t>All years</t>
  </si>
  <si>
    <t>(Lundaev et al, 2023)</t>
  </si>
  <si>
    <t>(World Mining Data, 2022)</t>
  </si>
  <si>
    <t>1990-2022 / covid</t>
  </si>
  <si>
    <t>Refinery production</t>
  </si>
  <si>
    <t>By-product content</t>
  </si>
  <si>
    <t>(By-product Zn)</t>
  </si>
  <si>
    <t>(International Cadmium Association, 2021)</t>
  </si>
  <si>
    <t>Data IEA until 2040, Beta until 2050</t>
  </si>
  <si>
    <t>(Charpentier Poncelet et al., 2022)</t>
  </si>
  <si>
    <t>(By-product Al)</t>
  </si>
  <si>
    <t>(Lundaev et al, 2023; Frenzel et al, 2016)</t>
  </si>
  <si>
    <t>(Frenzel et al, 2014)</t>
  </si>
  <si>
    <t>Hypothesis, same rate than zirconium</t>
  </si>
  <si>
    <t>(By-product Zn, Cu)</t>
  </si>
  <si>
    <t>(USGS, sd*)</t>
  </si>
  <si>
    <t>1990-2022</t>
  </si>
  <si>
    <t>(BGS, sd*)</t>
  </si>
  <si>
    <t>By-product ratio content</t>
  </si>
  <si>
    <t>(By-product Cu)</t>
  </si>
  <si>
    <t>(Stifner et al, 2024)</t>
  </si>
  <si>
    <t>Hypothesis</t>
  </si>
  <si>
    <t>(Kavlak et Graedel, 2013)</t>
  </si>
  <si>
    <t>Tin association</t>
  </si>
  <si>
    <t>Metal [t]</t>
  </si>
  <si>
    <t>Method</t>
  </si>
  <si>
    <t xml:space="preserve">Hp </t>
  </si>
  <si>
    <t>(IEA, 2024)</t>
  </si>
  <si>
    <t>Data IEA for 2030-2040, Beta until 2050</t>
  </si>
  <si>
    <t>New mines opening for 2040</t>
  </si>
  <si>
    <t>By-product</t>
  </si>
  <si>
    <t>By-product flow</t>
  </si>
  <si>
    <t>Host</t>
  </si>
  <si>
    <t>Host flow</t>
  </si>
  <si>
    <t>Mine</t>
  </si>
  <si>
    <t>Refined</t>
  </si>
  <si>
    <t>0.3% Cd content in Zn ores</t>
  </si>
  <si>
    <t>50 ppm Ga content in bauxite (ICMLR, 2016), 40% Al in Bauxite</t>
  </si>
  <si>
    <t>(Lundaev et al, 2023; Frenzel et al, 2016; Lu et al. 2017)</t>
  </si>
  <si>
    <t>24.70 ppm contained Ge in Zinc</t>
  </si>
  <si>
    <t>Zinc, Copper</t>
  </si>
  <si>
    <t>50 ppm et 10 ppm In content in Zn et Cu ores</t>
  </si>
  <si>
    <t>200 to 380 ppm refined recurable Se from Cu (mean value taken)</t>
  </si>
  <si>
    <t>0.05% Te content in copper</t>
  </si>
  <si>
    <t>(Månberger &amp; Stenqvist, 2018)</t>
  </si>
  <si>
    <t>Metals</t>
  </si>
  <si>
    <t>2050</t>
  </si>
  <si>
    <t>All</t>
  </si>
  <si>
    <t>Resources (estimated)</t>
  </si>
  <si>
    <t>Confidence level</t>
  </si>
  <si>
    <t>Reserves (estimated)</t>
  </si>
  <si>
    <t>Condifence level</t>
  </si>
  <si>
    <t>RR_Refining</t>
  </si>
  <si>
    <t>RR_Mining_Refining</t>
  </si>
  <si>
    <t>Medium</t>
  </si>
  <si>
    <t>(USGS, 2025 ; Lundaev et al., 2023)</t>
  </si>
  <si>
    <t>&gt;12000000000</t>
  </si>
  <si>
    <t>(USGS, 2025)</t>
  </si>
  <si>
    <t>t</t>
  </si>
  <si>
    <t>%</t>
  </si>
  <si>
    <t>(Charpentier-Poncelet, 2022)</t>
  </si>
  <si>
    <t>Bauxite</t>
  </si>
  <si>
    <t>Resources estimated sufficient</t>
  </si>
  <si>
    <t>Low</t>
  </si>
  <si>
    <t>(Lundaev et al., 2023)</t>
  </si>
  <si>
    <t>(Nassar &amp; al., 2022)</t>
  </si>
  <si>
    <t>&gt;130000000</t>
  </si>
  <si>
    <t>&gt;17000000</t>
  </si>
  <si>
    <t>(Watari et al., 2018; USGS, 2017)</t>
  </si>
  <si>
    <t>&gt;4200000</t>
  </si>
  <si>
    <t>&gt;63000000</t>
  </si>
  <si>
    <t>&gt;70000000</t>
  </si>
  <si>
    <t>Modelisation type</t>
  </si>
  <si>
    <t>Scenario</t>
  </si>
  <si>
    <t>Init</t>
  </si>
  <si>
    <t>IMAGE_SSP1-26</t>
  </si>
  <si>
    <t>Opti</t>
  </si>
  <si>
    <t>MESSAGE-GLOBIOM_SSP2-26</t>
  </si>
  <si>
    <t>GCAM4_SSP4-26</t>
  </si>
  <si>
    <t>REMIND-MAGPIE_SSP5-26</t>
  </si>
  <si>
    <t>2020</t>
  </si>
  <si>
    <t>2030</t>
  </si>
  <si>
    <t>2040</t>
  </si>
  <si>
    <t>Production</t>
  </si>
  <si>
    <t>Secondary_Production</t>
  </si>
  <si>
    <t>Primary_Production</t>
  </si>
  <si>
    <t>Part de la demande de stockage (Storage Demand) dans la demande sectorielle, hors reste de l'économie</t>
  </si>
  <si>
    <t>Colonnes 2020/2030/2040/2050 : Storage Demand / (Storage + Network + EV Sector + Energy Sector Demand) pour cette année, moyenne sur les 4 scénarios socio-économiques (SSP1-26, SSP2-26, SSP4-26, SSP5-26). Colonne 'Global 2020-2050' : même ratio mais calculé sur le cumul 2020-2050 (somme du storage sur les 4 années / somme du total sectoriel sur les 4 années, pour chaque scénario), puis moyenne sur les 4 scénarios — donne la part globale du storage sur toute la période, pas seulement une moyenne des parts annuelles. Colonne 'Max' : part la plus élevée observée sur une seule année/scénario (hors colonnes Global). Source : feuille 'Storage_Share_Detail' (colonnes G et K).</t>
  </si>
  <si>
    <t>Global
2020-2050</t>
  </si>
  <si>
    <t>Max toutes années/scénarios</t>
  </si>
  <si>
    <t>Part de la demande de stockage dans la demande sectorielle (hors reste de l'économie), par scénario socio-économique (SSP-IAM), type de modélisation et année</t>
  </si>
  <si>
    <t>Storage Demand / (Storage + Network + EV Sector + Energy Sector Demand). 'Global 2020-2050' = cumul du storage sur les 4 années / cumul de la demande sectorielle sur les 4 années, pour ce scénario. IMAGE_SSP1-26 = SSP1 'Sustainability' ; MESSAGE-GLOBIOM_SSP2-26 = SSP2 'Middle of the Road' ; GCAM4_SSP4-26 = SSP4 'Inequality' ; REMIND-MAGPIE_SSP5-26 = SSP5 'Fossil-fueled Development'. Les 4 scénarios suivent tous la même trajectoire climatique RCP2.6 ; seule la trajectoire socio-économique diffère. Source : feuille 'Storage_Share_Detail' (colonnes G et K).</t>
  </si>
  <si>
    <t>Year</t>
  </si>
  <si>
    <t>Storage Demand (t/yr)</t>
  </si>
  <si>
    <t>Sector-specific Demand excl. Rest-of-Economy (t/yr)</t>
  </si>
  <si>
    <t>Share of Storage in Sector-specific Demand</t>
  </si>
  <si>
    <t>Other Sector Demand (rest of economy, t/yr)</t>
  </si>
  <si>
    <t>Total Demand incl. Rest-of-Economy (t/yr)</t>
  </si>
  <si>
    <t>Share of Storage in Total Demand</t>
  </si>
  <si>
    <t>Cumulated Share 2020-2050 (this scenario)</t>
  </si>
  <si>
    <t>Note: 'Sector-specific Demand excl. Rest-of-Economy' = Storage + Network + EV Sector + Energy Sector Demand (all sectors of 'Fig 2. Annual_Demand' except 'Other Sector Demand', which represents the rest of the economy). Source data: 'Fig 2. Annual_Demand' sheet.</t>
  </si>
  <si>
    <t>Spreadsheet_name</t>
  </si>
  <si>
    <t>Data</t>
  </si>
  <si>
    <t>Prod Beta</t>
  </si>
  <si>
    <t>Lundaev, V., Solomon, A. A., Le, T., Lohrmann, A., &amp; Breyer, C. (2023). Review of critical materials for the energy transition, an analysis of global resources and production databases and the state of material circularity. Minerals Engineering, 203, 108282. https://doi.org/10.1016/j.mineng.2023.108282</t>
  </si>
  <si>
    <t>U.S. Geological Survey, 2021, Mineral commodity summaries 2021: U.S. Geological Survey, 200 p., https://doi.org/10.3133/mcs2021.</t>
  </si>
  <si>
    <t>Historical Statistics for Mineral and Material Commodities in the United States | U.S. Geological Survey. (s. d.). Consulté 30 mai 2024, à l’adresse https://www.usgs.gov/centers/national-minerals-information-center/historical-statistics-mineral-and-material-commodities</t>
  </si>
  <si>
    <t>World mineral statistics data | Statistics &amp; Commodities | MineralsUK. (s. d.). Consulté 30 mai 2024, à l’adresse https://www2.bgs.ac.uk/mineralsuk/statistics/wms.cfc?method=searchWMS</t>
  </si>
  <si>
    <t>Köstinger, E. (2022). World Mining Data 2022.</t>
  </si>
  <si>
    <t>(International Tin Association, 2018)</t>
  </si>
  <si>
    <t>International Tin Association. (2018). Tin for the future: Introduction to the tin market and the International Tin Association. https://www.internationaltin.org/reports/tin-for-the-future/</t>
  </si>
  <si>
    <t>Prod IEA</t>
  </si>
  <si>
    <t>Global Critical Minerals Outlook 2024. (2024).</t>
  </si>
  <si>
    <t>Prod by-product</t>
  </si>
  <si>
    <t>International Cadmium Association. (2021, January). Report on worldwide cadmium production and trade 2020. International Cadmium Association. https://www.cadmium.org/wp-content/uploads/2021/11/icda-report-on-worldwide-cadmium-production-and-trade-2020.pdf</t>
  </si>
  <si>
    <t>(Lu and al., 2017)</t>
  </si>
  <si>
    <t>Lu, F., Xiao, T., Lin, J., Ning,Z., Long, Q., Xiao, L., Huang,F., Wang, W., Xiao, Q., Lan, X., Chen, H., 2017. Resources and extraction of gallium: A review. Hydrometall. 174, 105–115. https://doi.org/10.1016/j.hydromet.2017.10.010.</t>
  </si>
  <si>
    <t>(Frenzel and al., 2014)</t>
  </si>
  <si>
    <t>Frenzel, M., Ketris, M. P., &amp; Gutzmer, J. (2014). On the geological availability of germanium. Mineralium Deposita, 49(4), 471‑486. https://doi.org/10.1007/s00126-013-0506-z</t>
  </si>
  <si>
    <t>(Frenzel et al, 2016)</t>
  </si>
  <si>
    <t>Frenzel, M., Ketris, M. P., Seifert, T., &amp; Gutzmer, J. (2016). On the current and future availability of gallium. Resources Policy, 47, 38‑50. https://doi.org/10.1016/j.resourpol.2015.11.005</t>
  </si>
  <si>
    <t>(Lundaev and al., 2023)</t>
  </si>
  <si>
    <t>(Stifner and al., 2024)</t>
  </si>
  <si>
    <t>Stiftner, R., Weber, L., &amp; Rechberger, H. (2024). Methodology for a better estimation of the reserves and resources of minor metals exemplified by selenium in different copper deposit types. Mineral Economics, 37(3), 413‑432. https://doi.org/10.1007/s13563-023-00384-0</t>
  </si>
  <si>
    <t>(Kavlak and Graedel, 2013)</t>
  </si>
  <si>
    <t>Kavlak, G., &amp; Graedel, T. E. (2013). Global anthropogenic tellurium cycles for 1940–2010. Resources, Conservation and Recycling, 76, 21‑26. https://doi.org/10.1016/j.resconrec.2013.04.007</t>
  </si>
  <si>
    <t>Recycling_rate</t>
  </si>
  <si>
    <t>Recycling_2020_Rates</t>
  </si>
  <si>
    <t>Månberger, A., &amp; Stenqvist, B. (2018). Global metal flows in the renewable energy transition : Exploring the effects of substitutes, technological mix and development. Energy Policy, 119, 226‑241. https://doi.org/10.1016/j.enpol.2018.04.056</t>
  </si>
  <si>
    <t>/</t>
  </si>
  <si>
    <t>(Wang et al., 2022)</t>
  </si>
  <si>
    <t>Wang, P., Chen, W.-Q., Cui, X., Li, J., Li, W., Wang, C., Cai, W., &amp; Geng, X. (2022). Critical mineral constraints in global renewable scenarios under 1.5 °C target. Environmental Research Letters, 17(12), 125004. https://doi.org/10.1088/1748-9326/aca4ea</t>
  </si>
  <si>
    <t>Recycling_Evolution</t>
  </si>
  <si>
    <t xml:space="preserve">The material recycling scenario (optimistic, neutral, conservative) corresponding to the chosen SSP are derived from the Wang et al analysis of 2022, see Table 2. </t>
  </si>
  <si>
    <t>(Union européenne, 2023)</t>
  </si>
  <si>
    <t>Union européenne. (2023). Règlement (UE) 2023/1542 du Parlement européen et du Conseil du 12 juillet 2023 relatif aux batteries et aux déchets de batteries, modifiant la directive 2008/98/CE et le règlement (UE) 2019/1020, et abrogeant la directive 2006/66/CE (Texte présentant de l'intérêt pour l'EEE). Journal officiel de l’Union européenne, L191, 1–117. http://data.europa.eu/eli/reg/2023/1542/oj</t>
  </si>
  <si>
    <t xml:space="preserve">For the optimistic scenario, the UE targets for recycling of metals in batteries are generalized for the world. The recycling of REE metals in motors are supposed to follow the lithium targets (their actual recycling rate being similar, and known technologies of recycling show potentially high recycling rates in the future). </t>
  </si>
  <si>
    <t>Reserves_Resources</t>
  </si>
  <si>
    <t>U.S. Geological Survey, 2025, Mineral commodity summaries 2025 (ver. 1.2, March 2025): U.S. Geological Survey, 212 p., https://doi.org/10.3133/mcs2025</t>
  </si>
  <si>
    <t>(Watari et al., 2018)</t>
  </si>
  <si>
    <t>Watari, T., McLellan, B., Ogata, S., &amp; Tezuka, T. (2018). Analysis of Potential for Critical Metal Resource Constraints in the International Energy Agency’s Long-Term Low-Carbon Energy Scenarios. Minerals, 8(4), 156. https://doi.org/10.3390/min8040156</t>
  </si>
  <si>
    <t>(Mineral Commodity Summaries 2023, 2023)</t>
  </si>
  <si>
    <t>(USGS, 2017)</t>
  </si>
  <si>
    <t>U.S. Geological Survey (USGS). Historical Statistics for Mineral and Material Commodities in the United States. Available online: https://minerals.usgs.gov/minerals/pubs/historical-statistics/ (accessed on 1 October 2017)</t>
  </si>
  <si>
    <t>Recovery_rates</t>
  </si>
  <si>
    <t>Charpentier Poncelet, A., Helbig, C., Loubet, P., Beylot, A., Muller, S., Villeneuve, J., Laratte, B., Thorenz, A., Tuma, A., &amp; Sonnemann, G. (2022). Losses and lifetimes of metals in the economy. Nature Sustainability, 5(8), 717‑726. https://doi.org/10.1038/s41893-022-00895-8</t>
  </si>
  <si>
    <t>Nassar, N. T., Lederer, G. W., Brainard, J. L., Padilla, A. J., &amp; Lessard, J. D. (2022). Rock-to-Metal Ratio : A Foundational Metric for Understanding Mine Wastes. Environmental Science &amp; Technology, 56(10), 6710‑6721. https://doi.org/10.1021/acs.est.1c07875</t>
  </si>
  <si>
    <t>Annual historical production [t]</t>
  </si>
  <si>
    <t xml:space="preserve">Annual growth </t>
  </si>
  <si>
    <t xml:space="preserve">Mean value </t>
  </si>
  <si>
    <t>Median value</t>
  </si>
  <si>
    <t>Aluminium</t>
  </si>
  <si>
    <t>(by-product Zn)</t>
  </si>
  <si>
    <t>(By product Zn)</t>
  </si>
  <si>
    <t xml:space="preserve">Iron </t>
  </si>
  <si>
    <t>Praesodymum</t>
  </si>
  <si>
    <t>Tungsten, mine</t>
  </si>
  <si>
    <t>Metal host</t>
  </si>
  <si>
    <t>By product estimates</t>
  </si>
  <si>
    <t>1. Identify metals 100% by-product of a host metal (inner circle)</t>
  </si>
  <si>
    <t>2. Estimate ratio of prod with Prod 2020 of by-product and host</t>
  </si>
  <si>
    <t>Metals 100% by-product</t>
  </si>
  <si>
    <t>Prod 2020 by-product</t>
  </si>
  <si>
    <t>Prod 2020 host</t>
  </si>
  <si>
    <t>Ratio of prod by product / Host</t>
  </si>
  <si>
    <t>3. Estimate future prod of by-product, by multipling the ratio with the prod of the host (based on beta)</t>
  </si>
  <si>
    <t>Prod host</t>
  </si>
  <si>
    <t>Hp</t>
  </si>
  <si>
    <t>IEA prod estimates 2020-2040, beta prod until 2050</t>
  </si>
  <si>
    <t xml:space="preserve">Prod By-product </t>
  </si>
  <si>
    <t>(Nassar et al., 2015, Fig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</si>
</sst>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_-;\-* #,##0.00_-;_-* \-??_-;_-@_-"/>
    <numFmt numFmtId="165" formatCode="0\ %"/>
    <numFmt numFmtId="166" formatCode="_-* #,##0_-;\-* #,##0_-;_-* \-??_-;_-@_-"/>
    <numFmt numFmtId="167" formatCode="0.0%"/>
    <numFmt numFmtId="168" formatCode="0.00\ %"/>
    <numFmt numFmtId="169" formatCode="_-* #,##0.00\ _€_-;\-* #,##0.00\ _€_-;_-* \-??\ _€_-;_-@_-"/>
  </numFmts>
  <fonts count="26" x14ac:knownFonts="1">
    <font>
      <sz val="11"/>
      <color theme="1"/>
      <name val="Calibri"/>
      <family val="2"/>
      <charset val="1"/>
    </font>
    <font>
      <sz val="8"/>
      <name val="Times New Roman"/>
      <family val="1"/>
      <charset val="1"/>
    </font>
    <font>
      <sz val="11"/>
      <color rgb="FF000000"/>
      <name val="Calibri"/>
      <family val="2"/>
      <charset val="1"/>
    </font>
    <font>
      <sz val="10"/>
      <color rgb="FF000000"/>
      <name val="Arial"/>
      <family val="2"/>
      <charset val="1"/>
    </font>
    <font>
      <b/>
      <sz val="11"/>
      <color theme="1"/>
      <name val="Calibri"/>
      <family val="2"/>
      <charset val="1"/>
    </font>
    <font>
      <i/>
      <sz val="11"/>
      <color theme="1"/>
      <name val="Calibri"/>
      <family val="2"/>
      <charset val="1"/>
    </font>
    <font>
      <b/>
      <sz val="11"/>
      <name val="Calibri"/>
      <family val="2"/>
      <charset val="1"/>
    </font>
    <font>
      <sz val="11"/>
      <name val="Calibri"/>
      <family val="2"/>
      <charset val="1"/>
    </font>
    <font>
      <b/>
      <sz val="13"/>
      <name val="Calibri"/>
      <family val="2"/>
      <charset val="1"/>
    </font>
    <font>
      <i/>
      <sz val="9"/>
      <name val="Calibri"/>
      <family val="2"/>
      <charset val="1"/>
    </font>
    <font>
      <b/>
      <sz val="11"/>
      <name val="Calibri"/>
      <family val="2"/>
    </font>
    <font>
      <b/>
      <sz val="13"/>
      <name val="Calibri"/>
      <family val="2"/>
    </font>
    <font>
      <i/>
      <sz val="9"/>
      <name val="Calibri"/>
      <family val="2"/>
    </font>
    <font>
      <sz val="11"/>
      <name val="Calibri"/>
      <family val="2"/>
    </font>
    <font>
      <u/>
      <sz val="11"/>
      <color theme="10"/>
      <name val="Calibri"/>
      <family val="2"/>
      <charset val="1"/>
    </font>
    <font>
      <sz val="12"/>
      <name val="Times New Roman"/>
      <family val="1"/>
      <charset val="1"/>
    </font>
    <font>
      <sz val="11"/>
      <color rgb="FF1B1B1B"/>
      <name val="Calibri"/>
      <family val="2"/>
      <charset val="1"/>
    </font>
    <font>
      <sz val="10"/>
      <name val="Arial"/>
      <family val="2"/>
      <charset val="1"/>
    </font>
    <font>
      <sz val="11"/>
      <color rgb="FF0070C0"/>
      <name val="Calibri"/>
      <family val="2"/>
      <charset val="1"/>
    </font>
    <font>
      <sz val="12"/>
      <color theme="1"/>
      <name val="Times New Roman"/>
      <family val="1"/>
      <charset val="1"/>
    </font>
    <font>
      <sz val="12"/>
      <color theme="1"/>
      <name val="Calibri"/>
      <family val="2"/>
      <charset val="1"/>
    </font>
    <font>
      <b/>
      <sz val="14"/>
      <color theme="1"/>
      <name val="Calibri"/>
      <family val="2"/>
      <charset val="1"/>
    </font>
    <font>
      <sz val="11"/>
      <color theme="1"/>
      <name val="Calibri"/>
      <family val="2"/>
      <charset val="1"/>
    </font>
    <font>
      <sz val="11"/>
      <color theme="1"/>
      <name val="Calibri"/>
      <family val="2"/>
      <scheme val="minor"/>
    </font>
    <font>
      <b/>
      <sz val="11"/>
      <color theme="1"/>
      <name val="Calibri"/>
      <family val="2"/>
      <scheme val="minor"/>
    </font>
    <font>
      <b/>
      <sz val="14"/>
      <color theme="1"/>
      <name val="Calibri"/>
      <family val="2"/>
      <scheme val="minor"/>
    </font>
  </fonts>
  <fills count="21">
    <fill>
      <patternFill patternType="none"/>
    </fill>
    <fill>
      <patternFill patternType="gray125"/>
    </fill>
    <fill>
      <patternFill patternType="solid">
        <fgColor rgb="FFFFFFCC"/>
        <bgColor rgb="FFFFF8E5"/>
      </patternFill>
    </fill>
    <fill>
      <patternFill patternType="solid">
        <fgColor theme="2" tint="-9.9978637043366805E-2"/>
        <bgColor rgb="FFD9D9D9"/>
      </patternFill>
    </fill>
    <fill>
      <patternFill patternType="solid">
        <fgColor theme="2"/>
        <bgColor rgb="FFDEEBF7"/>
      </patternFill>
    </fill>
    <fill>
      <patternFill patternType="solid">
        <fgColor theme="7" tint="0.79979857783745845"/>
        <bgColor rgb="FFFFF8E5"/>
      </patternFill>
    </fill>
    <fill>
      <patternFill patternType="solid">
        <fgColor theme="4" tint="0.79979857783745845"/>
        <bgColor rgb="FFDDEBF7"/>
      </patternFill>
    </fill>
    <fill>
      <patternFill patternType="solid">
        <fgColor theme="0"/>
        <bgColor rgb="FFFFF8E5"/>
      </patternFill>
    </fill>
    <fill>
      <patternFill patternType="solid">
        <fgColor theme="9" tint="0.79979857783745845"/>
        <bgColor rgb="FFE7E6E6"/>
      </patternFill>
    </fill>
    <fill>
      <patternFill patternType="solid">
        <fgColor theme="5" tint="0.59978026673177287"/>
        <bgColor rgb="FFFFE699"/>
      </patternFill>
    </fill>
    <fill>
      <patternFill patternType="solid">
        <fgColor theme="0" tint="-0.14999847407452621"/>
        <bgColor rgb="FFD0CECE"/>
      </patternFill>
    </fill>
    <fill>
      <patternFill patternType="solid">
        <fgColor theme="0" tint="-4.9989318521683403E-2"/>
        <bgColor rgb="FFFFF8E5"/>
      </patternFill>
    </fill>
    <fill>
      <patternFill patternType="solid">
        <fgColor theme="4" tint="0.59978026673177287"/>
        <bgColor rgb="FFD0CECE"/>
      </patternFill>
    </fill>
    <fill>
      <patternFill patternType="solid">
        <fgColor rgb="FFDDEBF7"/>
        <bgColor rgb="FFDEEBF7"/>
      </patternFill>
    </fill>
    <fill>
      <patternFill patternType="solid">
        <fgColor rgb="FFFCE4D6"/>
        <bgColor rgb="FFFFF2CC"/>
      </patternFill>
    </fill>
    <fill>
      <patternFill patternType="solid">
        <fgColor rgb="FFC6E0B4"/>
        <bgColor rgb="FFD9D9D9"/>
      </patternFill>
    </fill>
    <fill>
      <patternFill patternType="solid">
        <fgColor rgb="FFFFF8E5"/>
        <bgColor rgb="FFFFF2CC"/>
      </patternFill>
    </fill>
    <fill>
      <patternFill patternType="solid">
        <fgColor theme="7" tint="0.59978026673177287"/>
        <bgColor rgb="FFFFF2CC"/>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bgColor indexed="64"/>
      </patternFill>
    </fill>
  </fills>
  <borders count="55">
    <border>
      <left/>
      <right/>
      <top/>
      <bottom/>
      <diagonal/>
    </border>
    <border>
      <left style="thin">
        <color rgb="FFB2B2B2"/>
      </left>
      <right style="thin">
        <color rgb="FFB2B2B2"/>
      </right>
      <top style="thin">
        <color rgb="FFB2B2B2"/>
      </top>
      <bottom style="thin">
        <color rgb="FFB2B2B2"/>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auto="1"/>
      </left>
      <right/>
      <top style="medium">
        <color auto="1"/>
      </top>
      <bottom style="medium">
        <color auto="1"/>
      </bottom>
      <diagonal/>
    </border>
    <border>
      <left/>
      <right style="medium">
        <color auto="1"/>
      </right>
      <top style="medium">
        <color auto="1"/>
      </top>
      <bottom/>
      <diagonal/>
    </border>
    <border>
      <left style="medium">
        <color auto="1"/>
      </left>
      <right style="thin">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medium">
        <color auto="1"/>
      </right>
      <top style="thin">
        <color auto="1"/>
      </top>
      <bottom style="medium">
        <color auto="1"/>
      </bottom>
      <diagonal/>
    </border>
    <border>
      <left/>
      <right style="thin">
        <color auto="1"/>
      </right>
      <top/>
      <bottom style="medium">
        <color auto="1"/>
      </bottom>
      <diagonal/>
    </border>
    <border>
      <left/>
      <right style="thin">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medium">
        <color auto="1"/>
      </left>
      <right/>
      <top style="medium">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right style="thin">
        <color auto="1"/>
      </right>
      <top style="thin">
        <color auto="1"/>
      </top>
      <bottom/>
      <diagonal/>
    </border>
    <border>
      <left/>
      <right style="medium">
        <color auto="1"/>
      </right>
      <top style="medium">
        <color auto="1"/>
      </top>
      <bottom style="thin">
        <color auto="1"/>
      </bottom>
      <diagonal/>
    </border>
    <border>
      <left style="thin">
        <color auto="1"/>
      </left>
      <right style="medium">
        <color auto="1"/>
      </right>
      <top/>
      <bottom style="thin">
        <color auto="1"/>
      </bottom>
      <diagonal/>
    </border>
    <border>
      <left style="medium">
        <color auto="1"/>
      </left>
      <right/>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diagonal/>
    </border>
    <border>
      <left/>
      <right style="medium">
        <color auto="1"/>
      </right>
      <top style="thin">
        <color auto="1"/>
      </top>
      <bottom style="medium">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style="thin">
        <color auto="1"/>
      </top>
      <bottom style="thin">
        <color auto="1"/>
      </bottom>
      <diagonal/>
    </border>
    <border>
      <left style="medium">
        <color auto="1"/>
      </left>
      <right style="medium">
        <color auto="1"/>
      </right>
      <top/>
      <bottom style="thin">
        <color auto="1"/>
      </bottom>
      <diagonal/>
    </border>
    <border>
      <left style="medium">
        <color auto="1"/>
      </left>
      <right style="thin">
        <color auto="1"/>
      </right>
      <top/>
      <bottom style="thin">
        <color auto="1"/>
      </bottom>
      <diagonal/>
    </border>
    <border>
      <left style="medium">
        <color auto="1"/>
      </left>
      <right style="medium">
        <color auto="1"/>
      </right>
      <top/>
      <bottom style="medium">
        <color auto="1"/>
      </bottom>
      <diagonal/>
    </border>
    <border>
      <left/>
      <right style="medium">
        <color indexed="64"/>
      </right>
      <top/>
      <bottom style="double">
        <color indexed="64"/>
      </bottom>
      <diagonal/>
    </border>
    <border>
      <left/>
      <right/>
      <top/>
      <bottom style="double">
        <color indexed="64"/>
      </bottom>
      <diagonal/>
    </border>
    <border>
      <left style="thin">
        <color indexed="64"/>
      </left>
      <right style="medium">
        <color indexed="64"/>
      </right>
      <top style="double">
        <color indexed="64"/>
      </top>
      <bottom style="thin">
        <color indexed="64"/>
      </bottom>
      <diagonal/>
    </border>
  </borders>
  <cellStyleXfs count="11">
    <xf numFmtId="0" fontId="0" fillId="0" borderId="0"/>
    <xf numFmtId="169" fontId="1" fillId="0" borderId="0"/>
    <xf numFmtId="164" fontId="22" fillId="0" borderId="0"/>
    <xf numFmtId="0" fontId="1" fillId="0" borderId="0"/>
    <xf numFmtId="0" fontId="2" fillId="0" borderId="0"/>
    <xf numFmtId="0" fontId="3" fillId="0" borderId="0"/>
    <xf numFmtId="0" fontId="1" fillId="0" borderId="0"/>
    <xf numFmtId="0" fontId="2" fillId="0" borderId="0"/>
    <xf numFmtId="0" fontId="22" fillId="2" borderId="1"/>
    <xf numFmtId="0" fontId="22" fillId="0" borderId="0"/>
    <xf numFmtId="0" fontId="23" fillId="0" borderId="0"/>
  </cellStyleXfs>
  <cellXfs count="267">
    <xf numFmtId="0" fontId="0" fillId="0" borderId="0" xfId="0"/>
    <xf numFmtId="0" fontId="10" fillId="13" borderId="0" xfId="0" applyFont="1" applyFill="1" applyAlignment="1">
      <alignment horizontal="center" vertical="center" wrapText="1"/>
    </xf>
    <xf numFmtId="0" fontId="4" fillId="3" borderId="2" xfId="0" applyFont="1" applyFill="1" applyBorder="1" applyAlignment="1">
      <alignment horizontal="center" vertical="center"/>
    </xf>
    <xf numFmtId="0" fontId="0" fillId="0" borderId="0" xfId="0" applyAlignment="1">
      <alignment wrapText="1"/>
    </xf>
    <xf numFmtId="0" fontId="5" fillId="0" borderId="0" xfId="0" applyFont="1"/>
    <xf numFmtId="0" fontId="4" fillId="0" borderId="3" xfId="0" applyFont="1" applyBorder="1" applyAlignment="1">
      <alignment horizontal="center" vertical="center" wrapText="1"/>
    </xf>
    <xf numFmtId="0" fontId="4" fillId="4" borderId="2" xfId="0" applyFont="1" applyFill="1" applyBorder="1"/>
    <xf numFmtId="0" fontId="4" fillId="4" borderId="2" xfId="0" applyFont="1" applyFill="1" applyBorder="1" applyAlignment="1">
      <alignment wrapText="1"/>
    </xf>
    <xf numFmtId="0" fontId="0" fillId="0" borderId="2" xfId="0" applyBorder="1" applyAlignment="1">
      <alignment wrapText="1"/>
    </xf>
    <xf numFmtId="0" fontId="0" fillId="0" borderId="2" xfId="0" applyBorder="1"/>
    <xf numFmtId="0" fontId="4" fillId="6" borderId="2" xfId="0" applyFont="1" applyFill="1" applyBorder="1" applyAlignment="1">
      <alignment horizontal="left"/>
    </xf>
    <xf numFmtId="0" fontId="0" fillId="0" borderId="4" xfId="0" applyBorder="1" applyAlignment="1">
      <alignment horizontal="left" wrapText="1"/>
    </xf>
    <xf numFmtId="0" fontId="4" fillId="6" borderId="2" xfId="0" applyFont="1" applyFill="1" applyBorder="1" applyAlignment="1">
      <alignment horizontal="left" vertical="center"/>
    </xf>
    <xf numFmtId="0" fontId="4" fillId="6" borderId="5" xfId="0" applyFont="1" applyFill="1" applyBorder="1" applyAlignment="1">
      <alignment horizontal="left" vertical="center"/>
    </xf>
    <xf numFmtId="0" fontId="0" fillId="0" borderId="2" xfId="0" applyBorder="1" applyAlignment="1">
      <alignment horizontal="left" wrapText="1"/>
    </xf>
    <xf numFmtId="0" fontId="4" fillId="3" borderId="2" xfId="0" applyFont="1" applyFill="1" applyBorder="1" applyAlignment="1">
      <alignment horizontal="left" vertical="center"/>
    </xf>
    <xf numFmtId="0" fontId="0" fillId="0" borderId="0" xfId="0" applyAlignment="1">
      <alignment horizontal="center"/>
    </xf>
    <xf numFmtId="0" fontId="0" fillId="0" borderId="0" xfId="0" applyAlignment="1">
      <alignment horizontal="left"/>
    </xf>
    <xf numFmtId="0" fontId="0" fillId="0" borderId="0" xfId="0" applyAlignment="1">
      <alignment horizontal="right"/>
    </xf>
    <xf numFmtId="164" fontId="4" fillId="3" borderId="2" xfId="0" applyNumberFormat="1" applyFont="1" applyFill="1" applyBorder="1" applyAlignment="1">
      <alignment horizontal="center" vertical="center"/>
    </xf>
    <xf numFmtId="165" fontId="4" fillId="3" borderId="2" xfId="0" applyNumberFormat="1" applyFont="1" applyFill="1" applyBorder="1" applyAlignment="1">
      <alignment horizontal="center" vertical="center"/>
    </xf>
    <xf numFmtId="0" fontId="4" fillId="3" borderId="2" xfId="0" applyFont="1" applyFill="1" applyBorder="1" applyAlignment="1">
      <alignment horizontal="left"/>
    </xf>
    <xf numFmtId="0" fontId="6" fillId="4" borderId="2" xfId="0" applyFont="1" applyFill="1" applyBorder="1"/>
    <xf numFmtId="166" fontId="7" fillId="0" borderId="2" xfId="0" applyNumberFormat="1" applyFont="1" applyBorder="1"/>
    <xf numFmtId="0" fontId="0" fillId="0" borderId="2" xfId="0" applyBorder="1" applyAlignment="1">
      <alignment horizontal="center"/>
    </xf>
    <xf numFmtId="0" fontId="0" fillId="0" borderId="2" xfId="0" applyBorder="1" applyAlignment="1">
      <alignment horizontal="left"/>
    </xf>
    <xf numFmtId="165" fontId="0" fillId="7" borderId="2" xfId="0" applyNumberFormat="1" applyFill="1" applyBorder="1" applyAlignment="1">
      <alignment horizontal="center"/>
    </xf>
    <xf numFmtId="0" fontId="0" fillId="8" borderId="2" xfId="0" applyFill="1" applyBorder="1" applyAlignment="1">
      <alignment horizontal="right"/>
    </xf>
    <xf numFmtId="4" fontId="6" fillId="4" borderId="2" xfId="0" applyNumberFormat="1" applyFont="1" applyFill="1" applyBorder="1"/>
    <xf numFmtId="166" fontId="0" fillId="7" borderId="2" xfId="0" applyNumberFormat="1" applyFill="1" applyBorder="1" applyAlignment="1">
      <alignment horizontal="right" vertical="center"/>
    </xf>
    <xf numFmtId="0" fontId="0" fillId="9" borderId="2" xfId="0" applyFill="1" applyBorder="1" applyAlignment="1">
      <alignment horizontal="right"/>
    </xf>
    <xf numFmtId="0" fontId="0" fillId="0" borderId="2" xfId="0" applyBorder="1" applyAlignment="1">
      <alignment horizontal="center" wrapText="1"/>
    </xf>
    <xf numFmtId="166" fontId="0" fillId="0" borderId="2" xfId="0" applyNumberFormat="1" applyBorder="1" applyAlignment="1">
      <alignment horizontal="left"/>
    </xf>
    <xf numFmtId="0" fontId="5" fillId="0" borderId="2" xfId="0" applyFont="1" applyBorder="1" applyAlignment="1">
      <alignment horizontal="center"/>
    </xf>
    <xf numFmtId="0" fontId="5" fillId="10" borderId="2" xfId="0" applyFont="1" applyFill="1" applyBorder="1" applyAlignment="1">
      <alignment horizontal="right"/>
    </xf>
    <xf numFmtId="165" fontId="0" fillId="7" borderId="2" xfId="0" applyNumberFormat="1" applyFill="1" applyBorder="1" applyAlignment="1">
      <alignment horizontal="center" vertical="center"/>
    </xf>
    <xf numFmtId="166" fontId="0" fillId="0" borderId="2" xfId="0" applyNumberFormat="1" applyBorder="1"/>
    <xf numFmtId="0" fontId="5" fillId="7" borderId="2" xfId="0" applyFont="1" applyFill="1" applyBorder="1" applyAlignment="1">
      <alignment horizontal="center"/>
    </xf>
    <xf numFmtId="165" fontId="5" fillId="7" borderId="2" xfId="0" applyNumberFormat="1" applyFont="1" applyFill="1" applyBorder="1" applyAlignment="1">
      <alignment horizontal="center"/>
    </xf>
    <xf numFmtId="0" fontId="5" fillId="0" borderId="2" xfId="0" applyFont="1" applyBorder="1" applyAlignment="1">
      <alignment horizontal="right"/>
    </xf>
    <xf numFmtId="3" fontId="6" fillId="4" borderId="2" xfId="0" applyNumberFormat="1" applyFont="1" applyFill="1" applyBorder="1" applyAlignment="1">
      <alignment horizontal="left"/>
    </xf>
    <xf numFmtId="0" fontId="6" fillId="4" borderId="2" xfId="0" applyFont="1" applyFill="1" applyBorder="1" applyAlignment="1">
      <alignment horizontal="left"/>
    </xf>
    <xf numFmtId="166" fontId="7" fillId="7" borderId="2" xfId="0" applyNumberFormat="1" applyFont="1" applyFill="1" applyBorder="1"/>
    <xf numFmtId="167" fontId="0" fillId="7" borderId="2" xfId="0" applyNumberFormat="1" applyFill="1" applyBorder="1" applyAlignment="1">
      <alignment horizontal="center"/>
    </xf>
    <xf numFmtId="3" fontId="7" fillId="7" borderId="2" xfId="0" applyNumberFormat="1" applyFont="1" applyFill="1" applyBorder="1"/>
    <xf numFmtId="3" fontId="7" fillId="0" borderId="2" xfId="0" applyNumberFormat="1" applyFont="1" applyBorder="1"/>
    <xf numFmtId="165" fontId="0" fillId="0" borderId="2" xfId="0" applyNumberFormat="1" applyBorder="1" applyAlignment="1">
      <alignment horizontal="center"/>
    </xf>
    <xf numFmtId="166" fontId="0" fillId="0" borderId="0" xfId="0" applyNumberFormat="1"/>
    <xf numFmtId="0" fontId="0" fillId="11" borderId="2" xfId="0" applyFill="1" applyBorder="1" applyAlignment="1">
      <alignment horizontal="center"/>
    </xf>
    <xf numFmtId="0" fontId="4" fillId="11" borderId="2" xfId="0" applyFont="1" applyFill="1" applyBorder="1" applyAlignment="1">
      <alignment horizontal="center" vertical="top"/>
    </xf>
    <xf numFmtId="0" fontId="4" fillId="11" borderId="2" xfId="0" applyFont="1" applyFill="1" applyBorder="1" applyAlignment="1">
      <alignment horizontal="left" vertical="top"/>
    </xf>
    <xf numFmtId="0" fontId="4" fillId="12" borderId="2" xfId="0" applyFont="1" applyFill="1" applyBorder="1" applyAlignment="1">
      <alignment horizontal="left"/>
    </xf>
    <xf numFmtId="166" fontId="7" fillId="4" borderId="2" xfId="0" applyNumberFormat="1" applyFont="1" applyFill="1" applyBorder="1"/>
    <xf numFmtId="166" fontId="0" fillId="7" borderId="2" xfId="0" applyNumberFormat="1" applyFill="1" applyBorder="1"/>
    <xf numFmtId="166" fontId="0" fillId="0" borderId="2" xfId="0" applyNumberFormat="1" applyBorder="1" applyAlignment="1">
      <alignment horizontal="center" vertical="center"/>
    </xf>
    <xf numFmtId="166" fontId="0" fillId="0" borderId="2" xfId="0" applyNumberFormat="1" applyBorder="1" applyAlignment="1">
      <alignment horizontal="right"/>
    </xf>
    <xf numFmtId="0" fontId="4" fillId="4" borderId="2" xfId="0" applyFont="1" applyFill="1" applyBorder="1" applyAlignment="1">
      <alignment horizontal="center"/>
    </xf>
    <xf numFmtId="0" fontId="0" fillId="10" borderId="2" xfId="0" applyFill="1" applyBorder="1" applyAlignment="1">
      <alignment horizontal="center"/>
    </xf>
    <xf numFmtId="0" fontId="0" fillId="7" borderId="2" xfId="0" applyFill="1" applyBorder="1"/>
    <xf numFmtId="0" fontId="0" fillId="7" borderId="2" xfId="0" applyFill="1" applyBorder="1" applyAlignment="1">
      <alignment horizontal="center"/>
    </xf>
    <xf numFmtId="0" fontId="4" fillId="0" borderId="0" xfId="0" applyFont="1"/>
    <xf numFmtId="165" fontId="0" fillId="0" borderId="2" xfId="0" applyNumberFormat="1" applyBorder="1"/>
    <xf numFmtId="165" fontId="0" fillId="0" borderId="0" xfId="0" applyNumberFormat="1"/>
    <xf numFmtId="0" fontId="4" fillId="8" borderId="2" xfId="0" applyFont="1" applyFill="1" applyBorder="1"/>
    <xf numFmtId="0" fontId="0" fillId="0" borderId="0" xfId="0" applyAlignment="1">
      <alignment horizontal="center" vertical="center"/>
    </xf>
    <xf numFmtId="166" fontId="4" fillId="10" borderId="2" xfId="0" applyNumberFormat="1" applyFont="1" applyFill="1" applyBorder="1"/>
    <xf numFmtId="166" fontId="4" fillId="10" borderId="2" xfId="0" applyNumberFormat="1" applyFont="1" applyFill="1" applyBorder="1" applyAlignment="1">
      <alignment horizontal="center"/>
    </xf>
    <xf numFmtId="166" fontId="4" fillId="10" borderId="2" xfId="0" applyNumberFormat="1" applyFont="1" applyFill="1" applyBorder="1" applyAlignment="1">
      <alignment horizontal="center" vertical="center"/>
    </xf>
    <xf numFmtId="166" fontId="4" fillId="3" borderId="2" xfId="0" applyNumberFormat="1" applyFont="1" applyFill="1" applyBorder="1" applyAlignment="1">
      <alignment horizontal="center" vertical="center"/>
    </xf>
    <xf numFmtId="168" fontId="4" fillId="3" borderId="2" xfId="0" applyNumberFormat="1" applyFont="1" applyFill="1" applyBorder="1" applyAlignment="1">
      <alignment horizontal="center" vertical="center"/>
    </xf>
    <xf numFmtId="166" fontId="0" fillId="8" borderId="2" xfId="0" applyNumberFormat="1" applyFill="1" applyBorder="1" applyAlignment="1">
      <alignment horizontal="center" vertical="center"/>
    </xf>
    <xf numFmtId="166" fontId="0" fillId="0" borderId="2" xfId="0" applyNumberFormat="1" applyBorder="1" applyAlignment="1">
      <alignment horizontal="center"/>
    </xf>
    <xf numFmtId="168" fontId="0" fillId="0" borderId="2" xfId="0" applyNumberFormat="1" applyBorder="1"/>
    <xf numFmtId="168" fontId="0" fillId="0" borderId="2" xfId="0" applyNumberFormat="1" applyBorder="1" applyAlignment="1">
      <alignment horizontal="center"/>
    </xf>
    <xf numFmtId="0" fontId="0" fillId="7" borderId="2" xfId="0" applyFill="1" applyBorder="1" applyAlignment="1">
      <alignment vertical="center"/>
    </xf>
    <xf numFmtId="2" fontId="0" fillId="3" borderId="2" xfId="0" applyNumberFormat="1" applyFill="1" applyBorder="1"/>
    <xf numFmtId="168" fontId="0" fillId="3" borderId="2" xfId="0" applyNumberFormat="1" applyFill="1" applyBorder="1"/>
    <xf numFmtId="168" fontId="0" fillId="3" borderId="2" xfId="0" applyNumberFormat="1" applyFill="1" applyBorder="1" applyAlignment="1">
      <alignment horizontal="center"/>
    </xf>
    <xf numFmtId="0" fontId="0" fillId="3" borderId="2" xfId="0" applyFill="1" applyBorder="1" applyAlignment="1">
      <alignment vertical="center"/>
    </xf>
    <xf numFmtId="166" fontId="0" fillId="10" borderId="2" xfId="0" applyNumberFormat="1" applyFill="1" applyBorder="1" applyAlignment="1">
      <alignment horizontal="right"/>
    </xf>
    <xf numFmtId="166" fontId="0" fillId="10" borderId="2" xfId="0" applyNumberFormat="1" applyFill="1" applyBorder="1"/>
    <xf numFmtId="166" fontId="0" fillId="10" borderId="2" xfId="0" applyNumberFormat="1" applyFill="1" applyBorder="1" applyAlignment="1">
      <alignment horizontal="center" vertical="center"/>
    </xf>
    <xf numFmtId="166" fontId="0" fillId="7" borderId="2" xfId="0" applyNumberFormat="1" applyFill="1" applyBorder="1" applyAlignment="1">
      <alignment horizontal="right"/>
    </xf>
    <xf numFmtId="166" fontId="0" fillId="5" borderId="2" xfId="0" applyNumberFormat="1" applyFill="1" applyBorder="1" applyAlignment="1">
      <alignment horizontal="center" vertical="center"/>
    </xf>
    <xf numFmtId="166" fontId="0" fillId="7" borderId="2" xfId="0" applyNumberFormat="1" applyFill="1" applyBorder="1" applyAlignment="1">
      <alignment horizontal="left"/>
    </xf>
    <xf numFmtId="165" fontId="0" fillId="7" borderId="2" xfId="0" applyNumberFormat="1" applyFill="1" applyBorder="1" applyAlignment="1">
      <alignment horizontal="right"/>
    </xf>
    <xf numFmtId="168" fontId="0" fillId="7" borderId="2" xfId="0" applyNumberFormat="1" applyFill="1" applyBorder="1"/>
    <xf numFmtId="166" fontId="0" fillId="10" borderId="2" xfId="0" applyNumberFormat="1" applyFill="1" applyBorder="1" applyAlignment="1">
      <alignment horizontal="right" vertical="center"/>
    </xf>
    <xf numFmtId="166" fontId="0" fillId="10" borderId="2" xfId="0" applyNumberFormat="1" applyFill="1" applyBorder="1" applyAlignment="1">
      <alignment horizontal="center"/>
    </xf>
    <xf numFmtId="165" fontId="0" fillId="7" borderId="2" xfId="0" applyNumberFormat="1" applyFill="1" applyBorder="1"/>
    <xf numFmtId="0" fontId="4" fillId="4" borderId="2" xfId="0" applyFont="1" applyFill="1" applyBorder="1" applyAlignment="1">
      <alignment horizontal="center" vertical="top"/>
    </xf>
    <xf numFmtId="0" fontId="8" fillId="0" borderId="0" xfId="0" applyFont="1"/>
    <xf numFmtId="0" fontId="9" fillId="0" borderId="0" xfId="0" applyFont="1"/>
    <xf numFmtId="0" fontId="0" fillId="13" borderId="0" xfId="0" applyFill="1"/>
    <xf numFmtId="0" fontId="6" fillId="13" borderId="0" xfId="0" applyFont="1" applyFill="1" applyAlignment="1">
      <alignment horizontal="center"/>
    </xf>
    <xf numFmtId="0" fontId="10" fillId="14" borderId="0" xfId="0" applyFont="1" applyFill="1" applyAlignment="1">
      <alignment horizontal="center" vertical="center" wrapText="1"/>
    </xf>
    <xf numFmtId="0" fontId="6" fillId="13" borderId="0" xfId="0" applyFont="1" applyFill="1" applyAlignment="1">
      <alignment horizontal="center" wrapText="1"/>
    </xf>
    <xf numFmtId="0" fontId="6" fillId="0" borderId="0" xfId="0" applyFont="1"/>
    <xf numFmtId="167" fontId="0" fillId="0" borderId="9" xfId="0" applyNumberFormat="1" applyBorder="1"/>
    <xf numFmtId="167" fontId="0" fillId="14" borderId="9" xfId="0" applyNumberFormat="1" applyFill="1" applyBorder="1"/>
    <xf numFmtId="0" fontId="11" fillId="0" borderId="0" xfId="0" applyFont="1"/>
    <xf numFmtId="0" fontId="12" fillId="0" borderId="0" xfId="0" applyFont="1" applyAlignment="1">
      <alignment wrapText="1"/>
    </xf>
    <xf numFmtId="0" fontId="10" fillId="0" borderId="0" xfId="0" applyFont="1"/>
    <xf numFmtId="0" fontId="6" fillId="13" borderId="0" xfId="0" applyFont="1" applyFill="1" applyAlignment="1">
      <alignment horizontal="center" vertical="center" wrapText="1"/>
    </xf>
    <xf numFmtId="0" fontId="7" fillId="0" borderId="0" xfId="0" applyFont="1"/>
    <xf numFmtId="3" fontId="7" fillId="0" borderId="0" xfId="0" applyNumberFormat="1" applyFont="1"/>
    <xf numFmtId="167" fontId="7" fillId="0" borderId="0" xfId="0" applyNumberFormat="1" applyFont="1"/>
    <xf numFmtId="167" fontId="13" fillId="0" borderId="0" xfId="0" applyNumberFormat="1" applyFont="1"/>
    <xf numFmtId="0" fontId="0" fillId="7" borderId="0" xfId="0" applyFill="1"/>
    <xf numFmtId="0" fontId="0" fillId="7" borderId="32" xfId="0" applyFill="1" applyBorder="1"/>
    <xf numFmtId="0" fontId="0" fillId="7" borderId="33" xfId="0" applyFill="1" applyBorder="1"/>
    <xf numFmtId="0" fontId="0" fillId="7" borderId="7" xfId="0" applyFill="1" applyBorder="1"/>
    <xf numFmtId="0" fontId="0" fillId="7" borderId="13" xfId="0" applyFill="1" applyBorder="1"/>
    <xf numFmtId="0" fontId="0" fillId="7" borderId="34" xfId="0" applyFill="1" applyBorder="1"/>
    <xf numFmtId="0" fontId="0" fillId="7" borderId="10" xfId="0" applyFill="1" applyBorder="1"/>
    <xf numFmtId="0" fontId="0" fillId="7" borderId="36" xfId="0" applyFill="1" applyBorder="1"/>
    <xf numFmtId="0" fontId="4" fillId="11" borderId="37" xfId="0" applyFont="1" applyFill="1" applyBorder="1"/>
    <xf numFmtId="0" fontId="4" fillId="11" borderId="7" xfId="0" applyFont="1" applyFill="1" applyBorder="1" applyAlignment="1">
      <alignment horizontal="center"/>
    </xf>
    <xf numFmtId="0" fontId="4" fillId="11" borderId="2" xfId="0" applyFont="1" applyFill="1" applyBorder="1" applyAlignment="1">
      <alignment horizontal="center" vertical="center"/>
    </xf>
    <xf numFmtId="0" fontId="0" fillId="0" borderId="20" xfId="0" applyBorder="1"/>
    <xf numFmtId="0" fontId="14" fillId="0" borderId="19" xfId="0" applyFont="1" applyBorder="1" applyAlignment="1">
      <alignment vertical="center"/>
    </xf>
    <xf numFmtId="0" fontId="0" fillId="0" borderId="39" xfId="0" applyBorder="1"/>
    <xf numFmtId="0" fontId="14" fillId="0" borderId="40" xfId="0" applyFont="1" applyBorder="1" applyAlignment="1">
      <alignment vertical="center"/>
    </xf>
    <xf numFmtId="0" fontId="15" fillId="0" borderId="4" xfId="0" applyFont="1" applyBorder="1"/>
    <xf numFmtId="0" fontId="14" fillId="0" borderId="23" xfId="0" applyFont="1" applyBorder="1" applyAlignment="1">
      <alignment vertical="center"/>
    </xf>
    <xf numFmtId="0" fontId="0" fillId="0" borderId="27" xfId="0" applyBorder="1"/>
    <xf numFmtId="0" fontId="14" fillId="0" borderId="24" xfId="0" applyFont="1" applyBorder="1" applyAlignment="1">
      <alignment vertical="center"/>
    </xf>
    <xf numFmtId="0" fontId="0" fillId="0" borderId="26" xfId="0" applyBorder="1"/>
    <xf numFmtId="0" fontId="14" fillId="0" borderId="36" xfId="0" applyFont="1" applyBorder="1"/>
    <xf numFmtId="0" fontId="0" fillId="16" borderId="8" xfId="0" applyFill="1" applyBorder="1" applyAlignment="1">
      <alignment horizontal="center" vertical="center"/>
    </xf>
    <xf numFmtId="0" fontId="0" fillId="0" borderId="16" xfId="0" applyBorder="1"/>
    <xf numFmtId="0" fontId="14" fillId="0" borderId="17" xfId="0" applyFont="1" applyBorder="1" applyAlignment="1">
      <alignment vertical="center"/>
    </xf>
    <xf numFmtId="0" fontId="0" fillId="0" borderId="20" xfId="0" applyBorder="1" applyAlignment="1">
      <alignment horizontal="left"/>
    </xf>
    <xf numFmtId="0" fontId="14" fillId="0" borderId="19" xfId="0" applyFont="1" applyBorder="1"/>
    <xf numFmtId="0" fontId="0" fillId="0" borderId="4" xfId="0" applyBorder="1" applyAlignment="1">
      <alignment horizontal="center"/>
    </xf>
    <xf numFmtId="0" fontId="0" fillId="0" borderId="4" xfId="0" applyBorder="1" applyAlignment="1">
      <alignment horizontal="left"/>
    </xf>
    <xf numFmtId="0" fontId="0" fillId="0" borderId="34" xfId="0" applyBorder="1"/>
    <xf numFmtId="0" fontId="14" fillId="0" borderId="34" xfId="0" applyFont="1" applyBorder="1" applyAlignment="1">
      <alignment vertical="center"/>
    </xf>
    <xf numFmtId="0" fontId="0" fillId="0" borderId="27" xfId="0" applyBorder="1" applyAlignment="1">
      <alignment horizontal="left"/>
    </xf>
    <xf numFmtId="0" fontId="14" fillId="0" borderId="36" xfId="0" applyFont="1" applyBorder="1" applyAlignment="1">
      <alignment vertical="center"/>
    </xf>
    <xf numFmtId="0" fontId="14" fillId="0" borderId="19" xfId="0" applyFont="1" applyBorder="1" applyAlignment="1">
      <alignment vertical="top"/>
    </xf>
    <xf numFmtId="0" fontId="0" fillId="0" borderId="4" xfId="0" applyBorder="1"/>
    <xf numFmtId="0" fontId="14" fillId="0" borderId="24" xfId="0" applyFont="1" applyBorder="1"/>
    <xf numFmtId="0" fontId="0" fillId="0" borderId="18" xfId="0" applyBorder="1"/>
    <xf numFmtId="0" fontId="16" fillId="0" borderId="7" xfId="0" applyFont="1" applyBorder="1"/>
    <xf numFmtId="0" fontId="0" fillId="0" borderId="21" xfId="0" applyBorder="1"/>
    <xf numFmtId="0" fontId="0" fillId="0" borderId="42" xfId="0" applyBorder="1"/>
    <xf numFmtId="0" fontId="0" fillId="0" borderId="42" xfId="0" applyBorder="1" applyAlignment="1">
      <alignment vertical="top"/>
    </xf>
    <xf numFmtId="0" fontId="0" fillId="0" borderId="43" xfId="0" applyBorder="1"/>
    <xf numFmtId="0" fontId="0" fillId="0" borderId="42" xfId="0" applyBorder="1" applyAlignment="1">
      <alignment vertical="center"/>
    </xf>
    <xf numFmtId="0" fontId="0" fillId="0" borderId="25" xfId="0" applyBorder="1"/>
    <xf numFmtId="0" fontId="0" fillId="0" borderId="44" xfId="0" applyBorder="1" applyAlignment="1">
      <alignment vertical="center"/>
    </xf>
    <xf numFmtId="0" fontId="0" fillId="7" borderId="39" xfId="0" applyFill="1" applyBorder="1" applyAlignment="1">
      <alignment vertical="center"/>
    </xf>
    <xf numFmtId="0" fontId="14" fillId="0" borderId="39" xfId="0" applyFont="1" applyBorder="1" applyAlignment="1">
      <alignment vertical="center"/>
    </xf>
    <xf numFmtId="0" fontId="0" fillId="7" borderId="44" xfId="0" applyFill="1" applyBorder="1" applyAlignment="1">
      <alignment vertical="center"/>
    </xf>
    <xf numFmtId="0" fontId="14" fillId="0" borderId="44" xfId="0" applyFont="1" applyBorder="1" applyAlignment="1">
      <alignment vertical="center"/>
    </xf>
    <xf numFmtId="0" fontId="0" fillId="0" borderId="0" xfId="0" applyAlignment="1">
      <alignment vertical="center"/>
    </xf>
    <xf numFmtId="0" fontId="0" fillId="9" borderId="2" xfId="0" applyFill="1" applyBorder="1" applyAlignment="1">
      <alignment horizontal="center"/>
    </xf>
    <xf numFmtId="0" fontId="0" fillId="11" borderId="2" xfId="0" applyFill="1" applyBorder="1"/>
    <xf numFmtId="0" fontId="4" fillId="11" borderId="2" xfId="0" applyFont="1" applyFill="1" applyBorder="1" applyAlignment="1">
      <alignment vertical="center"/>
    </xf>
    <xf numFmtId="0" fontId="4" fillId="5" borderId="2" xfId="0" applyFont="1" applyFill="1" applyBorder="1"/>
    <xf numFmtId="0" fontId="4" fillId="5" borderId="4" xfId="0" applyFont="1" applyFill="1" applyBorder="1"/>
    <xf numFmtId="0" fontId="4" fillId="6" borderId="2" xfId="0" applyFont="1" applyFill="1" applyBorder="1"/>
    <xf numFmtId="0" fontId="0" fillId="6" borderId="2" xfId="0" applyFill="1" applyBorder="1"/>
    <xf numFmtId="0" fontId="0" fillId="8" borderId="2" xfId="0" applyFill="1" applyBorder="1" applyAlignment="1">
      <alignment horizontal="center"/>
    </xf>
    <xf numFmtId="165" fontId="0" fillId="9" borderId="2" xfId="0" applyNumberFormat="1" applyFill="1" applyBorder="1" applyAlignment="1">
      <alignment horizontal="center"/>
    </xf>
    <xf numFmtId="3" fontId="0" fillId="0" borderId="2" xfId="0" applyNumberFormat="1" applyBorder="1"/>
    <xf numFmtId="165" fontId="0" fillId="8" borderId="2" xfId="0" applyNumberFormat="1" applyFill="1" applyBorder="1"/>
    <xf numFmtId="0" fontId="7" fillId="7" borderId="2" xfId="0" applyFont="1" applyFill="1" applyBorder="1"/>
    <xf numFmtId="4" fontId="0" fillId="7" borderId="2" xfId="0" applyNumberFormat="1" applyFill="1" applyBorder="1"/>
    <xf numFmtId="164" fontId="17" fillId="0" borderId="2" xfId="0" applyNumberFormat="1" applyFont="1" applyBorder="1"/>
    <xf numFmtId="164" fontId="0" fillId="7" borderId="2" xfId="0" applyNumberFormat="1" applyFill="1" applyBorder="1" applyAlignment="1">
      <alignment horizontal="right" vertical="center"/>
    </xf>
    <xf numFmtId="4" fontId="7" fillId="7" borderId="2" xfId="0" applyNumberFormat="1" applyFont="1" applyFill="1" applyBorder="1"/>
    <xf numFmtId="168" fontId="0" fillId="8" borderId="2" xfId="0" applyNumberFormat="1" applyFill="1" applyBorder="1"/>
    <xf numFmtId="3" fontId="18" fillId="0" borderId="2" xfId="0" applyNumberFormat="1" applyFont="1" applyBorder="1"/>
    <xf numFmtId="3" fontId="0" fillId="7" borderId="2" xfId="0" applyNumberFormat="1" applyFill="1" applyBorder="1" applyAlignment="1">
      <alignment horizontal="left"/>
    </xf>
    <xf numFmtId="3" fontId="19" fillId="0" borderId="2" xfId="0" applyNumberFormat="1" applyFont="1" applyBorder="1" applyAlignment="1">
      <alignment horizontal="right"/>
    </xf>
    <xf numFmtId="166" fontId="19" fillId="0" borderId="2" xfId="0" applyNumberFormat="1" applyFont="1" applyBorder="1" applyAlignment="1">
      <alignment horizontal="right" vertical="center"/>
    </xf>
    <xf numFmtId="166" fontId="19" fillId="0" borderId="2" xfId="0" applyNumberFormat="1" applyFont="1" applyBorder="1"/>
    <xf numFmtId="49" fontId="19" fillId="0" borderId="2" xfId="0" applyNumberFormat="1" applyFont="1" applyBorder="1" applyAlignment="1">
      <alignment horizontal="center"/>
    </xf>
    <xf numFmtId="0" fontId="20" fillId="0" borderId="0" xfId="0" applyFont="1" applyAlignment="1">
      <alignment horizontal="center"/>
    </xf>
    <xf numFmtId="0" fontId="20" fillId="0" borderId="2" xfId="0" applyFont="1" applyBorder="1" applyAlignment="1">
      <alignment horizontal="center"/>
    </xf>
    <xf numFmtId="3" fontId="7" fillId="7" borderId="2" xfId="0" applyNumberFormat="1" applyFont="1" applyFill="1" applyBorder="1" applyAlignment="1">
      <alignment horizontal="left"/>
    </xf>
    <xf numFmtId="0" fontId="0" fillId="7" borderId="2" xfId="0" applyFill="1" applyBorder="1" applyAlignment="1">
      <alignment horizontal="left"/>
    </xf>
    <xf numFmtId="167" fontId="0" fillId="7" borderId="2" xfId="0" applyNumberFormat="1" applyFill="1" applyBorder="1"/>
    <xf numFmtId="0" fontId="7" fillId="7" borderId="2" xfId="0" applyFont="1" applyFill="1" applyBorder="1" applyAlignment="1">
      <alignment horizontal="left"/>
    </xf>
    <xf numFmtId="167" fontId="0" fillId="8" borderId="2" xfId="0" applyNumberFormat="1" applyFill="1" applyBorder="1"/>
    <xf numFmtId="0" fontId="7" fillId="7" borderId="0" xfId="0" applyFont="1" applyFill="1"/>
    <xf numFmtId="165" fontId="7" fillId="7" borderId="2" xfId="0" applyNumberFormat="1" applyFont="1" applyFill="1" applyBorder="1"/>
    <xf numFmtId="165" fontId="7" fillId="8" borderId="2" xfId="0" applyNumberFormat="1" applyFont="1" applyFill="1" applyBorder="1"/>
    <xf numFmtId="165" fontId="7" fillId="7" borderId="2" xfId="0" applyNumberFormat="1" applyFont="1" applyFill="1" applyBorder="1" applyAlignment="1">
      <alignment horizontal="center"/>
    </xf>
    <xf numFmtId="4" fontId="0" fillId="0" borderId="2" xfId="0" applyNumberFormat="1" applyBorder="1"/>
    <xf numFmtId="0" fontId="7" fillId="0" borderId="2" xfId="0" applyFont="1" applyBorder="1"/>
    <xf numFmtId="3" fontId="0" fillId="0" borderId="0" xfId="0" applyNumberFormat="1"/>
    <xf numFmtId="4" fontId="0" fillId="0" borderId="0" xfId="0" applyNumberFormat="1"/>
    <xf numFmtId="0" fontId="4" fillId="7" borderId="22" xfId="0" applyFont="1" applyFill="1" applyBorder="1"/>
    <xf numFmtId="0" fontId="0" fillId="0" borderId="37" xfId="0" applyBorder="1"/>
    <xf numFmtId="0" fontId="0" fillId="5" borderId="2" xfId="0" applyFill="1" applyBorder="1"/>
    <xf numFmtId="0" fontId="0" fillId="0" borderId="22" xfId="0" applyBorder="1"/>
    <xf numFmtId="0" fontId="4" fillId="0" borderId="2" xfId="0" applyFont="1" applyBorder="1"/>
    <xf numFmtId="164" fontId="0" fillId="0" borderId="2" xfId="0" applyNumberFormat="1" applyBorder="1" applyAlignment="1">
      <alignment horizontal="right"/>
    </xf>
    <xf numFmtId="0" fontId="0" fillId="0" borderId="13" xfId="0" applyBorder="1"/>
    <xf numFmtId="166" fontId="0" fillId="7" borderId="0" xfId="0" applyNumberFormat="1" applyFill="1"/>
    <xf numFmtId="164" fontId="0" fillId="7" borderId="0" xfId="0" applyNumberFormat="1" applyFill="1" applyAlignment="1">
      <alignment horizontal="right"/>
    </xf>
    <xf numFmtId="3" fontId="7" fillId="7" borderId="0" xfId="0" applyNumberFormat="1" applyFont="1" applyFill="1"/>
    <xf numFmtId="0" fontId="4" fillId="5" borderId="2" xfId="0" applyFont="1" applyFill="1" applyBorder="1" applyAlignment="1">
      <alignment horizontal="center" vertical="top"/>
    </xf>
    <xf numFmtId="0" fontId="4" fillId="11" borderId="2" xfId="0" applyFont="1" applyFill="1" applyBorder="1"/>
    <xf numFmtId="164" fontId="0" fillId="0" borderId="2" xfId="0" applyNumberFormat="1" applyBorder="1"/>
    <xf numFmtId="164" fontId="0" fillId="7" borderId="2" xfId="0" applyNumberFormat="1" applyFill="1" applyBorder="1"/>
    <xf numFmtId="0" fontId="4" fillId="6" borderId="2" xfId="0" applyFont="1" applyFill="1" applyBorder="1" applyAlignment="1">
      <alignment horizontal="center" vertical="top"/>
    </xf>
    <xf numFmtId="169" fontId="0" fillId="0" borderId="2" xfId="0" applyNumberFormat="1" applyBorder="1"/>
    <xf numFmtId="0" fontId="5" fillId="0" borderId="35" xfId="0" applyFont="1" applyBorder="1"/>
    <xf numFmtId="0" fontId="0" fillId="0" borderId="35" xfId="0" applyBorder="1"/>
    <xf numFmtId="0" fontId="23" fillId="0" borderId="0" xfId="10"/>
    <xf numFmtId="0" fontId="23" fillId="0" borderId="2" xfId="10" applyBorder="1"/>
    <xf numFmtId="0" fontId="10" fillId="18" borderId="0" xfId="10" applyFont="1" applyFill="1"/>
    <xf numFmtId="0" fontId="0" fillId="0" borderId="5" xfId="0" applyBorder="1"/>
    <xf numFmtId="0" fontId="0" fillId="0" borderId="3" xfId="0" applyBorder="1"/>
    <xf numFmtId="0" fontId="24" fillId="19" borderId="52" xfId="0" applyFont="1" applyFill="1" applyBorder="1" applyAlignment="1">
      <alignment vertical="center"/>
    </xf>
    <xf numFmtId="0" fontId="25" fillId="0" borderId="53" xfId="0" applyFont="1" applyBorder="1" applyAlignment="1">
      <alignment horizontal="center"/>
    </xf>
    <xf numFmtId="0" fontId="24" fillId="20" borderId="54" xfId="0" applyFont="1" applyFill="1" applyBorder="1"/>
    <xf numFmtId="0" fontId="24" fillId="20" borderId="23" xfId="0" applyFont="1" applyFill="1" applyBorder="1"/>
    <xf numFmtId="0" fontId="24" fillId="20" borderId="30" xfId="0" applyFont="1" applyFill="1" applyBorder="1"/>
    <xf numFmtId="0" fontId="4" fillId="3" borderId="2" xfId="0" applyFont="1" applyFill="1" applyBorder="1" applyAlignment="1">
      <alignment horizontal="center" vertical="center"/>
    </xf>
    <xf numFmtId="0" fontId="0" fillId="0" borderId="4" xfId="0" applyBorder="1"/>
    <xf numFmtId="0" fontId="4" fillId="0" borderId="2" xfId="0" applyFont="1" applyBorder="1" applyAlignment="1">
      <alignment horizontal="center" vertical="center" wrapText="1"/>
    </xf>
    <xf numFmtId="0" fontId="0" fillId="0" borderId="38" xfId="0" applyBorder="1"/>
    <xf numFmtId="0" fontId="0" fillId="0" borderId="45" xfId="0" applyBorder="1"/>
    <xf numFmtId="0" fontId="0" fillId="0" borderId="46" xfId="0" applyBorder="1"/>
    <xf numFmtId="0" fontId="0" fillId="0" borderId="47" xfId="0" applyBorder="1"/>
    <xf numFmtId="0" fontId="0" fillId="0" borderId="3" xfId="0" applyBorder="1"/>
    <xf numFmtId="0" fontId="4" fillId="5" borderId="2" xfId="0" applyFont="1" applyFill="1" applyBorder="1" applyAlignment="1">
      <alignment horizontal="center" vertical="center"/>
    </xf>
    <xf numFmtId="0" fontId="0" fillId="0" borderId="5" xfId="0" applyBorder="1"/>
    <xf numFmtId="0" fontId="4" fillId="3" borderId="2" xfId="0" applyFont="1" applyFill="1" applyBorder="1" applyAlignment="1">
      <alignment horizontal="center"/>
    </xf>
    <xf numFmtId="0" fontId="4" fillId="6" borderId="2" xfId="0" applyFont="1" applyFill="1" applyBorder="1" applyAlignment="1">
      <alignment horizontal="center"/>
    </xf>
    <xf numFmtId="0" fontId="4" fillId="5" borderId="2" xfId="0" applyFont="1" applyFill="1" applyBorder="1" applyAlignment="1">
      <alignment horizontal="center"/>
    </xf>
    <xf numFmtId="0" fontId="0" fillId="0" borderId="29" xfId="0" applyBorder="1"/>
    <xf numFmtId="0" fontId="10" fillId="13" borderId="0" xfId="0" applyFont="1" applyFill="1"/>
    <xf numFmtId="0" fontId="0" fillId="0" borderId="0" xfId="0"/>
    <xf numFmtId="0" fontId="10" fillId="13" borderId="0" xfId="0" applyFont="1" applyFill="1" applyAlignment="1">
      <alignment horizontal="center"/>
    </xf>
    <xf numFmtId="0" fontId="10" fillId="13" borderId="0" xfId="0" applyFont="1" applyFill="1" applyAlignment="1">
      <alignment horizontal="center" vertical="center" wrapText="1"/>
    </xf>
    <xf numFmtId="0" fontId="10" fillId="15" borderId="0" xfId="0" applyFont="1" applyFill="1" applyAlignment="1">
      <alignment horizontal="center" vertical="center" wrapText="1"/>
    </xf>
    <xf numFmtId="0" fontId="0" fillId="16" borderId="18" xfId="0" applyFill="1" applyBorder="1" applyAlignment="1">
      <alignment horizontal="center" vertical="center"/>
    </xf>
    <xf numFmtId="0" fontId="0" fillId="0" borderId="49" xfId="0" applyBorder="1"/>
    <xf numFmtId="0" fontId="0" fillId="16" borderId="14" xfId="0" applyFill="1" applyBorder="1" applyAlignment="1">
      <alignment horizontal="center" vertical="center"/>
    </xf>
    <xf numFmtId="0" fontId="0" fillId="0" borderId="51" xfId="0" applyBorder="1"/>
    <xf numFmtId="0" fontId="4" fillId="5" borderId="31" xfId="0" applyFont="1" applyFill="1" applyBorder="1" applyAlignment="1">
      <alignment horizontal="center" vertical="center"/>
    </xf>
    <xf numFmtId="0" fontId="0" fillId="0" borderId="13" xfId="0" applyBorder="1"/>
    <xf numFmtId="0" fontId="0" fillId="0" borderId="41" xfId="0" applyBorder="1"/>
    <xf numFmtId="0" fontId="4" fillId="5" borderId="6" xfId="0" applyFont="1" applyFill="1" applyBorder="1" applyAlignment="1">
      <alignment horizontal="center" vertical="center"/>
    </xf>
    <xf numFmtId="0" fontId="0" fillId="0" borderId="35" xfId="0" applyBorder="1"/>
    <xf numFmtId="0" fontId="4" fillId="5" borderId="41" xfId="0" applyFont="1" applyFill="1" applyBorder="1" applyAlignment="1">
      <alignment horizontal="center" vertical="center"/>
    </xf>
    <xf numFmtId="0" fontId="4" fillId="11" borderId="38" xfId="0" applyFont="1" applyFill="1" applyBorder="1" applyAlignment="1">
      <alignment horizontal="left" vertical="center"/>
    </xf>
    <xf numFmtId="0" fontId="0" fillId="16" borderId="6" xfId="0" applyFill="1" applyBorder="1" applyAlignment="1">
      <alignment horizontal="center" vertical="center"/>
    </xf>
    <xf numFmtId="0" fontId="0" fillId="16" borderId="15" xfId="0" applyFill="1" applyBorder="1" applyAlignment="1">
      <alignment horizontal="center" vertical="center"/>
    </xf>
    <xf numFmtId="0" fontId="0" fillId="0" borderId="28" xfId="0" applyBorder="1"/>
    <xf numFmtId="0" fontId="0" fillId="0" borderId="50" xfId="0" applyBorder="1"/>
    <xf numFmtId="0" fontId="0" fillId="5" borderId="2" xfId="0" applyFill="1" applyBorder="1" applyAlignment="1">
      <alignment horizontal="center" vertical="center"/>
    </xf>
    <xf numFmtId="0" fontId="4" fillId="17" borderId="2" xfId="0" applyFont="1" applyFill="1" applyBorder="1" applyAlignment="1">
      <alignment horizontal="left" vertical="center"/>
    </xf>
    <xf numFmtId="0" fontId="0" fillId="0" borderId="48" xfId="0" applyBorder="1"/>
    <xf numFmtId="0" fontId="6" fillId="17" borderId="2" xfId="0" applyFont="1" applyFill="1" applyBorder="1" applyAlignment="1">
      <alignment vertical="center"/>
    </xf>
    <xf numFmtId="0" fontId="0" fillId="9" borderId="2" xfId="0" applyFill="1" applyBorder="1" applyAlignment="1">
      <alignment horizontal="center"/>
    </xf>
    <xf numFmtId="0" fontId="0" fillId="6" borderId="2" xfId="0" applyFill="1" applyBorder="1" applyAlignment="1">
      <alignment horizontal="center"/>
    </xf>
    <xf numFmtId="0" fontId="21" fillId="11" borderId="14" xfId="0" applyFont="1" applyFill="1" applyBorder="1" applyAlignment="1">
      <alignment horizontal="center"/>
    </xf>
    <xf numFmtId="0" fontId="0" fillId="0" borderId="11" xfId="0" applyBorder="1"/>
    <xf numFmtId="0" fontId="0" fillId="0" borderId="12" xfId="0" applyBorder="1"/>
    <xf numFmtId="165" fontId="0" fillId="5" borderId="2" xfId="0" applyNumberFormat="1" applyFill="1" applyBorder="1" applyAlignment="1">
      <alignment horizontal="center" vertical="center"/>
    </xf>
  </cellXfs>
  <cellStyles count="11">
    <cellStyle name="Comma 3" xfId="1" xr:uid="{00000000-0005-0000-0000-000001000000}"/>
    <cellStyle name="Milliers 2" xfId="2" xr:uid="{00000000-0005-0000-0000-000002000000}"/>
    <cellStyle name="Normal" xfId="0" builtinId="0"/>
    <cellStyle name="Normal 2" xfId="3" xr:uid="{00000000-0005-0000-0000-000003000000}"/>
    <cellStyle name="Normal 2 2" xfId="4" xr:uid="{00000000-0005-0000-0000-000004000000}"/>
    <cellStyle name="Normal 2 6" xfId="5" xr:uid="{00000000-0005-0000-0000-000005000000}"/>
    <cellStyle name="Normal 3" xfId="6" xr:uid="{00000000-0005-0000-0000-000006000000}"/>
    <cellStyle name="Normal 4" xfId="7" xr:uid="{00000000-0005-0000-0000-000007000000}"/>
    <cellStyle name="Normal 5" xfId="10" xr:uid="{00000000-0005-0000-0000-00000A000000}"/>
    <cellStyle name="Note 2" xfId="8" xr:uid="{00000000-0005-0000-0000-000008000000}"/>
    <cellStyle name="Обычный 2" xfId="9" xr:uid="{00000000-0005-0000-0000-000009000000}"/>
  </cellStyles>
  <dxfs count="0"/>
  <tableStyles count="0" defaultTableStyle="TableStyleMedium2" defaultPivotStyle="PivotStyleLight16"/>
  <colors>
    <indexedColors>
      <rgbColor rgb="FF000000"/>
      <rgbColor rgb="FFFFFFFF"/>
      <rgbColor rgb="FFFF0000"/>
      <rgbColor rgb="FF00FF00"/>
      <rgbColor rgb="FF0000FF"/>
      <rgbColor rgb="FFFFF2CC"/>
      <rgbColor rgb="FFFF00FF"/>
      <rgbColor rgb="FF00FFFF"/>
      <rgbColor rgb="FF800000"/>
      <rgbColor rgb="FF008000"/>
      <rgbColor rgb="FF000080"/>
      <rgbColor rgb="FF808000"/>
      <rgbColor rgb="FF800080"/>
      <rgbColor rgb="FF0070C0"/>
      <rgbColor rgb="FFBFBFBF"/>
      <rgbColor rgb="FF808080"/>
      <rgbColor rgb="FFB2B2B2"/>
      <rgbColor rgb="FF993366"/>
      <rgbColor rgb="FFFFFFCC"/>
      <rgbColor rgb="FFDDEBF7"/>
      <rgbColor rgb="FF660066"/>
      <rgbColor rgb="FFE7E6E6"/>
      <rgbColor rgb="FF0563C1"/>
      <rgbColor rgb="FFBDD7EE"/>
      <rgbColor rgb="FF000080"/>
      <rgbColor rgb="FFFF00FF"/>
      <rgbColor rgb="FFFFF8E5"/>
      <rgbColor rgb="FF00FFFF"/>
      <rgbColor rgb="FF800080"/>
      <rgbColor rgb="FF800000"/>
      <rgbColor rgb="FF008080"/>
      <rgbColor rgb="FF0000FF"/>
      <rgbColor rgb="FF00CCFF"/>
      <rgbColor rgb="FFDEEBF7"/>
      <rgbColor rgb="FFE2F0D9"/>
      <rgbColor rgb="FFFFE699"/>
      <rgbColor rgb="FFD0CECE"/>
      <rgbColor rgb="FFFCE4D6"/>
      <rgbColor rgb="FFD9D9D9"/>
      <rgbColor rgb="FFF8CBAD"/>
      <rgbColor rgb="FF3366FF"/>
      <rgbColor rgb="FF33CCCC"/>
      <rgbColor rgb="FFC6E0B4"/>
      <rgbColor rgb="FFFFD700"/>
      <rgbColor rgb="FFF2F2F2"/>
      <rgbColor rgb="FFFF6600"/>
      <rgbColor rgb="FF666699"/>
      <rgbColor rgb="FFA6A6A6"/>
      <rgbColor rgb="FF003366"/>
      <rgbColor rgb="FF2BA84A"/>
      <rgbColor rgb="FF003300"/>
      <rgbColor rgb="FF333300"/>
      <rgbColor rgb="FF993300"/>
      <rgbColor rgb="FF993366"/>
      <rgbColor rgb="FF333399"/>
      <rgbColor rgb="FF1B1B1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92880</xdr:colOff>
      <xdr:row>43</xdr:row>
      <xdr:rowOff>64080</xdr:rowOff>
    </xdr:from>
    <xdr:to>
      <xdr:col>4</xdr:col>
      <xdr:colOff>344160</xdr:colOff>
      <xdr:row>67</xdr:row>
      <xdr:rowOff>1440</xdr:rowOff>
    </xdr:to>
    <xdr:pic>
      <xdr:nvPicPr>
        <xdr:cNvPr id="2" name="Image 2">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a:stretch>
          <a:fillRect/>
        </a:stretch>
      </xdr:blipFill>
      <xdr:spPr>
        <a:xfrm>
          <a:off x="92880" y="8322120"/>
          <a:ext cx="4903200" cy="4547520"/>
        </a:xfrm>
        <a:prstGeom prst="rect">
          <a:avLst/>
        </a:prstGeom>
        <a:noFill/>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8" Type="http://schemas.openxmlformats.org/officeDocument/2006/relationships/hyperlink" Target="https://doi.org/10.1016/j.mineng.2023.108282" TargetMode="External"/><Relationship Id="rId13" Type="http://schemas.openxmlformats.org/officeDocument/2006/relationships/hyperlink" Target="https://doi.org/10.1088/1748-9326/aca4ea" TargetMode="External"/><Relationship Id="rId3" Type="http://schemas.openxmlformats.org/officeDocument/2006/relationships/hyperlink" Target="https://www2.bgs.ac.uk/mineralsuk/statistics/wms.cfc?method=searchWMS" TargetMode="External"/><Relationship Id="rId7" Type="http://schemas.openxmlformats.org/officeDocument/2006/relationships/hyperlink" Target="https://doi.org/10.1016/j.resourpol.2015.11.005" TargetMode="External"/><Relationship Id="rId12" Type="http://schemas.openxmlformats.org/officeDocument/2006/relationships/hyperlink" Target="https://doi.org/10.1088/1748-9326/aca4ea" TargetMode="External"/><Relationship Id="rId2" Type="http://schemas.openxmlformats.org/officeDocument/2006/relationships/hyperlink" Target="https://www.usgs.gov/centers/national-minerals-information-center/historical-statistics-mineral-and-material-commodities" TargetMode="External"/><Relationship Id="rId16" Type="http://schemas.openxmlformats.org/officeDocument/2006/relationships/hyperlink" Target="https://doi.org/10.1021/acs.est.1c07875" TargetMode="External"/><Relationship Id="rId1" Type="http://schemas.openxmlformats.org/officeDocument/2006/relationships/hyperlink" Target="https://doi.org/10.1016/j.mineng.2023.108282" TargetMode="External"/><Relationship Id="rId6" Type="http://schemas.openxmlformats.org/officeDocument/2006/relationships/hyperlink" Target="https://doi.org/10.1007/s00126-013-0506-z" TargetMode="External"/><Relationship Id="rId11" Type="http://schemas.openxmlformats.org/officeDocument/2006/relationships/hyperlink" Target="https://doi.org/10.1016/j.enpol.2018.04.056" TargetMode="External"/><Relationship Id="rId5" Type="http://schemas.openxmlformats.org/officeDocument/2006/relationships/hyperlink" Target="https://www.cadmium.org/wp-content/uploads/2021/11/icda-report-on-worldwide-cadmium-production-and-trade-2020.pdf" TargetMode="External"/><Relationship Id="rId15" Type="http://schemas.openxmlformats.org/officeDocument/2006/relationships/hyperlink" Target="https://doi.org/10.1038/s41893-022-00895-8" TargetMode="External"/><Relationship Id="rId10" Type="http://schemas.openxmlformats.org/officeDocument/2006/relationships/hyperlink" Target="https://doi.org/10.1016/j.resconrec.2013.04.007" TargetMode="External"/><Relationship Id="rId4" Type="http://schemas.openxmlformats.org/officeDocument/2006/relationships/hyperlink" Target="https://www.internationaltin.org/reports/tin-for-the-future/" TargetMode="External"/><Relationship Id="rId9" Type="http://schemas.openxmlformats.org/officeDocument/2006/relationships/hyperlink" Target="https://doi.org/10.1007/s13563-023-00384-0" TargetMode="External"/><Relationship Id="rId14" Type="http://schemas.openxmlformats.org/officeDocument/2006/relationships/hyperlink" Target="http://data.europa.eu/eli/reg/2023/1542/oj"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6"/>
  <sheetViews>
    <sheetView zoomScale="110" zoomScaleNormal="110" workbookViewId="0">
      <selection activeCell="B20" sqref="B20"/>
    </sheetView>
  </sheetViews>
  <sheetFormatPr baseColWidth="10" defaultColWidth="10.6640625" defaultRowHeight="15" x14ac:dyDescent="0.2"/>
  <cols>
    <col min="1" max="1" width="31.5" customWidth="1"/>
    <col min="2" max="2" width="94.83203125" style="3" customWidth="1"/>
  </cols>
  <sheetData>
    <row r="1" spans="1:2" ht="14.25" customHeight="1" x14ac:dyDescent="0.2">
      <c r="A1" s="225" t="s">
        <v>0</v>
      </c>
      <c r="B1" s="226"/>
    </row>
    <row r="2" spans="1:2" ht="15" customHeight="1" x14ac:dyDescent="0.2">
      <c r="A2" s="227"/>
      <c r="B2" s="228"/>
    </row>
    <row r="3" spans="1:2" ht="15" customHeight="1" x14ac:dyDescent="0.2">
      <c r="A3" s="229"/>
      <c r="B3" s="230"/>
    </row>
    <row r="4" spans="1:2" ht="15" customHeight="1" x14ac:dyDescent="0.2">
      <c r="A4" s="4" t="s">
        <v>1</v>
      </c>
      <c r="B4" s="5"/>
    </row>
    <row r="5" spans="1:2" ht="15" customHeight="1" x14ac:dyDescent="0.2">
      <c r="A5" s="223" t="s">
        <v>2</v>
      </c>
      <c r="B5" s="224"/>
    </row>
    <row r="6" spans="1:2" ht="15.75" customHeight="1" x14ac:dyDescent="0.2">
      <c r="A6" s="6" t="s">
        <v>3</v>
      </c>
      <c r="B6" s="7" t="s">
        <v>4</v>
      </c>
    </row>
    <row r="7" spans="1:2" ht="15" customHeight="1" x14ac:dyDescent="0.2">
      <c r="A7" s="235" t="s">
        <v>5</v>
      </c>
      <c r="B7" s="224"/>
    </row>
    <row r="8" spans="1:2" ht="15.75" customHeight="1" x14ac:dyDescent="0.2">
      <c r="A8" s="231" t="s">
        <v>6</v>
      </c>
      <c r="B8" s="8" t="s">
        <v>7</v>
      </c>
    </row>
    <row r="9" spans="1:2" ht="48" customHeight="1" x14ac:dyDescent="0.2">
      <c r="A9" s="236"/>
      <c r="B9" s="8" t="s">
        <v>8</v>
      </c>
    </row>
    <row r="10" spans="1:2" ht="31.5" customHeight="1" x14ac:dyDescent="0.2">
      <c r="A10" s="236"/>
      <c r="B10" s="8" t="s">
        <v>9</v>
      </c>
    </row>
    <row r="11" spans="1:2" ht="15.75" customHeight="1" x14ac:dyDescent="0.2">
      <c r="A11" s="232"/>
      <c r="B11" s="8" t="s">
        <v>10</v>
      </c>
    </row>
    <row r="12" spans="1:2" ht="15" customHeight="1" x14ac:dyDescent="0.2">
      <c r="A12" s="231" t="s">
        <v>11</v>
      </c>
      <c r="B12" s="9" t="s">
        <v>12</v>
      </c>
    </row>
    <row r="13" spans="1:2" ht="15" customHeight="1" x14ac:dyDescent="0.2">
      <c r="A13" s="232"/>
      <c r="B13" s="9" t="s">
        <v>13</v>
      </c>
    </row>
    <row r="14" spans="1:2" ht="15.75" customHeight="1" x14ac:dyDescent="0.2">
      <c r="A14" s="231" t="s">
        <v>14</v>
      </c>
      <c r="B14" s="8" t="s">
        <v>15</v>
      </c>
    </row>
    <row r="15" spans="1:2" ht="31.5" customHeight="1" x14ac:dyDescent="0.2">
      <c r="A15" s="232"/>
      <c r="B15" s="8" t="s">
        <v>16</v>
      </c>
    </row>
    <row r="16" spans="1:2" ht="15" customHeight="1" x14ac:dyDescent="0.2">
      <c r="A16" s="234" t="s">
        <v>17</v>
      </c>
      <c r="B16" s="224"/>
    </row>
    <row r="17" spans="1:2" ht="31.5" customHeight="1" x14ac:dyDescent="0.2">
      <c r="A17" s="10" t="s">
        <v>18</v>
      </c>
      <c r="B17" s="11" t="s">
        <v>19</v>
      </c>
    </row>
    <row r="18" spans="1:2" ht="31.5" customHeight="1" x14ac:dyDescent="0.2">
      <c r="A18" s="10" t="s">
        <v>20</v>
      </c>
      <c r="B18" s="11" t="s">
        <v>21</v>
      </c>
    </row>
    <row r="19" spans="1:2" ht="31.5" customHeight="1" x14ac:dyDescent="0.2">
      <c r="A19" s="10" t="s">
        <v>22</v>
      </c>
      <c r="B19" s="11" t="s">
        <v>23</v>
      </c>
    </row>
    <row r="20" spans="1:2" ht="31.5" customHeight="1" x14ac:dyDescent="0.2">
      <c r="A20" s="10" t="s">
        <v>24</v>
      </c>
      <c r="B20" s="11" t="s">
        <v>25</v>
      </c>
    </row>
    <row r="21" spans="1:2" ht="15.75" customHeight="1" x14ac:dyDescent="0.2">
      <c r="A21" s="12" t="s">
        <v>26</v>
      </c>
      <c r="B21" s="11" t="s">
        <v>27</v>
      </c>
    </row>
    <row r="22" spans="1:2" ht="31.5" customHeight="1" x14ac:dyDescent="0.2">
      <c r="A22" s="13" t="s">
        <v>28</v>
      </c>
      <c r="B22" s="14" t="s">
        <v>29</v>
      </c>
    </row>
    <row r="23" spans="1:2" ht="63.75" customHeight="1" x14ac:dyDescent="0.2">
      <c r="A23" s="13" t="s">
        <v>30</v>
      </c>
      <c r="B23" s="14" t="s">
        <v>31</v>
      </c>
    </row>
    <row r="24" spans="1:2" ht="15" customHeight="1" x14ac:dyDescent="0.2">
      <c r="A24" s="233" t="s">
        <v>32</v>
      </c>
      <c r="B24" s="224"/>
    </row>
    <row r="25" spans="1:2" ht="31.5" customHeight="1" x14ac:dyDescent="0.2">
      <c r="A25" s="15" t="s">
        <v>33</v>
      </c>
      <c r="B25" s="8" t="s">
        <v>34</v>
      </c>
    </row>
    <row r="26" spans="1:2" ht="48" customHeight="1" x14ac:dyDescent="0.2">
      <c r="A26" s="15" t="s">
        <v>35</v>
      </c>
      <c r="B26" s="8" t="s">
        <v>36</v>
      </c>
    </row>
  </sheetData>
  <mergeCells count="8">
    <mergeCell ref="A5:B5"/>
    <mergeCell ref="A1:B3"/>
    <mergeCell ref="A14:A15"/>
    <mergeCell ref="A24:B24"/>
    <mergeCell ref="A16:B16"/>
    <mergeCell ref="A7:B7"/>
    <mergeCell ref="A8:A11"/>
    <mergeCell ref="A12:A13"/>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DE406"/>
  </sheetPr>
  <dimension ref="A1:B42"/>
  <sheetViews>
    <sheetView workbookViewId="0">
      <selection activeCell="E46" sqref="E46"/>
    </sheetView>
  </sheetViews>
  <sheetFormatPr baseColWidth="10" defaultColWidth="8.83203125" defaultRowHeight="15" x14ac:dyDescent="0.2"/>
  <cols>
    <col min="1" max="1" width="12.5" style="213" bestFit="1" customWidth="1"/>
    <col min="2" max="2" width="10.1640625" style="213" bestFit="1" customWidth="1"/>
    <col min="3" max="3" width="8.83203125" style="213" customWidth="1"/>
    <col min="4" max="16384" width="8.83203125" style="213"/>
  </cols>
  <sheetData>
    <row r="1" spans="1:2" x14ac:dyDescent="0.2">
      <c r="A1" s="215" t="s">
        <v>79</v>
      </c>
      <c r="B1" s="215" t="s">
        <v>80</v>
      </c>
    </row>
    <row r="2" spans="1:2" x14ac:dyDescent="0.2">
      <c r="A2" s="214" t="s">
        <v>38</v>
      </c>
      <c r="B2" s="214" t="s">
        <v>81</v>
      </c>
    </row>
    <row r="3" spans="1:2" x14ac:dyDescent="0.2">
      <c r="A3" s="214" t="s">
        <v>39</v>
      </c>
      <c r="B3" s="214" t="s">
        <v>82</v>
      </c>
    </row>
    <row r="4" spans="1:2" x14ac:dyDescent="0.2">
      <c r="A4" s="214" t="s">
        <v>40</v>
      </c>
      <c r="B4" s="214" t="s">
        <v>83</v>
      </c>
    </row>
    <row r="5" spans="1:2" x14ac:dyDescent="0.2">
      <c r="A5" s="214" t="s">
        <v>41</v>
      </c>
      <c r="B5" s="214" t="s">
        <v>84</v>
      </c>
    </row>
    <row r="6" spans="1:2" x14ac:dyDescent="0.2">
      <c r="A6" s="214" t="s">
        <v>42</v>
      </c>
      <c r="B6" s="214" t="s">
        <v>85</v>
      </c>
    </row>
    <row r="7" spans="1:2" x14ac:dyDescent="0.2">
      <c r="A7" s="214" t="s">
        <v>43</v>
      </c>
      <c r="B7" s="214" t="s">
        <v>43</v>
      </c>
    </row>
    <row r="8" spans="1:2" x14ac:dyDescent="0.2">
      <c r="A8" s="214" t="s">
        <v>44</v>
      </c>
      <c r="B8" s="214" t="s">
        <v>86</v>
      </c>
    </row>
    <row r="9" spans="1:2" x14ac:dyDescent="0.2">
      <c r="A9" s="214" t="s">
        <v>45</v>
      </c>
      <c r="B9" s="214" t="s">
        <v>87</v>
      </c>
    </row>
    <row r="10" spans="1:2" x14ac:dyDescent="0.2">
      <c r="A10" s="214" t="s">
        <v>46</v>
      </c>
      <c r="B10" s="214" t="s">
        <v>88</v>
      </c>
    </row>
    <row r="11" spans="1:2" x14ac:dyDescent="0.2">
      <c r="A11" s="214" t="s">
        <v>47</v>
      </c>
      <c r="B11" s="214" t="s">
        <v>89</v>
      </c>
    </row>
    <row r="12" spans="1:2" x14ac:dyDescent="0.2">
      <c r="A12" s="214" t="s">
        <v>48</v>
      </c>
      <c r="B12" s="214" t="s">
        <v>48</v>
      </c>
    </row>
    <row r="13" spans="1:2" x14ac:dyDescent="0.2">
      <c r="A13" s="214" t="s">
        <v>49</v>
      </c>
      <c r="B13" s="214" t="s">
        <v>90</v>
      </c>
    </row>
    <row r="14" spans="1:2" x14ac:dyDescent="0.2">
      <c r="A14" s="214" t="s">
        <v>50</v>
      </c>
      <c r="B14" s="214" t="s">
        <v>91</v>
      </c>
    </row>
    <row r="15" spans="1:2" x14ac:dyDescent="0.2">
      <c r="A15" s="214" t="s">
        <v>51</v>
      </c>
      <c r="B15" s="214" t="s">
        <v>92</v>
      </c>
    </row>
    <row r="16" spans="1:2" x14ac:dyDescent="0.2">
      <c r="A16" s="214" t="s">
        <v>52</v>
      </c>
      <c r="B16" s="214" t="s">
        <v>93</v>
      </c>
    </row>
    <row r="17" spans="1:2" x14ac:dyDescent="0.2">
      <c r="A17" s="214" t="s">
        <v>53</v>
      </c>
      <c r="B17" s="214" t="s">
        <v>94</v>
      </c>
    </row>
    <row r="18" spans="1:2" x14ac:dyDescent="0.2">
      <c r="A18" s="214" t="s">
        <v>54</v>
      </c>
      <c r="B18" s="214" t="s">
        <v>95</v>
      </c>
    </row>
    <row r="19" spans="1:2" x14ac:dyDescent="0.2">
      <c r="A19" s="214" t="s">
        <v>55</v>
      </c>
      <c r="B19" s="214" t="s">
        <v>96</v>
      </c>
    </row>
    <row r="20" spans="1:2" x14ac:dyDescent="0.2">
      <c r="A20" s="214" t="s">
        <v>56</v>
      </c>
      <c r="B20" s="214" t="s">
        <v>97</v>
      </c>
    </row>
    <row r="21" spans="1:2" x14ac:dyDescent="0.2">
      <c r="A21" s="214" t="s">
        <v>57</v>
      </c>
      <c r="B21" s="214" t="s">
        <v>98</v>
      </c>
    </row>
    <row r="22" spans="1:2" x14ac:dyDescent="0.2">
      <c r="A22" s="214" t="s">
        <v>58</v>
      </c>
      <c r="B22" s="214" t="s">
        <v>99</v>
      </c>
    </row>
    <row r="23" spans="1:2" x14ac:dyDescent="0.2">
      <c r="A23" s="214" t="s">
        <v>59</v>
      </c>
      <c r="B23" s="214" t="s">
        <v>100</v>
      </c>
    </row>
    <row r="24" spans="1:2" x14ac:dyDescent="0.2">
      <c r="A24" s="214" t="s">
        <v>60</v>
      </c>
      <c r="B24" s="214" t="s">
        <v>101</v>
      </c>
    </row>
    <row r="25" spans="1:2" x14ac:dyDescent="0.2">
      <c r="A25" s="214" t="s">
        <v>61</v>
      </c>
      <c r="B25" s="214" t="s">
        <v>102</v>
      </c>
    </row>
    <row r="26" spans="1:2" x14ac:dyDescent="0.2">
      <c r="A26" s="214" t="s">
        <v>62</v>
      </c>
      <c r="B26" s="214" t="s">
        <v>103</v>
      </c>
    </row>
    <row r="27" spans="1:2" x14ac:dyDescent="0.2">
      <c r="A27" s="214" t="s">
        <v>63</v>
      </c>
      <c r="B27" s="214" t="s">
        <v>63</v>
      </c>
    </row>
    <row r="28" spans="1:2" x14ac:dyDescent="0.2">
      <c r="A28" s="214" t="s">
        <v>64</v>
      </c>
      <c r="B28" s="214" t="s">
        <v>104</v>
      </c>
    </row>
    <row r="29" spans="1:2" x14ac:dyDescent="0.2">
      <c r="A29" s="214" t="s">
        <v>65</v>
      </c>
      <c r="B29" s="214" t="s">
        <v>105</v>
      </c>
    </row>
    <row r="30" spans="1:2" x14ac:dyDescent="0.2">
      <c r="A30" s="214" t="s">
        <v>66</v>
      </c>
      <c r="B30" s="214" t="s">
        <v>106</v>
      </c>
    </row>
    <row r="31" spans="1:2" x14ac:dyDescent="0.2">
      <c r="A31" s="214" t="s">
        <v>67</v>
      </c>
      <c r="B31" s="214" t="s">
        <v>107</v>
      </c>
    </row>
    <row r="32" spans="1:2" x14ac:dyDescent="0.2">
      <c r="A32" s="214" t="s">
        <v>68</v>
      </c>
      <c r="B32" s="214" t="s">
        <v>108</v>
      </c>
    </row>
    <row r="33" spans="1:2" x14ac:dyDescent="0.2">
      <c r="A33" s="214" t="s">
        <v>69</v>
      </c>
      <c r="B33" s="214" t="s">
        <v>109</v>
      </c>
    </row>
    <row r="34" spans="1:2" x14ac:dyDescent="0.2">
      <c r="A34" s="214" t="s">
        <v>70</v>
      </c>
      <c r="B34" s="214" t="s">
        <v>110</v>
      </c>
    </row>
    <row r="35" spans="1:2" x14ac:dyDescent="0.2">
      <c r="A35" s="214" t="s">
        <v>71</v>
      </c>
      <c r="B35" s="214" t="s">
        <v>111</v>
      </c>
    </row>
    <row r="36" spans="1:2" x14ac:dyDescent="0.2">
      <c r="A36" s="214" t="s">
        <v>72</v>
      </c>
      <c r="B36" s="214" t="s">
        <v>112</v>
      </c>
    </row>
    <row r="37" spans="1:2" x14ac:dyDescent="0.2">
      <c r="A37" s="214" t="s">
        <v>73</v>
      </c>
      <c r="B37" s="214" t="s">
        <v>113</v>
      </c>
    </row>
    <row r="38" spans="1:2" x14ac:dyDescent="0.2">
      <c r="A38" s="214" t="s">
        <v>74</v>
      </c>
      <c r="B38" s="214" t="s">
        <v>114</v>
      </c>
    </row>
    <row r="39" spans="1:2" x14ac:dyDescent="0.2">
      <c r="A39" s="214" t="s">
        <v>75</v>
      </c>
      <c r="B39" s="214" t="s">
        <v>115</v>
      </c>
    </row>
    <row r="40" spans="1:2" x14ac:dyDescent="0.2">
      <c r="A40" s="214" t="s">
        <v>76</v>
      </c>
      <c r="B40" s="214" t="s">
        <v>116</v>
      </c>
    </row>
    <row r="41" spans="1:2" x14ac:dyDescent="0.2">
      <c r="A41" s="214" t="s">
        <v>77</v>
      </c>
      <c r="B41" s="214" t="s">
        <v>117</v>
      </c>
    </row>
    <row r="42" spans="1:2" x14ac:dyDescent="0.2">
      <c r="A42" s="214" t="s">
        <v>78</v>
      </c>
      <c r="B42" s="214" t="s">
        <v>118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2"/>
  <sheetViews>
    <sheetView tabSelected="1" workbookViewId="0">
      <selection activeCell="N19" sqref="N19"/>
    </sheetView>
  </sheetViews>
  <sheetFormatPr baseColWidth="10" defaultColWidth="8.83203125" defaultRowHeight="15" x14ac:dyDescent="0.2"/>
  <cols>
    <col min="1" max="1" width="15.6640625" bestFit="1" customWidth="1"/>
    <col min="2" max="8" width="12.1640625" bestFit="1" customWidth="1"/>
  </cols>
  <sheetData>
    <row r="1" spans="1:8" ht="44" customHeight="1" thickBot="1" x14ac:dyDescent="0.3">
      <c r="A1" s="218" t="s">
        <v>37</v>
      </c>
      <c r="B1" s="219">
        <v>2020</v>
      </c>
      <c r="C1" s="219">
        <v>2025</v>
      </c>
      <c r="D1" s="219">
        <v>2030</v>
      </c>
      <c r="E1" s="219">
        <v>2035</v>
      </c>
      <c r="F1" s="219">
        <v>2040</v>
      </c>
      <c r="G1" s="219">
        <v>2045</v>
      </c>
      <c r="H1" s="219">
        <v>2050</v>
      </c>
    </row>
    <row r="2" spans="1:8" ht="16" thickTop="1" x14ac:dyDescent="0.2">
      <c r="A2" s="220" t="s">
        <v>38</v>
      </c>
      <c r="B2" s="217">
        <v>59119.832156900098</v>
      </c>
      <c r="C2" s="216">
        <v>83099.520593400055</v>
      </c>
      <c r="D2" s="216">
        <v>107079.2090299</v>
      </c>
      <c r="E2" s="216">
        <v>150511.77601942199</v>
      </c>
      <c r="F2" s="216">
        <v>193944.34300894401</v>
      </c>
      <c r="G2" s="216">
        <v>272610.41410050949</v>
      </c>
      <c r="H2" s="216">
        <v>351276.48519207502</v>
      </c>
    </row>
    <row r="3" spans="1:8" x14ac:dyDescent="0.2">
      <c r="A3" s="221" t="s">
        <v>39</v>
      </c>
      <c r="B3" s="141">
        <v>3461.7521879999999</v>
      </c>
      <c r="C3" s="9">
        <v>4542.6917662484402</v>
      </c>
      <c r="D3" s="9">
        <v>5623.63134449688</v>
      </c>
      <c r="E3" s="9">
        <v>7379.6223466307356</v>
      </c>
      <c r="F3" s="9">
        <v>9135.6133487645911</v>
      </c>
      <c r="G3" s="9">
        <v>11988.22829748499</v>
      </c>
      <c r="H3" s="9">
        <v>14840.843246205401</v>
      </c>
    </row>
    <row r="4" spans="1:8" x14ac:dyDescent="0.2">
      <c r="A4" s="221" t="s">
        <v>40</v>
      </c>
      <c r="B4" s="141">
        <v>2.6735515024869199</v>
      </c>
      <c r="C4" s="9">
        <v>3.259872930257171</v>
      </c>
      <c r="D4" s="9">
        <v>3.8461943580274198</v>
      </c>
      <c r="E4" s="9">
        <v>4.6896814445424306</v>
      </c>
      <c r="F4" s="9">
        <v>5.5331685310574414</v>
      </c>
      <c r="G4" s="9">
        <v>6.7466163626048354</v>
      </c>
      <c r="H4" s="9">
        <v>7.9600641941522303</v>
      </c>
    </row>
    <row r="5" spans="1:8" x14ac:dyDescent="0.2">
      <c r="A5" s="221" t="s">
        <v>41</v>
      </c>
      <c r="B5" s="141">
        <v>33010.6303430474</v>
      </c>
      <c r="C5" s="9">
        <v>48426.252547277749</v>
      </c>
      <c r="D5" s="9">
        <v>63841.874751508098</v>
      </c>
      <c r="E5" s="9">
        <v>93655.368518564559</v>
      </c>
      <c r="F5" s="9">
        <v>123468.862285621</v>
      </c>
      <c r="G5" s="9">
        <v>181127.54117789349</v>
      </c>
      <c r="H5" s="9">
        <v>238786.22007016599</v>
      </c>
    </row>
    <row r="6" spans="1:8" x14ac:dyDescent="0.2">
      <c r="A6" s="221" t="s">
        <v>42</v>
      </c>
      <c r="B6" s="141">
        <v>142</v>
      </c>
      <c r="C6" s="9">
        <v>251</v>
      </c>
      <c r="D6" s="9">
        <v>360</v>
      </c>
      <c r="E6" s="9">
        <v>309.5</v>
      </c>
      <c r="F6" s="9">
        <v>259</v>
      </c>
      <c r="G6" s="9">
        <v>406.5081731589035</v>
      </c>
      <c r="H6" s="9">
        <v>554.01634631780701</v>
      </c>
    </row>
    <row r="7" spans="1:8" x14ac:dyDescent="0.2">
      <c r="A7" s="221" t="s">
        <v>43</v>
      </c>
      <c r="B7" s="141"/>
      <c r="C7" s="9"/>
      <c r="D7" s="9"/>
      <c r="E7" s="9"/>
      <c r="F7" s="9"/>
      <c r="G7" s="9"/>
      <c r="H7" s="9"/>
    </row>
    <row r="8" spans="1:8" x14ac:dyDescent="0.2">
      <c r="A8" s="221" t="s">
        <v>44</v>
      </c>
      <c r="B8" s="141">
        <v>20600</v>
      </c>
      <c r="C8" s="9">
        <v>22450</v>
      </c>
      <c r="D8" s="9">
        <v>24300</v>
      </c>
      <c r="E8" s="9">
        <v>20450</v>
      </c>
      <c r="F8" s="9">
        <v>16600</v>
      </c>
      <c r="G8" s="9">
        <v>19064.743780738248</v>
      </c>
      <c r="H8" s="9">
        <v>21529.487561476501</v>
      </c>
    </row>
    <row r="9" spans="1:8" x14ac:dyDescent="0.2">
      <c r="A9" s="221" t="s">
        <v>45</v>
      </c>
      <c r="B9" s="141">
        <v>1.12864234140277</v>
      </c>
      <c r="C9" s="9">
        <v>1.5034451779647451</v>
      </c>
      <c r="D9" s="9">
        <v>1.87824801452672</v>
      </c>
      <c r="E9" s="9">
        <v>2.5019820866833098</v>
      </c>
      <c r="F9" s="9">
        <v>3.1257161588399001</v>
      </c>
      <c r="G9" s="9">
        <v>4.1637130863383902</v>
      </c>
      <c r="H9" s="9">
        <v>5.2017100138368786</v>
      </c>
    </row>
    <row r="10" spans="1:8" x14ac:dyDescent="0.2">
      <c r="A10" s="221" t="s">
        <v>46</v>
      </c>
      <c r="B10" s="141">
        <v>0.77924700000000002</v>
      </c>
      <c r="C10" s="9">
        <v>1.09531860564133</v>
      </c>
      <c r="D10" s="9">
        <v>1.41139021128266</v>
      </c>
      <c r="E10" s="9">
        <v>1.98386642263357</v>
      </c>
      <c r="F10" s="9">
        <v>2.5563426339844799</v>
      </c>
      <c r="G10" s="9">
        <v>3.5932248047119351</v>
      </c>
      <c r="H10" s="9">
        <v>4.6301069754393902</v>
      </c>
    </row>
    <row r="11" spans="1:8" x14ac:dyDescent="0.2">
      <c r="A11" s="221" t="s">
        <v>47</v>
      </c>
      <c r="B11" s="141">
        <v>0.2964</v>
      </c>
      <c r="C11" s="9">
        <v>0.36140180416552597</v>
      </c>
      <c r="D11" s="9">
        <v>0.42640360833105201</v>
      </c>
      <c r="E11" s="9">
        <v>0.51991576704970499</v>
      </c>
      <c r="F11" s="9">
        <v>0.61342792576835803</v>
      </c>
      <c r="G11" s="9">
        <v>0.74795532759177097</v>
      </c>
      <c r="H11" s="9">
        <v>0.88248272941518402</v>
      </c>
    </row>
    <row r="12" spans="1:8" x14ac:dyDescent="0.2">
      <c r="A12" s="221" t="s">
        <v>48</v>
      </c>
      <c r="B12" s="141"/>
      <c r="C12" s="9"/>
      <c r="D12" s="9"/>
      <c r="E12" s="9"/>
      <c r="F12" s="9"/>
      <c r="G12" s="9"/>
      <c r="H12" s="9"/>
    </row>
    <row r="13" spans="1:8" x14ac:dyDescent="0.2">
      <c r="A13" s="221" t="s">
        <v>49</v>
      </c>
      <c r="B13" s="141">
        <v>7.4989809782608705E-2</v>
      </c>
      <c r="C13" s="9">
        <v>0.11262652800704941</v>
      </c>
      <c r="D13" s="9">
        <v>0.15026324623149001</v>
      </c>
      <c r="E13" s="9">
        <v>0.225679032380289</v>
      </c>
      <c r="F13" s="9">
        <v>0.30109481852908798</v>
      </c>
      <c r="G13" s="9">
        <v>0.45221162862195002</v>
      </c>
      <c r="H13" s="9">
        <v>0.60332843871481201</v>
      </c>
    </row>
    <row r="14" spans="1:8" x14ac:dyDescent="0.2">
      <c r="A14" s="221" t="s">
        <v>50</v>
      </c>
      <c r="B14" s="141">
        <v>0.80600000000000005</v>
      </c>
      <c r="C14" s="9">
        <v>0.95608259952535501</v>
      </c>
      <c r="D14" s="9">
        <v>1.10616519905071</v>
      </c>
      <c r="E14" s="9">
        <v>1.2569610669022351</v>
      </c>
      <c r="F14" s="9">
        <v>1.40775693475376</v>
      </c>
      <c r="G14" s="9">
        <v>1.70472704831704</v>
      </c>
      <c r="H14" s="9">
        <v>2.0016971618803199</v>
      </c>
    </row>
    <row r="15" spans="1:8" x14ac:dyDescent="0.2">
      <c r="A15" s="221" t="s">
        <v>51</v>
      </c>
      <c r="B15" s="141"/>
      <c r="C15" s="9"/>
      <c r="D15" s="9"/>
      <c r="E15" s="9"/>
      <c r="F15" s="9"/>
      <c r="G15" s="9"/>
      <c r="H15" s="9"/>
    </row>
    <row r="16" spans="1:8" x14ac:dyDescent="0.2">
      <c r="A16" s="221" t="s">
        <v>52</v>
      </c>
      <c r="B16" s="141">
        <v>2470000</v>
      </c>
      <c r="C16" s="9">
        <v>3033549.8646693551</v>
      </c>
      <c r="D16" s="9">
        <v>3597099.7293387102</v>
      </c>
      <c r="E16" s="9">
        <v>4417806.2336589601</v>
      </c>
      <c r="F16" s="9">
        <v>5238512.73797921</v>
      </c>
      <c r="G16" s="9">
        <v>6433720.4888119549</v>
      </c>
      <c r="H16" s="9">
        <v>7628928.2396447007</v>
      </c>
    </row>
    <row r="17" spans="1:8" x14ac:dyDescent="0.2">
      <c r="A17" s="221" t="s">
        <v>53</v>
      </c>
      <c r="B17" s="141">
        <v>2987.07858367165</v>
      </c>
      <c r="C17" s="9">
        <v>3258.5255517549099</v>
      </c>
      <c r="D17" s="9">
        <v>3529.9725198381698</v>
      </c>
      <c r="E17" s="9">
        <v>3850.7542840559349</v>
      </c>
      <c r="F17" s="9">
        <v>4171.5360482736996</v>
      </c>
      <c r="G17" s="9">
        <v>4550.6190823604902</v>
      </c>
      <c r="H17" s="9">
        <v>4929.7021164472799</v>
      </c>
    </row>
    <row r="18" spans="1:8" x14ac:dyDescent="0.2">
      <c r="A18" s="221" t="s">
        <v>54</v>
      </c>
      <c r="B18" s="141"/>
      <c r="C18" s="9"/>
      <c r="D18" s="9"/>
      <c r="E18" s="9"/>
      <c r="F18" s="9"/>
      <c r="G18" s="9"/>
      <c r="H18" s="9"/>
    </row>
    <row r="19" spans="1:8" x14ac:dyDescent="0.2">
      <c r="A19" s="221" t="s">
        <v>55</v>
      </c>
      <c r="B19" s="141">
        <v>48.674999999999997</v>
      </c>
      <c r="C19" s="9">
        <v>175.757755</v>
      </c>
      <c r="D19" s="9">
        <v>302.84050999999999</v>
      </c>
      <c r="E19" s="9">
        <v>290.344605</v>
      </c>
      <c r="F19" s="9">
        <v>277.84870000000001</v>
      </c>
      <c r="G19" s="9">
        <v>363.57202507427797</v>
      </c>
      <c r="H19" s="9">
        <v>449.295350148556</v>
      </c>
    </row>
    <row r="20" spans="1:8" x14ac:dyDescent="0.2">
      <c r="A20" s="221" t="s">
        <v>56</v>
      </c>
      <c r="B20" s="141"/>
      <c r="C20" s="9"/>
      <c r="D20" s="9"/>
      <c r="E20" s="9"/>
      <c r="F20" s="9"/>
      <c r="G20" s="9"/>
      <c r="H20" s="9"/>
    </row>
    <row r="21" spans="1:8" x14ac:dyDescent="0.2">
      <c r="A21" s="221" t="s">
        <v>57</v>
      </c>
      <c r="B21" s="141">
        <v>18224.913705780102</v>
      </c>
      <c r="C21" s="9">
        <v>23759.694393790502</v>
      </c>
      <c r="D21" s="9">
        <v>29294.475081800902</v>
      </c>
      <c r="E21" s="9">
        <v>38191.005269306399</v>
      </c>
      <c r="F21" s="9">
        <v>47087.5354568119</v>
      </c>
      <c r="G21" s="9">
        <v>61387.695452066713</v>
      </c>
      <c r="H21" s="9">
        <v>75687.855447321504</v>
      </c>
    </row>
    <row r="22" spans="1:8" x14ac:dyDescent="0.2">
      <c r="A22" s="221" t="s">
        <v>58</v>
      </c>
      <c r="B22" s="141">
        <v>280.59699999999998</v>
      </c>
      <c r="C22" s="9">
        <v>318.09834938305852</v>
      </c>
      <c r="D22" s="9">
        <v>355.599698766117</v>
      </c>
      <c r="E22" s="9">
        <v>403.1250413176715</v>
      </c>
      <c r="F22" s="9">
        <v>450.650383869226</v>
      </c>
      <c r="G22" s="9">
        <v>510.87910155006102</v>
      </c>
      <c r="H22" s="9">
        <v>571.10781923089598</v>
      </c>
    </row>
    <row r="23" spans="1:8" x14ac:dyDescent="0.2">
      <c r="A23" s="221" t="s">
        <v>59</v>
      </c>
      <c r="B23" s="141">
        <v>32.898017743275098</v>
      </c>
      <c r="C23" s="9">
        <v>44.915198786756207</v>
      </c>
      <c r="D23" s="9">
        <v>56.932379830237302</v>
      </c>
      <c r="E23" s="9">
        <v>77.728973746478701</v>
      </c>
      <c r="F23" s="9">
        <v>98.525567662720107</v>
      </c>
      <c r="G23" s="9">
        <v>134.5155653961456</v>
      </c>
      <c r="H23" s="9">
        <v>170.50556312957099</v>
      </c>
    </row>
    <row r="24" spans="1:8" x14ac:dyDescent="0.2">
      <c r="A24" s="221" t="s">
        <v>60</v>
      </c>
      <c r="B24" s="141">
        <v>2371.0422938031702</v>
      </c>
      <c r="C24" s="9">
        <v>3698.2591953145102</v>
      </c>
      <c r="D24" s="9">
        <v>5025.4760968258506</v>
      </c>
      <c r="E24" s="9">
        <v>5247.4661123811256</v>
      </c>
      <c r="F24" s="9">
        <v>5469.4561279363998</v>
      </c>
      <c r="G24" s="9">
        <v>7216.2358808131557</v>
      </c>
      <c r="H24" s="9">
        <v>8963.0156336899108</v>
      </c>
    </row>
    <row r="25" spans="1:8" x14ac:dyDescent="0.2">
      <c r="A25" s="221" t="s">
        <v>61</v>
      </c>
      <c r="B25" s="141">
        <v>61.090617800195702</v>
      </c>
      <c r="C25" s="9">
        <v>63.867800371084897</v>
      </c>
      <c r="D25" s="9">
        <v>66.644982941974106</v>
      </c>
      <c r="E25" s="9">
        <v>69.674667232760058</v>
      </c>
      <c r="F25" s="9">
        <v>72.704351523546009</v>
      </c>
      <c r="G25" s="9">
        <v>76.009495016109412</v>
      </c>
      <c r="H25" s="9">
        <v>79.3146385086728</v>
      </c>
    </row>
    <row r="26" spans="1:8" x14ac:dyDescent="0.2">
      <c r="A26" s="221" t="s">
        <v>62</v>
      </c>
      <c r="B26" s="141"/>
      <c r="C26" s="9"/>
      <c r="D26" s="9"/>
      <c r="E26" s="9"/>
      <c r="F26" s="9"/>
      <c r="G26" s="9"/>
      <c r="H26" s="9"/>
    </row>
    <row r="27" spans="1:8" x14ac:dyDescent="0.2">
      <c r="A27" s="221" t="s">
        <v>63</v>
      </c>
      <c r="B27" s="141"/>
      <c r="C27" s="9"/>
      <c r="D27" s="9"/>
      <c r="E27" s="9"/>
      <c r="F27" s="9"/>
      <c r="G27" s="9"/>
      <c r="H27" s="9"/>
    </row>
    <row r="28" spans="1:8" x14ac:dyDescent="0.2">
      <c r="A28" s="221" t="s">
        <v>64</v>
      </c>
      <c r="B28" s="141">
        <v>9.425453607848711</v>
      </c>
      <c r="C28" s="9">
        <v>12.7845056335549</v>
      </c>
      <c r="D28" s="9">
        <v>16.143557659261099</v>
      </c>
      <c r="E28" s="9">
        <v>21.896813928252701</v>
      </c>
      <c r="F28" s="9">
        <v>27.6500701972443</v>
      </c>
      <c r="G28" s="9">
        <v>37.504028231649151</v>
      </c>
      <c r="H28" s="9">
        <v>47.357986266054013</v>
      </c>
    </row>
    <row r="29" spans="1:8" x14ac:dyDescent="0.2">
      <c r="A29" s="221" t="s">
        <v>65</v>
      </c>
      <c r="B29" s="141"/>
      <c r="C29" s="9"/>
      <c r="D29" s="9"/>
      <c r="E29" s="9"/>
      <c r="F29" s="9"/>
      <c r="G29" s="9"/>
      <c r="H29" s="9"/>
    </row>
    <row r="30" spans="1:8" x14ac:dyDescent="0.2">
      <c r="A30" s="221" t="s">
        <v>66</v>
      </c>
      <c r="B30" s="141">
        <v>5.9740000000000002</v>
      </c>
      <c r="C30" s="9">
        <v>6.5105000000000004</v>
      </c>
      <c r="D30" s="9">
        <v>7.0469999999999997</v>
      </c>
      <c r="E30" s="9">
        <v>5.9305000000000003</v>
      </c>
      <c r="F30" s="9">
        <v>4.8140000000000001</v>
      </c>
      <c r="G30" s="9">
        <v>5.5287756964140948</v>
      </c>
      <c r="H30" s="9">
        <v>6.2435513928281896</v>
      </c>
    </row>
    <row r="31" spans="1:8" x14ac:dyDescent="0.2">
      <c r="A31" s="221" t="s">
        <v>67</v>
      </c>
      <c r="B31" s="141">
        <v>3000</v>
      </c>
      <c r="C31" s="9">
        <v>4738.3874959091854</v>
      </c>
      <c r="D31" s="9">
        <v>6476.7749918183708</v>
      </c>
      <c r="E31" s="9">
        <v>10229.82321168314</v>
      </c>
      <c r="F31" s="9">
        <v>13982.871431547899</v>
      </c>
      <c r="G31" s="9">
        <v>22085.421049384098</v>
      </c>
      <c r="H31" s="9">
        <v>30187.970667220299</v>
      </c>
    </row>
    <row r="32" spans="1:8" x14ac:dyDescent="0.2">
      <c r="A32" s="221" t="s">
        <v>68</v>
      </c>
      <c r="B32" s="141">
        <v>23.5</v>
      </c>
      <c r="C32" s="9">
        <v>26.640738177891699</v>
      </c>
      <c r="D32" s="9">
        <v>29.781476355783401</v>
      </c>
      <c r="E32" s="9">
        <v>33.7617240061914</v>
      </c>
      <c r="F32" s="9">
        <v>37.741971656599397</v>
      </c>
      <c r="G32" s="9">
        <v>42.786127030675452</v>
      </c>
      <c r="H32" s="9">
        <v>47.8302824047515</v>
      </c>
    </row>
    <row r="33" spans="1:8" x14ac:dyDescent="0.2">
      <c r="A33" s="221" t="s">
        <v>69</v>
      </c>
      <c r="B33" s="141">
        <v>1.40326635276449</v>
      </c>
      <c r="C33" s="9">
        <v>2.1787469084283551</v>
      </c>
      <c r="D33" s="9">
        <v>2.9542274640922201</v>
      </c>
      <c r="E33" s="9">
        <v>4.5868084426772464</v>
      </c>
      <c r="F33" s="9">
        <v>6.21938942126227</v>
      </c>
      <c r="G33" s="9">
        <v>9.656381660682035</v>
      </c>
      <c r="H33" s="9">
        <v>13.093373900101801</v>
      </c>
    </row>
    <row r="34" spans="1:8" x14ac:dyDescent="0.2">
      <c r="A34" s="221" t="s">
        <v>70</v>
      </c>
      <c r="B34" s="141">
        <v>0.45888774619063211</v>
      </c>
      <c r="C34" s="9">
        <v>0.50009853893105305</v>
      </c>
      <c r="D34" s="9">
        <v>0.54130933167147399</v>
      </c>
      <c r="E34" s="9">
        <v>0.45554633056303051</v>
      </c>
      <c r="F34" s="9">
        <v>0.36978332945458697</v>
      </c>
      <c r="G34" s="9">
        <v>0.42468821870120649</v>
      </c>
      <c r="H34" s="9">
        <v>0.479593107947826</v>
      </c>
    </row>
    <row r="35" spans="1:8" x14ac:dyDescent="0.2">
      <c r="A35" s="221" t="s">
        <v>71</v>
      </c>
      <c r="B35" s="141">
        <v>0.31381338159351102</v>
      </c>
      <c r="C35" s="9">
        <v>0.40263736578755249</v>
      </c>
      <c r="D35" s="9">
        <v>0.49146134998159402</v>
      </c>
      <c r="E35" s="9">
        <v>0.63056808584186697</v>
      </c>
      <c r="F35" s="9">
        <v>0.76967482170213997</v>
      </c>
      <c r="G35" s="9">
        <v>0.9875290886243151</v>
      </c>
      <c r="H35" s="9">
        <v>1.2053833555464899</v>
      </c>
    </row>
    <row r="36" spans="1:8" x14ac:dyDescent="0.2">
      <c r="A36" s="221" t="s">
        <v>72</v>
      </c>
      <c r="B36" s="141"/>
      <c r="C36" s="9"/>
      <c r="D36" s="9"/>
      <c r="E36" s="9"/>
      <c r="F36" s="9"/>
      <c r="G36" s="9"/>
      <c r="H36" s="9"/>
    </row>
    <row r="37" spans="1:8" x14ac:dyDescent="0.2">
      <c r="A37" s="221" t="s">
        <v>73</v>
      </c>
      <c r="B37" s="141">
        <v>91.871379835020093</v>
      </c>
      <c r="C37" s="9">
        <v>102.4438140016821</v>
      </c>
      <c r="D37" s="9">
        <v>113.01624816834401</v>
      </c>
      <c r="E37" s="9">
        <v>126.02200519157149</v>
      </c>
      <c r="F37" s="9">
        <v>139.027762214799</v>
      </c>
      <c r="G37" s="9">
        <v>155.02688910277899</v>
      </c>
      <c r="H37" s="9">
        <v>171.02601599075899</v>
      </c>
    </row>
    <row r="38" spans="1:8" x14ac:dyDescent="0.2">
      <c r="A38" s="221" t="s">
        <v>74</v>
      </c>
      <c r="B38" s="141">
        <v>304.05489830678403</v>
      </c>
      <c r="C38" s="9">
        <v>356.43385676050298</v>
      </c>
      <c r="D38" s="9">
        <v>408.81281521422198</v>
      </c>
      <c r="E38" s="9">
        <v>479.23822056930447</v>
      </c>
      <c r="F38" s="9">
        <v>549.66362592438702</v>
      </c>
      <c r="G38" s="9">
        <v>644.3531322804555</v>
      </c>
      <c r="H38" s="9">
        <v>739.04263863652398</v>
      </c>
    </row>
    <row r="39" spans="1:8" x14ac:dyDescent="0.2">
      <c r="A39" s="221" t="s">
        <v>75</v>
      </c>
      <c r="B39" s="141">
        <v>105</v>
      </c>
      <c r="C39" s="9">
        <v>131.3735629004365</v>
      </c>
      <c r="D39" s="9">
        <v>157.74712580087299</v>
      </c>
      <c r="E39" s="9">
        <v>197.36954241679999</v>
      </c>
      <c r="F39" s="9">
        <v>236.99195903272701</v>
      </c>
      <c r="G39" s="9">
        <v>296.51883844651098</v>
      </c>
      <c r="H39" s="9">
        <v>356.04571786029499</v>
      </c>
    </row>
    <row r="40" spans="1:8" x14ac:dyDescent="0.2">
      <c r="A40" s="221" t="s">
        <v>76</v>
      </c>
      <c r="B40" s="141">
        <v>5.7350570735869093</v>
      </c>
      <c r="C40" s="9">
        <v>7.3454126325122147</v>
      </c>
      <c r="D40" s="9">
        <v>8.9557681914375209</v>
      </c>
      <c r="E40" s="9">
        <v>11.47047221381751</v>
      </c>
      <c r="F40" s="9">
        <v>13.9851762361975</v>
      </c>
      <c r="G40" s="9">
        <v>17.912095533693751</v>
      </c>
      <c r="H40" s="9">
        <v>21.839014831189999</v>
      </c>
    </row>
    <row r="41" spans="1:8" x14ac:dyDescent="0.2">
      <c r="A41" s="221" t="s">
        <v>77</v>
      </c>
      <c r="B41" s="141">
        <v>11708.1928048881</v>
      </c>
      <c r="C41" s="9">
        <v>14275.850213240201</v>
      </c>
      <c r="D41" s="9">
        <v>16843.5076215923</v>
      </c>
      <c r="E41" s="9">
        <v>20537.361818216101</v>
      </c>
      <c r="F41" s="9">
        <v>24231.216014839902</v>
      </c>
      <c r="G41" s="9">
        <v>29545.226669661701</v>
      </c>
      <c r="H41" s="9">
        <v>34859.237324483503</v>
      </c>
    </row>
    <row r="42" spans="1:8" x14ac:dyDescent="0.2">
      <c r="A42" s="222" t="s">
        <v>78</v>
      </c>
      <c r="B42" s="141">
        <v>569.07113186803497</v>
      </c>
      <c r="C42" s="9">
        <v>854.68286900765747</v>
      </c>
      <c r="D42" s="9">
        <v>1140.2946061472801</v>
      </c>
      <c r="E42" s="9">
        <v>1712.598321929845</v>
      </c>
      <c r="F42" s="9">
        <v>2284.9020377124102</v>
      </c>
      <c r="G42" s="9">
        <v>3431.6740379765811</v>
      </c>
      <c r="H42" s="9">
        <v>4578.4460382407506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2CC"/>
  </sheetPr>
  <dimension ref="A1:L47"/>
  <sheetViews>
    <sheetView zoomScaleNormal="100" workbookViewId="0">
      <selection activeCell="B18" sqref="B18"/>
    </sheetView>
  </sheetViews>
  <sheetFormatPr baseColWidth="10" defaultColWidth="10.6640625" defaultRowHeight="15" x14ac:dyDescent="0.2"/>
  <cols>
    <col min="2" max="2" width="21.83203125" customWidth="1"/>
    <col min="3" max="3" width="11.33203125" customWidth="1"/>
    <col min="4" max="4" width="31" customWidth="1"/>
    <col min="5" max="5" width="55.33203125" style="16" customWidth="1"/>
    <col min="6" max="6" width="32.33203125" customWidth="1"/>
    <col min="7" max="7" width="17.1640625" customWidth="1"/>
    <col min="8" max="8" width="25.5" customWidth="1"/>
    <col min="9" max="9" width="34.1640625" style="17" customWidth="1"/>
    <col min="10" max="10" width="14.6640625" style="16" customWidth="1"/>
    <col min="11" max="11" width="17.1640625" customWidth="1"/>
    <col min="12" max="12" width="29.33203125" style="18" customWidth="1"/>
    <col min="13" max="13" width="34.83203125" customWidth="1"/>
    <col min="14" max="14" width="25.33203125" customWidth="1"/>
    <col min="15" max="15" width="14.6640625" customWidth="1"/>
    <col min="16" max="16" width="15.83203125" customWidth="1"/>
    <col min="22" max="22" width="31.6640625" customWidth="1"/>
  </cols>
  <sheetData>
    <row r="1" spans="1:9" ht="15" customHeight="1" x14ac:dyDescent="0.2">
      <c r="A1" s="2" t="s">
        <v>119</v>
      </c>
      <c r="B1" s="19" t="s">
        <v>120</v>
      </c>
      <c r="C1" s="19" t="s">
        <v>121</v>
      </c>
      <c r="D1" s="19" t="s">
        <v>122</v>
      </c>
      <c r="E1" s="19" t="s">
        <v>123</v>
      </c>
      <c r="F1" s="2" t="s">
        <v>124</v>
      </c>
      <c r="G1" s="20" t="s">
        <v>125</v>
      </c>
      <c r="H1" s="2" t="s">
        <v>126</v>
      </c>
      <c r="I1" s="21" t="s">
        <v>127</v>
      </c>
    </row>
    <row r="2" spans="1:9" ht="15" customHeight="1" x14ac:dyDescent="0.2">
      <c r="A2" s="22" t="s">
        <v>38</v>
      </c>
      <c r="B2" s="23">
        <v>65100000</v>
      </c>
      <c r="C2" s="24" t="s">
        <v>128</v>
      </c>
      <c r="D2" s="24" t="s">
        <v>129</v>
      </c>
      <c r="E2" s="24" t="s">
        <v>130</v>
      </c>
      <c r="F2" s="25" t="s">
        <v>125</v>
      </c>
      <c r="G2" s="26">
        <v>6.1199889791982397E-2</v>
      </c>
      <c r="H2" s="27" t="s">
        <v>131</v>
      </c>
      <c r="I2" s="25" t="s">
        <v>132</v>
      </c>
    </row>
    <row r="3" spans="1:9" ht="15" customHeight="1" x14ac:dyDescent="0.2">
      <c r="A3" s="28" t="s">
        <v>39</v>
      </c>
      <c r="B3" s="29">
        <v>3601490</v>
      </c>
      <c r="C3" s="24" t="s">
        <v>128</v>
      </c>
      <c r="D3" s="24" t="s">
        <v>129</v>
      </c>
      <c r="E3" s="24" t="s">
        <v>133</v>
      </c>
      <c r="F3" s="25" t="s">
        <v>125</v>
      </c>
      <c r="G3" s="26">
        <v>4.9716652336851401E-2</v>
      </c>
      <c r="H3" s="30" t="s">
        <v>134</v>
      </c>
      <c r="I3" s="25" t="s">
        <v>133</v>
      </c>
    </row>
    <row r="4" spans="1:9" ht="15.75" customHeight="1" x14ac:dyDescent="0.2">
      <c r="A4" s="22" t="s">
        <v>40</v>
      </c>
      <c r="B4" s="23">
        <v>24000</v>
      </c>
      <c r="C4" s="24" t="s">
        <v>128</v>
      </c>
      <c r="D4" s="31" t="s">
        <v>135</v>
      </c>
      <c r="E4" s="24" t="s">
        <v>130</v>
      </c>
      <c r="F4" s="32" t="s">
        <v>136</v>
      </c>
      <c r="G4" s="33" t="s">
        <v>137</v>
      </c>
      <c r="H4" s="34"/>
      <c r="I4" s="25" t="s">
        <v>138</v>
      </c>
    </row>
    <row r="5" spans="1:9" ht="15" customHeight="1" x14ac:dyDescent="0.2">
      <c r="A5" s="22" t="s">
        <v>41</v>
      </c>
      <c r="B5" s="23">
        <v>37000000</v>
      </c>
      <c r="C5" s="24" t="s">
        <v>128</v>
      </c>
      <c r="D5" s="24" t="s">
        <v>129</v>
      </c>
      <c r="E5" s="24" t="s">
        <v>130</v>
      </c>
      <c r="F5" s="25" t="s">
        <v>125</v>
      </c>
      <c r="G5" s="35">
        <v>6.8181818181818205E-2</v>
      </c>
      <c r="H5" s="30" t="s">
        <v>134</v>
      </c>
      <c r="I5" s="25" t="s">
        <v>132</v>
      </c>
    </row>
    <row r="6" spans="1:9" ht="15" customHeight="1" x14ac:dyDescent="0.2">
      <c r="A6" s="22" t="s">
        <v>42</v>
      </c>
      <c r="B6" s="23">
        <v>142000</v>
      </c>
      <c r="C6" s="24" t="s">
        <v>128</v>
      </c>
      <c r="D6" s="24" t="s">
        <v>135</v>
      </c>
      <c r="E6" s="24" t="s">
        <v>130</v>
      </c>
      <c r="F6" s="32" t="s">
        <v>139</v>
      </c>
      <c r="G6" s="35">
        <v>7.2442120985810293E-2</v>
      </c>
      <c r="H6" s="27" t="s">
        <v>131</v>
      </c>
      <c r="I6" s="25" t="s">
        <v>132</v>
      </c>
    </row>
    <row r="7" spans="1:9" ht="15" customHeight="1" x14ac:dyDescent="0.2">
      <c r="A7" s="22" t="s">
        <v>44</v>
      </c>
      <c r="B7" s="23">
        <v>20600000</v>
      </c>
      <c r="C7" s="24" t="s">
        <v>128</v>
      </c>
      <c r="D7" s="24" t="s">
        <v>135</v>
      </c>
      <c r="E7" s="24" t="s">
        <v>130</v>
      </c>
      <c r="F7" s="32" t="s">
        <v>139</v>
      </c>
      <c r="G7" s="35">
        <v>2.7417577115110101E-2</v>
      </c>
      <c r="H7" s="27" t="s">
        <v>131</v>
      </c>
      <c r="I7" s="25" t="s">
        <v>132</v>
      </c>
    </row>
    <row r="8" spans="1:9" ht="15" customHeight="1" x14ac:dyDescent="0.2">
      <c r="A8" s="22" t="s">
        <v>45</v>
      </c>
      <c r="B8" s="36">
        <v>1121.4732403534399</v>
      </c>
      <c r="C8" s="24" t="s">
        <v>128</v>
      </c>
      <c r="D8" s="24" t="s">
        <v>129</v>
      </c>
      <c r="E8" s="24" t="s">
        <v>132</v>
      </c>
      <c r="F8" s="25" t="s">
        <v>125</v>
      </c>
      <c r="G8" s="26">
        <v>5.22517578794073E-2</v>
      </c>
      <c r="H8" s="30" t="s">
        <v>134</v>
      </c>
      <c r="I8" s="17" t="s">
        <v>140</v>
      </c>
    </row>
    <row r="9" spans="1:9" ht="15" customHeight="1" x14ac:dyDescent="0.2">
      <c r="A9" s="22" t="s">
        <v>46</v>
      </c>
      <c r="B9" s="23">
        <v>327</v>
      </c>
      <c r="C9" s="24" t="s">
        <v>128</v>
      </c>
      <c r="D9" s="24" t="s">
        <v>129</v>
      </c>
      <c r="E9" s="24" t="s">
        <v>130</v>
      </c>
      <c r="F9" s="32" t="s">
        <v>136</v>
      </c>
      <c r="G9" s="37" t="s">
        <v>141</v>
      </c>
      <c r="H9" s="34"/>
      <c r="I9" s="25" t="s">
        <v>142</v>
      </c>
    </row>
    <row r="10" spans="1:9" ht="15" customHeight="1" x14ac:dyDescent="0.2">
      <c r="A10" s="22" t="s">
        <v>47</v>
      </c>
      <c r="B10" s="23">
        <v>140</v>
      </c>
      <c r="C10" s="24" t="s">
        <v>128</v>
      </c>
      <c r="D10" s="24" t="s">
        <v>135</v>
      </c>
      <c r="E10" s="24" t="s">
        <v>130</v>
      </c>
      <c r="F10" s="32" t="s">
        <v>136</v>
      </c>
      <c r="G10" s="33" t="s">
        <v>137</v>
      </c>
      <c r="H10" s="34"/>
      <c r="I10" s="25" t="s">
        <v>143</v>
      </c>
    </row>
    <row r="11" spans="1:9" ht="15" customHeight="1" x14ac:dyDescent="0.2">
      <c r="A11" s="22" t="s">
        <v>49</v>
      </c>
      <c r="B11" s="36">
        <v>75</v>
      </c>
      <c r="C11" s="24" t="s">
        <v>128</v>
      </c>
      <c r="D11" s="24" t="s">
        <v>129</v>
      </c>
      <c r="E11" s="16" t="s">
        <v>140</v>
      </c>
      <c r="F11" s="32" t="s">
        <v>125</v>
      </c>
      <c r="G11" s="38">
        <v>7.1975973487986802E-2</v>
      </c>
      <c r="H11" s="39" t="s">
        <v>144</v>
      </c>
      <c r="I11" s="17" t="s">
        <v>140</v>
      </c>
    </row>
    <row r="12" spans="1:9" ht="15" customHeight="1" x14ac:dyDescent="0.2">
      <c r="A12" s="22" t="s">
        <v>50</v>
      </c>
      <c r="B12" s="23">
        <v>960</v>
      </c>
      <c r="C12" s="24" t="s">
        <v>128</v>
      </c>
      <c r="D12" s="24" t="s">
        <v>135</v>
      </c>
      <c r="E12" s="24" t="s">
        <v>130</v>
      </c>
      <c r="F12" s="32" t="s">
        <v>136</v>
      </c>
      <c r="G12" s="38" t="s">
        <v>145</v>
      </c>
      <c r="H12" s="30" t="s">
        <v>134</v>
      </c>
      <c r="I12" s="25" t="s">
        <v>132</v>
      </c>
    </row>
    <row r="13" spans="1:9" ht="15" customHeight="1" x14ac:dyDescent="0.2">
      <c r="A13" s="40" t="s">
        <v>52</v>
      </c>
      <c r="B13" s="36">
        <v>2470000000</v>
      </c>
      <c r="C13" s="24" t="s">
        <v>128</v>
      </c>
      <c r="D13" s="24" t="s">
        <v>129</v>
      </c>
      <c r="E13" s="24" t="s">
        <v>130</v>
      </c>
      <c r="F13" s="25" t="s">
        <v>125</v>
      </c>
      <c r="G13" s="26">
        <v>3.8306451612903199E-2</v>
      </c>
      <c r="H13" s="27" t="s">
        <v>131</v>
      </c>
      <c r="I13" s="25" t="s">
        <v>146</v>
      </c>
    </row>
    <row r="14" spans="1:9" ht="15" customHeight="1" x14ac:dyDescent="0.2">
      <c r="A14" s="41" t="s">
        <v>53</v>
      </c>
      <c r="B14" s="42">
        <v>3120000</v>
      </c>
      <c r="C14" s="24" t="s">
        <v>128</v>
      </c>
      <c r="D14" s="24" t="s">
        <v>129</v>
      </c>
      <c r="E14" s="24" t="s">
        <v>130</v>
      </c>
      <c r="F14" s="25" t="s">
        <v>125</v>
      </c>
      <c r="G14" s="26">
        <v>1.68396386653079E-2</v>
      </c>
      <c r="H14" s="27" t="s">
        <v>131</v>
      </c>
      <c r="I14" s="25" t="s">
        <v>146</v>
      </c>
    </row>
    <row r="15" spans="1:9" ht="15" customHeight="1" x14ac:dyDescent="0.2">
      <c r="A15" s="41" t="s">
        <v>55</v>
      </c>
      <c r="B15" s="23">
        <v>82500</v>
      </c>
      <c r="C15" s="24" t="s">
        <v>128</v>
      </c>
      <c r="D15" s="24" t="s">
        <v>129</v>
      </c>
      <c r="E15" s="24" t="s">
        <v>130</v>
      </c>
      <c r="F15" s="32" t="s">
        <v>139</v>
      </c>
      <c r="G15" s="43">
        <v>4.92340004941932E-2</v>
      </c>
      <c r="H15" s="30" t="s">
        <v>134</v>
      </c>
      <c r="I15" s="17" t="s">
        <v>140</v>
      </c>
    </row>
    <row r="16" spans="1:9" ht="15" customHeight="1" x14ac:dyDescent="0.2">
      <c r="A16" s="22" t="s">
        <v>57</v>
      </c>
      <c r="B16" s="23">
        <v>18900000</v>
      </c>
      <c r="C16" s="24" t="s">
        <v>128</v>
      </c>
      <c r="D16" s="24" t="s">
        <v>129</v>
      </c>
      <c r="E16" s="24" t="s">
        <v>130</v>
      </c>
      <c r="F16" s="25" t="s">
        <v>125</v>
      </c>
      <c r="G16" s="26">
        <v>4.8605240912933202E-2</v>
      </c>
      <c r="H16" s="30" t="s">
        <v>134</v>
      </c>
      <c r="I16" s="25" t="s">
        <v>132</v>
      </c>
    </row>
    <row r="17" spans="1:9" ht="15" customHeight="1" x14ac:dyDescent="0.2">
      <c r="A17" s="22" t="s">
        <v>58</v>
      </c>
      <c r="B17" s="44">
        <v>280597</v>
      </c>
      <c r="C17" s="24" t="s">
        <v>128</v>
      </c>
      <c r="D17" s="24" t="s">
        <v>129</v>
      </c>
      <c r="E17" s="24" t="s">
        <v>130</v>
      </c>
      <c r="F17" s="25" t="s">
        <v>125</v>
      </c>
      <c r="G17" s="26">
        <v>2.3971422004290501E-2</v>
      </c>
      <c r="H17" s="30" t="s">
        <v>147</v>
      </c>
      <c r="I17" s="25" t="s">
        <v>148</v>
      </c>
    </row>
    <row r="18" spans="1:9" ht="15" customHeight="1" x14ac:dyDescent="0.2">
      <c r="A18" s="22" t="s">
        <v>59</v>
      </c>
      <c r="B18" s="36">
        <v>34074.892048375797</v>
      </c>
      <c r="C18" s="24" t="s">
        <v>128</v>
      </c>
      <c r="D18" s="24" t="s">
        <v>129</v>
      </c>
      <c r="E18" s="24" t="s">
        <v>132</v>
      </c>
      <c r="F18" s="25" t="s">
        <v>125</v>
      </c>
      <c r="G18" s="26">
        <v>5.63770579279044E-2</v>
      </c>
      <c r="H18" s="30" t="s">
        <v>134</v>
      </c>
      <c r="I18" s="25" t="s">
        <v>132</v>
      </c>
    </row>
    <row r="19" spans="1:9" ht="15" customHeight="1" x14ac:dyDescent="0.2">
      <c r="A19" s="22" t="s">
        <v>60</v>
      </c>
      <c r="B19" s="23">
        <v>2510000</v>
      </c>
      <c r="C19" s="24" t="s">
        <v>128</v>
      </c>
      <c r="D19" s="24" t="s">
        <v>129</v>
      </c>
      <c r="E19" s="24" t="s">
        <v>130</v>
      </c>
      <c r="F19" s="32" t="s">
        <v>139</v>
      </c>
      <c r="G19" s="35">
        <v>5.0632911392405097E-2</v>
      </c>
      <c r="H19" s="27" t="s">
        <v>131</v>
      </c>
      <c r="I19" s="25" t="s">
        <v>132</v>
      </c>
    </row>
    <row r="20" spans="1:9" ht="15" customHeight="1" x14ac:dyDescent="0.2">
      <c r="A20" s="22" t="s">
        <v>61</v>
      </c>
      <c r="B20" s="45">
        <v>66232</v>
      </c>
      <c r="C20" s="24" t="s">
        <v>128</v>
      </c>
      <c r="D20" s="24" t="s">
        <v>129</v>
      </c>
      <c r="E20" s="24" t="s">
        <v>130</v>
      </c>
      <c r="F20" s="25" t="s">
        <v>125</v>
      </c>
      <c r="G20" s="26">
        <v>8.7401207059882701E-3</v>
      </c>
      <c r="H20" s="30" t="s">
        <v>134</v>
      </c>
      <c r="I20" s="25" t="s">
        <v>146</v>
      </c>
    </row>
    <row r="21" spans="1:9" ht="15" customHeight="1" x14ac:dyDescent="0.2">
      <c r="A21" s="22" t="s">
        <v>64</v>
      </c>
      <c r="B21" s="36">
        <v>10438.959702059599</v>
      </c>
      <c r="C21" s="24" t="s">
        <v>128</v>
      </c>
      <c r="D21" s="24" t="s">
        <v>129</v>
      </c>
      <c r="E21" s="24" t="s">
        <v>132</v>
      </c>
      <c r="F21" s="25" t="s">
        <v>125</v>
      </c>
      <c r="G21" s="26">
        <v>5.5284839274235199E-2</v>
      </c>
      <c r="H21" s="30" t="s">
        <v>134</v>
      </c>
      <c r="I21" s="25" t="s">
        <v>132</v>
      </c>
    </row>
    <row r="22" spans="1:9" ht="15" customHeight="1" x14ac:dyDescent="0.2">
      <c r="A22" s="22" t="s">
        <v>66</v>
      </c>
      <c r="B22" s="45">
        <v>3120</v>
      </c>
      <c r="C22" s="24" t="s">
        <v>128</v>
      </c>
      <c r="D22" s="24" t="s">
        <v>135</v>
      </c>
      <c r="E22" s="24" t="s">
        <v>130</v>
      </c>
      <c r="F22" s="32" t="s">
        <v>149</v>
      </c>
      <c r="G22" s="37" t="s">
        <v>150</v>
      </c>
      <c r="H22" s="34"/>
      <c r="I22" s="25" t="s">
        <v>151</v>
      </c>
    </row>
    <row r="23" spans="1:9" ht="15" customHeight="1" x14ac:dyDescent="0.2">
      <c r="A23" s="22" t="s">
        <v>67</v>
      </c>
      <c r="B23" s="36">
        <v>3000000</v>
      </c>
      <c r="C23" s="24" t="s">
        <v>128</v>
      </c>
      <c r="D23" s="24" t="s">
        <v>129</v>
      </c>
      <c r="E23" s="24" t="s">
        <v>130</v>
      </c>
      <c r="F23" s="25" t="s">
        <v>125</v>
      </c>
      <c r="G23" s="26">
        <v>0.08</v>
      </c>
      <c r="H23" s="39" t="s">
        <v>152</v>
      </c>
      <c r="I23" s="17" t="s">
        <v>140</v>
      </c>
    </row>
    <row r="24" spans="1:9" ht="15" customHeight="1" x14ac:dyDescent="0.2">
      <c r="A24" s="22" t="s">
        <v>68</v>
      </c>
      <c r="B24" s="23">
        <v>23500</v>
      </c>
      <c r="C24" s="24" t="s">
        <v>128</v>
      </c>
      <c r="D24" s="24" t="s">
        <v>129</v>
      </c>
      <c r="E24" s="24" t="s">
        <v>130</v>
      </c>
      <c r="F24" s="25" t="s">
        <v>125</v>
      </c>
      <c r="G24" s="26">
        <v>2.3971422004290501E-2</v>
      </c>
      <c r="H24" s="30" t="s">
        <v>134</v>
      </c>
      <c r="I24" s="25" t="s">
        <v>132</v>
      </c>
    </row>
    <row r="25" spans="1:9" ht="15" customHeight="1" x14ac:dyDescent="0.2">
      <c r="A25" s="22" t="s">
        <v>69</v>
      </c>
      <c r="B25" s="36">
        <v>1406</v>
      </c>
      <c r="C25" s="24" t="s">
        <v>128</v>
      </c>
      <c r="D25" s="24" t="s">
        <v>129</v>
      </c>
      <c r="E25" s="24" t="s">
        <v>130</v>
      </c>
      <c r="F25" s="25" t="s">
        <v>125</v>
      </c>
      <c r="G25" s="26">
        <v>7.7284427284427304E-2</v>
      </c>
      <c r="H25" s="30" t="s">
        <v>134</v>
      </c>
      <c r="I25" s="25" t="s">
        <v>146</v>
      </c>
    </row>
    <row r="26" spans="1:9" ht="15" customHeight="1" x14ac:dyDescent="0.2">
      <c r="A26" s="22" t="s">
        <v>70</v>
      </c>
      <c r="B26" s="23">
        <v>562</v>
      </c>
      <c r="C26" s="24" t="s">
        <v>128</v>
      </c>
      <c r="D26" s="24" t="s">
        <v>135</v>
      </c>
      <c r="E26" s="24" t="s">
        <v>130</v>
      </c>
      <c r="F26" s="32" t="s">
        <v>149</v>
      </c>
      <c r="G26" s="37" t="s">
        <v>150</v>
      </c>
      <c r="H26" s="34"/>
      <c r="I26" s="25" t="s">
        <v>153</v>
      </c>
    </row>
    <row r="27" spans="1:9" ht="15" customHeight="1" x14ac:dyDescent="0.2">
      <c r="A27" s="22" t="s">
        <v>71</v>
      </c>
      <c r="B27" s="36">
        <v>313.813381593511</v>
      </c>
      <c r="C27" s="24" t="s">
        <v>128</v>
      </c>
      <c r="D27" s="24" t="s">
        <v>129</v>
      </c>
      <c r="E27" s="24" t="s">
        <v>132</v>
      </c>
      <c r="F27" s="25" t="s">
        <v>125</v>
      </c>
      <c r="G27" s="26">
        <v>4.5879838250305997E-2</v>
      </c>
      <c r="H27" s="30" t="s">
        <v>134</v>
      </c>
      <c r="I27" s="25" t="s">
        <v>132</v>
      </c>
    </row>
    <row r="28" spans="1:9" ht="15" customHeight="1" x14ac:dyDescent="0.2">
      <c r="A28" s="22" t="s">
        <v>73</v>
      </c>
      <c r="B28" s="9">
        <v>92572</v>
      </c>
      <c r="C28" s="24" t="s">
        <v>128</v>
      </c>
      <c r="D28" s="24" t="s">
        <v>129</v>
      </c>
      <c r="E28" s="24" t="s">
        <v>130</v>
      </c>
      <c r="F28" s="25" t="s">
        <v>125</v>
      </c>
      <c r="G28" s="46">
        <v>2.0930232558139701E-2</v>
      </c>
      <c r="H28" s="30" t="s">
        <v>134</v>
      </c>
      <c r="I28" s="25" t="s">
        <v>154</v>
      </c>
    </row>
    <row r="29" spans="1:9" ht="15" customHeight="1" x14ac:dyDescent="0.2">
      <c r="A29" s="22" t="s">
        <v>74</v>
      </c>
      <c r="B29" s="36">
        <v>341528.23920265702</v>
      </c>
      <c r="C29" s="24" t="s">
        <v>128</v>
      </c>
      <c r="D29" s="24" t="s">
        <v>129</v>
      </c>
      <c r="E29" s="24" t="s">
        <v>130</v>
      </c>
      <c r="F29" s="25" t="s">
        <v>125</v>
      </c>
      <c r="G29" s="26">
        <v>9.5350722526861796E-3</v>
      </c>
      <c r="H29" s="30" t="s">
        <v>147</v>
      </c>
      <c r="I29" s="25" t="s">
        <v>148</v>
      </c>
    </row>
    <row r="30" spans="1:9" ht="15" customHeight="1" x14ac:dyDescent="0.2">
      <c r="A30" s="22" t="s">
        <v>75</v>
      </c>
      <c r="B30" s="23">
        <v>105000</v>
      </c>
      <c r="C30" s="24" t="s">
        <v>128</v>
      </c>
      <c r="D30" s="24" t="s">
        <v>129</v>
      </c>
      <c r="E30" s="24" t="s">
        <v>130</v>
      </c>
      <c r="F30" s="25" t="s">
        <v>125</v>
      </c>
      <c r="G30" s="26">
        <v>4.1543026706231501E-2</v>
      </c>
      <c r="H30" s="27" t="s">
        <v>131</v>
      </c>
      <c r="I30" s="25" t="s">
        <v>132</v>
      </c>
    </row>
    <row r="31" spans="1:9" ht="15" customHeight="1" x14ac:dyDescent="0.2">
      <c r="A31" s="22" t="s">
        <v>76</v>
      </c>
      <c r="B31" s="36">
        <v>6423.4613344233403</v>
      </c>
      <c r="C31" s="24" t="s">
        <v>128</v>
      </c>
      <c r="D31" s="24" t="s">
        <v>129</v>
      </c>
      <c r="E31" s="24" t="s">
        <v>132</v>
      </c>
      <c r="F31" s="25" t="s">
        <v>125</v>
      </c>
      <c r="G31" s="26">
        <v>4.5578176437603098E-2</v>
      </c>
      <c r="H31" s="30" t="s">
        <v>134</v>
      </c>
      <c r="I31" s="25" t="s">
        <v>132</v>
      </c>
    </row>
    <row r="32" spans="1:9" ht="15" customHeight="1" x14ac:dyDescent="0.2">
      <c r="A32" s="22" t="s">
        <v>77</v>
      </c>
      <c r="B32" s="23">
        <v>12000000</v>
      </c>
      <c r="C32" s="24" t="s">
        <v>128</v>
      </c>
      <c r="D32" s="24" t="s">
        <v>129</v>
      </c>
      <c r="E32" s="24" t="s">
        <v>130</v>
      </c>
      <c r="F32" s="25" t="s">
        <v>125</v>
      </c>
      <c r="G32" s="26">
        <v>3.7037037037037E-2</v>
      </c>
      <c r="H32" s="27" t="s">
        <v>131</v>
      </c>
      <c r="I32" s="25" t="s">
        <v>132</v>
      </c>
    </row>
    <row r="33" spans="1:9" ht="15" customHeight="1" x14ac:dyDescent="0.2">
      <c r="A33" s="22" t="s">
        <v>78</v>
      </c>
      <c r="B33" s="45">
        <v>595238.48788326397</v>
      </c>
      <c r="C33" s="24" t="s">
        <v>128</v>
      </c>
      <c r="D33" s="24" t="s">
        <v>129</v>
      </c>
      <c r="E33" s="24" t="s">
        <v>132</v>
      </c>
      <c r="F33" s="25" t="s">
        <v>125</v>
      </c>
      <c r="G33" s="38">
        <v>7.1975973487986802E-2</v>
      </c>
      <c r="H33" s="27" t="s">
        <v>131</v>
      </c>
      <c r="I33" s="25" t="s">
        <v>132</v>
      </c>
    </row>
    <row r="34" spans="1:9" ht="15" customHeight="1" x14ac:dyDescent="0.2">
      <c r="B34" s="47"/>
    </row>
    <row r="35" spans="1:9" ht="15" customHeight="1" x14ac:dyDescent="0.2">
      <c r="A35" s="48" t="s">
        <v>155</v>
      </c>
      <c r="B35" s="49">
        <v>2020</v>
      </c>
      <c r="C35" s="49">
        <v>2030</v>
      </c>
      <c r="D35" s="49">
        <v>2040</v>
      </c>
      <c r="E35" s="49">
        <v>2050</v>
      </c>
      <c r="F35" s="49" t="s">
        <v>121</v>
      </c>
      <c r="G35" s="49" t="s">
        <v>123</v>
      </c>
      <c r="H35" s="49" t="s">
        <v>156</v>
      </c>
      <c r="I35" s="50" t="s">
        <v>157</v>
      </c>
    </row>
    <row r="36" spans="1:9" ht="15" customHeight="1" x14ac:dyDescent="0.2">
      <c r="A36" s="51" t="s">
        <v>42</v>
      </c>
      <c r="B36" s="52">
        <v>140000</v>
      </c>
      <c r="C36" s="36">
        <v>360000</v>
      </c>
      <c r="D36" s="36">
        <v>259000</v>
      </c>
      <c r="E36" s="53">
        <v>554016.34631780698</v>
      </c>
      <c r="F36" s="54" t="s">
        <v>128</v>
      </c>
      <c r="G36" s="25" t="s">
        <v>158</v>
      </c>
      <c r="H36" s="55" t="s">
        <v>159</v>
      </c>
      <c r="I36" s="25" t="s">
        <v>160</v>
      </c>
    </row>
    <row r="37" spans="1:9" ht="15" customHeight="1" x14ac:dyDescent="0.2">
      <c r="A37" s="51" t="s">
        <v>44</v>
      </c>
      <c r="B37" s="52">
        <v>25000000</v>
      </c>
      <c r="C37" s="36">
        <v>24300000</v>
      </c>
      <c r="D37" s="36">
        <v>16600000</v>
      </c>
      <c r="E37" s="53">
        <v>21529487.561476499</v>
      </c>
      <c r="F37" s="54" t="s">
        <v>128</v>
      </c>
      <c r="G37" s="25" t="s">
        <v>158</v>
      </c>
      <c r="H37" s="55" t="s">
        <v>159</v>
      </c>
      <c r="I37" s="25" t="s">
        <v>160</v>
      </c>
    </row>
    <row r="38" spans="1:9" ht="15" customHeight="1" x14ac:dyDescent="0.2">
      <c r="A38" s="51" t="s">
        <v>60</v>
      </c>
      <c r="B38" s="52">
        <v>2510000</v>
      </c>
      <c r="C38" s="36">
        <v>5320000</v>
      </c>
      <c r="D38" s="36">
        <v>5790000</v>
      </c>
      <c r="E38" s="53">
        <v>9488303.6457675397</v>
      </c>
      <c r="F38" s="54" t="s">
        <v>128</v>
      </c>
      <c r="G38" s="25" t="s">
        <v>158</v>
      </c>
      <c r="H38" s="55" t="s">
        <v>159</v>
      </c>
      <c r="I38" s="25" t="s">
        <v>160</v>
      </c>
    </row>
    <row r="39" spans="1:9" ht="15" customHeight="1" x14ac:dyDescent="0.2">
      <c r="A39" s="51" t="s">
        <v>55</v>
      </c>
      <c r="B39" s="52">
        <v>82500</v>
      </c>
      <c r="C39" s="53">
        <v>513289</v>
      </c>
      <c r="D39" s="53">
        <v>470930</v>
      </c>
      <c r="E39" s="53">
        <v>761517.54262467101</v>
      </c>
      <c r="F39" s="54" t="s">
        <v>128</v>
      </c>
      <c r="G39" s="25" t="s">
        <v>158</v>
      </c>
      <c r="H39" s="55" t="s">
        <v>159</v>
      </c>
      <c r="I39" s="25" t="s">
        <v>160</v>
      </c>
    </row>
    <row r="41" spans="1:9" ht="15" customHeight="1" x14ac:dyDescent="0.2">
      <c r="A41" s="56" t="s">
        <v>161</v>
      </c>
      <c r="B41" s="57" t="s">
        <v>162</v>
      </c>
      <c r="C41" s="56" t="s">
        <v>163</v>
      </c>
      <c r="D41" s="57" t="s">
        <v>164</v>
      </c>
      <c r="E41" s="57" t="s">
        <v>152</v>
      </c>
      <c r="F41" s="57" t="s">
        <v>123</v>
      </c>
    </row>
    <row r="42" spans="1:9" ht="15" customHeight="1" x14ac:dyDescent="0.2">
      <c r="A42" s="6" t="s">
        <v>40</v>
      </c>
      <c r="B42" s="58" t="s">
        <v>165</v>
      </c>
      <c r="C42" s="6" t="s">
        <v>77</v>
      </c>
      <c r="D42" s="58" t="s">
        <v>166</v>
      </c>
      <c r="E42" s="24" t="s">
        <v>167</v>
      </c>
      <c r="F42" s="24" t="s">
        <v>138</v>
      </c>
    </row>
    <row r="43" spans="1:9" ht="15" customHeight="1" x14ac:dyDescent="0.2">
      <c r="A43" s="6" t="s">
        <v>46</v>
      </c>
      <c r="B43" s="58" t="s">
        <v>165</v>
      </c>
      <c r="C43" s="6" t="s">
        <v>38</v>
      </c>
      <c r="D43" s="58" t="s">
        <v>165</v>
      </c>
      <c r="E43" s="59" t="s">
        <v>168</v>
      </c>
      <c r="F43" s="24" t="s">
        <v>169</v>
      </c>
    </row>
    <row r="44" spans="1:9" ht="15" customHeight="1" x14ac:dyDescent="0.2">
      <c r="A44" s="6" t="s">
        <v>47</v>
      </c>
      <c r="B44" s="58" t="s">
        <v>166</v>
      </c>
      <c r="C44" s="6" t="s">
        <v>77</v>
      </c>
      <c r="D44" s="58" t="s">
        <v>165</v>
      </c>
      <c r="E44" s="59" t="s">
        <v>170</v>
      </c>
      <c r="F44" s="24" t="s">
        <v>143</v>
      </c>
    </row>
    <row r="45" spans="1:9" ht="15" customHeight="1" x14ac:dyDescent="0.2">
      <c r="A45" s="6" t="s">
        <v>50</v>
      </c>
      <c r="B45" s="58" t="s">
        <v>166</v>
      </c>
      <c r="C45" s="6" t="s">
        <v>171</v>
      </c>
      <c r="D45" s="58" t="s">
        <v>165</v>
      </c>
      <c r="E45" s="26" t="s">
        <v>172</v>
      </c>
      <c r="F45" s="24" t="s">
        <v>132</v>
      </c>
    </row>
    <row r="46" spans="1:9" ht="15" customHeight="1" x14ac:dyDescent="0.2">
      <c r="A46" s="6" t="s">
        <v>66</v>
      </c>
      <c r="B46" s="58" t="s">
        <v>166</v>
      </c>
      <c r="C46" s="6" t="s">
        <v>44</v>
      </c>
      <c r="D46" s="58" t="s">
        <v>166</v>
      </c>
      <c r="E46" s="59" t="s">
        <v>173</v>
      </c>
      <c r="F46" s="24" t="s">
        <v>151</v>
      </c>
    </row>
    <row r="47" spans="1:9" ht="15" customHeight="1" x14ac:dyDescent="0.2">
      <c r="A47" s="6" t="s">
        <v>70</v>
      </c>
      <c r="B47" s="58" t="s">
        <v>165</v>
      </c>
      <c r="C47" s="6" t="s">
        <v>44</v>
      </c>
      <c r="D47" s="58" t="s">
        <v>165</v>
      </c>
      <c r="E47" s="59" t="s">
        <v>174</v>
      </c>
      <c r="F47" s="24" t="s">
        <v>153</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2CC"/>
  </sheetPr>
  <dimension ref="A1:L34"/>
  <sheetViews>
    <sheetView zoomScale="120" zoomScaleNormal="120" workbookViewId="0">
      <pane xSplit="1" ySplit="1" topLeftCell="B2" activePane="bottomRight" state="frozen"/>
      <selection pane="topRight" activeCell="B1" sqref="B1"/>
      <selection pane="bottomLeft" activeCell="A2" sqref="A2"/>
      <selection pane="bottomRight" activeCell="B9" sqref="B9"/>
    </sheetView>
  </sheetViews>
  <sheetFormatPr baseColWidth="10" defaultColWidth="10.6640625" defaultRowHeight="15" x14ac:dyDescent="0.2"/>
  <cols>
    <col min="1" max="1" width="28.33203125" customWidth="1"/>
    <col min="2" max="2" width="27" style="18" customWidth="1"/>
    <col min="3" max="3" width="21" style="64" customWidth="1"/>
    <col min="4" max="4" width="31.6640625" style="17" customWidth="1"/>
    <col min="5" max="5" width="19.83203125" customWidth="1"/>
    <col min="6" max="6" width="19.83203125" style="16" customWidth="1"/>
    <col min="7" max="7" width="30.33203125" customWidth="1"/>
    <col min="8" max="8" width="10.83203125" style="16" customWidth="1"/>
    <col min="9" max="9" width="13" customWidth="1"/>
    <col min="10" max="10" width="21.83203125" customWidth="1"/>
    <col min="11" max="11" width="4.5" style="16" customWidth="1"/>
    <col min="12" max="12" width="27" customWidth="1"/>
  </cols>
  <sheetData>
    <row r="1" spans="1:12" s="60" customFormat="1" ht="15" customHeight="1" x14ac:dyDescent="0.2">
      <c r="A1" s="65" t="s">
        <v>176</v>
      </c>
      <c r="B1" s="66" t="s">
        <v>179</v>
      </c>
      <c r="C1" s="67" t="s">
        <v>180</v>
      </c>
      <c r="D1" s="68" t="s">
        <v>123</v>
      </c>
      <c r="E1" s="66" t="s">
        <v>181</v>
      </c>
      <c r="F1" s="66" t="s">
        <v>182</v>
      </c>
      <c r="G1" s="68" t="s">
        <v>123</v>
      </c>
      <c r="H1" s="66" t="s">
        <v>121</v>
      </c>
      <c r="I1" s="69" t="s">
        <v>183</v>
      </c>
      <c r="J1" s="69" t="s">
        <v>184</v>
      </c>
      <c r="K1" s="69" t="s">
        <v>121</v>
      </c>
      <c r="L1" s="2" t="s">
        <v>123</v>
      </c>
    </row>
    <row r="2" spans="1:12" ht="15" customHeight="1" x14ac:dyDescent="0.2">
      <c r="A2" s="36" t="s">
        <v>38</v>
      </c>
      <c r="B2" s="55">
        <v>26000000000</v>
      </c>
      <c r="C2" s="70" t="s">
        <v>185</v>
      </c>
      <c r="D2" s="32" t="s">
        <v>186</v>
      </c>
      <c r="E2" s="36" t="s">
        <v>187</v>
      </c>
      <c r="F2" s="70" t="s">
        <v>185</v>
      </c>
      <c r="G2" s="36" t="s">
        <v>188</v>
      </c>
      <c r="H2" s="71" t="s">
        <v>189</v>
      </c>
      <c r="I2" s="72">
        <v>0.908138742809525</v>
      </c>
      <c r="J2" s="72">
        <v>0.79852327505234</v>
      </c>
      <c r="K2" s="73" t="s">
        <v>190</v>
      </c>
      <c r="L2" s="74" t="s">
        <v>191</v>
      </c>
    </row>
    <row r="3" spans="1:12" ht="15" customHeight="1" x14ac:dyDescent="0.2">
      <c r="A3" s="36" t="s">
        <v>192</v>
      </c>
      <c r="B3" s="55">
        <v>65000000000</v>
      </c>
      <c r="C3" s="70" t="s">
        <v>185</v>
      </c>
      <c r="D3" s="32" t="s">
        <v>188</v>
      </c>
      <c r="E3" s="36">
        <v>29000000000</v>
      </c>
      <c r="F3" s="70" t="s">
        <v>185</v>
      </c>
      <c r="G3" s="36" t="s">
        <v>188</v>
      </c>
      <c r="H3" s="71" t="s">
        <v>189</v>
      </c>
      <c r="I3" s="75"/>
      <c r="J3" s="76"/>
      <c r="K3" s="77"/>
      <c r="L3" s="78"/>
    </row>
    <row r="4" spans="1:12" ht="15" customHeight="1" x14ac:dyDescent="0.2">
      <c r="A4" s="36" t="s">
        <v>39</v>
      </c>
      <c r="B4" s="79" t="s">
        <v>193</v>
      </c>
      <c r="C4" s="70" t="s">
        <v>185</v>
      </c>
      <c r="D4" s="32" t="s">
        <v>188</v>
      </c>
      <c r="E4" s="80" t="e">
        <f>#N/A</f>
        <v>#N/A</v>
      </c>
      <c r="F4" s="81"/>
      <c r="G4" s="81"/>
      <c r="H4" s="71" t="s">
        <v>189</v>
      </c>
      <c r="I4" s="72">
        <v>0.96120000000000005</v>
      </c>
      <c r="J4" s="72">
        <v>0.74589119999999998</v>
      </c>
      <c r="K4" s="73" t="s">
        <v>190</v>
      </c>
      <c r="L4" s="74" t="s">
        <v>191</v>
      </c>
    </row>
    <row r="5" spans="1:12" ht="15" customHeight="1" x14ac:dyDescent="0.2">
      <c r="A5" s="36" t="s">
        <v>40</v>
      </c>
      <c r="B5" s="82">
        <v>5700000</v>
      </c>
      <c r="C5" s="83" t="s">
        <v>194</v>
      </c>
      <c r="D5" s="84" t="s">
        <v>195</v>
      </c>
      <c r="E5" s="53">
        <v>690000</v>
      </c>
      <c r="F5" s="83" t="s">
        <v>194</v>
      </c>
      <c r="G5" s="53" t="s">
        <v>195</v>
      </c>
      <c r="H5" s="71" t="s">
        <v>189</v>
      </c>
      <c r="I5" s="72">
        <v>0.997906070866454</v>
      </c>
      <c r="J5" s="72">
        <v>0.76116258846560703</v>
      </c>
      <c r="K5" s="73" t="s">
        <v>190</v>
      </c>
      <c r="L5" s="74" t="s">
        <v>191</v>
      </c>
    </row>
    <row r="6" spans="1:12" ht="15" customHeight="1" x14ac:dyDescent="0.2">
      <c r="A6" s="36" t="s">
        <v>41</v>
      </c>
      <c r="B6" s="55">
        <v>12000000000</v>
      </c>
      <c r="C6" s="70" t="s">
        <v>185</v>
      </c>
      <c r="D6" s="32" t="s">
        <v>188</v>
      </c>
      <c r="E6" s="36">
        <v>1200000000</v>
      </c>
      <c r="F6" s="70" t="s">
        <v>185</v>
      </c>
      <c r="G6" s="36" t="s">
        <v>188</v>
      </c>
      <c r="H6" s="71" t="s">
        <v>189</v>
      </c>
      <c r="I6" s="72">
        <v>0.89217919846074001</v>
      </c>
      <c r="J6" s="72">
        <v>0.67042367514390899</v>
      </c>
      <c r="K6" s="73" t="s">
        <v>190</v>
      </c>
      <c r="L6" s="74" t="s">
        <v>191</v>
      </c>
    </row>
    <row r="7" spans="1:12" ht="15" customHeight="1" x14ac:dyDescent="0.2">
      <c r="A7" s="36" t="s">
        <v>42</v>
      </c>
      <c r="B7" s="55">
        <v>25000000</v>
      </c>
      <c r="C7" s="70" t="s">
        <v>185</v>
      </c>
      <c r="D7" s="32" t="s">
        <v>188</v>
      </c>
      <c r="E7" s="36">
        <v>11000000</v>
      </c>
      <c r="F7" s="70" t="s">
        <v>185</v>
      </c>
      <c r="G7" s="36" t="s">
        <v>188</v>
      </c>
      <c r="H7" s="71" t="s">
        <v>189</v>
      </c>
      <c r="I7" s="72">
        <v>0.97064955919698204</v>
      </c>
      <c r="J7" s="72">
        <v>0.42645155031877402</v>
      </c>
      <c r="K7" s="73" t="s">
        <v>190</v>
      </c>
      <c r="L7" s="74" t="s">
        <v>191</v>
      </c>
    </row>
    <row r="8" spans="1:12" ht="15" customHeight="1" x14ac:dyDescent="0.2">
      <c r="A8" s="36" t="s">
        <v>44</v>
      </c>
      <c r="B8" s="55">
        <v>1500000000</v>
      </c>
      <c r="C8" s="70" t="s">
        <v>185</v>
      </c>
      <c r="D8" s="32" t="s">
        <v>188</v>
      </c>
      <c r="E8" s="36">
        <v>980000000</v>
      </c>
      <c r="F8" s="70" t="s">
        <v>185</v>
      </c>
      <c r="G8" s="36" t="s">
        <v>188</v>
      </c>
      <c r="H8" s="71" t="s">
        <v>189</v>
      </c>
      <c r="I8" s="72">
        <v>0.97751655521087399</v>
      </c>
      <c r="J8" s="72">
        <v>0.81597780244297602</v>
      </c>
      <c r="K8" s="73" t="s">
        <v>190</v>
      </c>
      <c r="L8" s="74" t="s">
        <v>191</v>
      </c>
    </row>
    <row r="9" spans="1:12" ht="15" customHeight="1" x14ac:dyDescent="0.2">
      <c r="A9" s="36" t="s">
        <v>45</v>
      </c>
      <c r="B9" s="82">
        <v>4009000</v>
      </c>
      <c r="C9" s="83" t="s">
        <v>194</v>
      </c>
      <c r="D9" s="32" t="s">
        <v>195</v>
      </c>
      <c r="E9" s="53">
        <v>544000</v>
      </c>
      <c r="F9" s="83" t="s">
        <v>194</v>
      </c>
      <c r="G9" s="36" t="s">
        <v>195</v>
      </c>
      <c r="H9" s="71" t="s">
        <v>189</v>
      </c>
      <c r="I9" s="72">
        <v>0.83445470245105502</v>
      </c>
      <c r="J9" s="72">
        <v>0.55256020803350503</v>
      </c>
      <c r="K9" s="73" t="s">
        <v>190</v>
      </c>
      <c r="L9" s="74" t="s">
        <v>191</v>
      </c>
    </row>
    <row r="10" spans="1:12" ht="15" customHeight="1" x14ac:dyDescent="0.2">
      <c r="A10" s="36" t="s">
        <v>46</v>
      </c>
      <c r="B10" s="82">
        <v>13845000</v>
      </c>
      <c r="C10" s="83" t="s">
        <v>194</v>
      </c>
      <c r="D10" s="84" t="s">
        <v>195</v>
      </c>
      <c r="E10" s="29">
        <v>1300000</v>
      </c>
      <c r="F10" s="83" t="s">
        <v>194</v>
      </c>
      <c r="G10" s="53" t="s">
        <v>186</v>
      </c>
      <c r="H10" s="71" t="s">
        <v>189</v>
      </c>
      <c r="I10" s="85">
        <v>0.95</v>
      </c>
      <c r="J10" s="86">
        <v>0.59850000000000003</v>
      </c>
      <c r="K10" s="73" t="s">
        <v>190</v>
      </c>
      <c r="L10" s="74" t="s">
        <v>196</v>
      </c>
    </row>
    <row r="11" spans="1:12" ht="15" customHeight="1" x14ac:dyDescent="0.2">
      <c r="A11" s="36" t="s">
        <v>47</v>
      </c>
      <c r="B11" s="79" t="e">
        <f>#N/A</f>
        <v>#N/A</v>
      </c>
      <c r="C11" s="81"/>
      <c r="D11" s="87"/>
      <c r="E11" s="53">
        <v>36000</v>
      </c>
      <c r="F11" s="83" t="s">
        <v>194</v>
      </c>
      <c r="G11" s="36" t="s">
        <v>195</v>
      </c>
      <c r="H11" s="71" t="s">
        <v>189</v>
      </c>
      <c r="I11" s="72">
        <v>1</v>
      </c>
      <c r="J11" s="72">
        <v>6.5774804905239801E-3</v>
      </c>
      <c r="K11" s="73" t="s">
        <v>190</v>
      </c>
      <c r="L11" s="74" t="s">
        <v>191</v>
      </c>
    </row>
    <row r="12" spans="1:12" ht="15" customHeight="1" x14ac:dyDescent="0.2">
      <c r="A12" s="36" t="s">
        <v>49</v>
      </c>
      <c r="B12" s="79" t="e">
        <f>#N/A</f>
        <v>#N/A</v>
      </c>
      <c r="C12" s="81"/>
      <c r="D12" s="87"/>
      <c r="E12" s="80" t="e">
        <f>#N/A</f>
        <v>#N/A</v>
      </c>
      <c r="F12" s="88"/>
      <c r="G12" s="81"/>
      <c r="H12" s="71" t="s">
        <v>189</v>
      </c>
      <c r="I12" s="72">
        <v>0.99986413043478295</v>
      </c>
      <c r="J12" s="72">
        <v>2.7170220935728499E-3</v>
      </c>
      <c r="K12" s="73" t="s">
        <v>190</v>
      </c>
      <c r="L12" s="74" t="s">
        <v>191</v>
      </c>
    </row>
    <row r="13" spans="1:12" ht="15" customHeight="1" x14ac:dyDescent="0.2">
      <c r="A13" s="36" t="s">
        <v>50</v>
      </c>
      <c r="B13" s="82">
        <v>356000</v>
      </c>
      <c r="C13" s="83" t="s">
        <v>194</v>
      </c>
      <c r="D13" s="84" t="s">
        <v>195</v>
      </c>
      <c r="E13" s="36">
        <v>21000</v>
      </c>
      <c r="F13" s="83" t="s">
        <v>194</v>
      </c>
      <c r="G13" s="53" t="s">
        <v>195</v>
      </c>
      <c r="H13" s="71" t="s">
        <v>189</v>
      </c>
      <c r="I13" s="72">
        <v>0.83275227004971597</v>
      </c>
      <c r="J13" s="86">
        <v>0.24982568101491501</v>
      </c>
      <c r="K13" s="73" t="s">
        <v>190</v>
      </c>
      <c r="L13" s="74" t="s">
        <v>191</v>
      </c>
    </row>
    <row r="14" spans="1:12" ht="15" customHeight="1" x14ac:dyDescent="0.2">
      <c r="A14" s="36" t="s">
        <v>52</v>
      </c>
      <c r="B14" s="55">
        <v>230000000000</v>
      </c>
      <c r="C14" s="70" t="s">
        <v>185</v>
      </c>
      <c r="D14" s="32" t="s">
        <v>188</v>
      </c>
      <c r="E14" s="36">
        <v>88000000000</v>
      </c>
      <c r="F14" s="70" t="s">
        <v>185</v>
      </c>
      <c r="G14" s="36" t="s">
        <v>188</v>
      </c>
      <c r="H14" s="71" t="s">
        <v>189</v>
      </c>
      <c r="I14" s="72">
        <v>1</v>
      </c>
      <c r="J14" s="72">
        <v>0.87408949011446402</v>
      </c>
      <c r="K14" s="73" t="s">
        <v>190</v>
      </c>
      <c r="L14" s="74" t="s">
        <v>191</v>
      </c>
    </row>
    <row r="15" spans="1:12" ht="15" customHeight="1" x14ac:dyDescent="0.2">
      <c r="A15" s="36" t="s">
        <v>53</v>
      </c>
      <c r="B15" s="82">
        <v>2000000000</v>
      </c>
      <c r="C15" s="70" t="s">
        <v>185</v>
      </c>
      <c r="D15" s="32" t="s">
        <v>188</v>
      </c>
      <c r="E15" s="36">
        <v>96000000</v>
      </c>
      <c r="F15" s="70" t="s">
        <v>185</v>
      </c>
      <c r="G15" s="36" t="s">
        <v>188</v>
      </c>
      <c r="H15" s="71" t="s">
        <v>189</v>
      </c>
      <c r="I15" s="72">
        <v>0.95739698194604195</v>
      </c>
      <c r="J15" s="72">
        <v>0.85404162594050304</v>
      </c>
      <c r="K15" s="73" t="s">
        <v>190</v>
      </c>
      <c r="L15" s="74" t="s">
        <v>191</v>
      </c>
    </row>
    <row r="16" spans="1:12" ht="15" customHeight="1" x14ac:dyDescent="0.2">
      <c r="A16" s="36" t="s">
        <v>55</v>
      </c>
      <c r="B16" s="55">
        <v>115000000</v>
      </c>
      <c r="C16" s="70" t="s">
        <v>185</v>
      </c>
      <c r="D16" s="32" t="s">
        <v>188</v>
      </c>
      <c r="E16" s="36">
        <v>30000000</v>
      </c>
      <c r="F16" s="70" t="s">
        <v>185</v>
      </c>
      <c r="G16" s="36" t="s">
        <v>188</v>
      </c>
      <c r="H16" s="71" t="s">
        <v>189</v>
      </c>
      <c r="I16" s="89">
        <v>0.59</v>
      </c>
      <c r="J16" s="89">
        <v>0.59</v>
      </c>
      <c r="K16" s="73" t="s">
        <v>190</v>
      </c>
      <c r="L16" s="74" t="s">
        <v>196</v>
      </c>
    </row>
    <row r="17" spans="1:12" ht="15" customHeight="1" x14ac:dyDescent="0.2">
      <c r="A17" s="36" t="s">
        <v>57</v>
      </c>
      <c r="B17" s="82">
        <v>17273000000</v>
      </c>
      <c r="C17" s="83" t="s">
        <v>194</v>
      </c>
      <c r="D17" s="32" t="s">
        <v>195</v>
      </c>
      <c r="E17" s="36">
        <v>1700000000</v>
      </c>
      <c r="F17" s="70" t="s">
        <v>185</v>
      </c>
      <c r="G17" s="36" t="s">
        <v>188</v>
      </c>
      <c r="H17" s="71" t="s">
        <v>189</v>
      </c>
      <c r="I17" s="72">
        <v>0.96428114845397295</v>
      </c>
      <c r="J17" s="72">
        <v>0.67499680391778105</v>
      </c>
      <c r="K17" s="73" t="s">
        <v>190</v>
      </c>
      <c r="L17" s="74" t="s">
        <v>191</v>
      </c>
    </row>
    <row r="18" spans="1:12" ht="15" customHeight="1" x14ac:dyDescent="0.2">
      <c r="A18" s="36" t="s">
        <v>58</v>
      </c>
      <c r="B18" s="55">
        <v>25400000</v>
      </c>
      <c r="C18" s="70" t="s">
        <v>185</v>
      </c>
      <c r="D18" s="32" t="s">
        <v>188</v>
      </c>
      <c r="E18" s="36">
        <v>15000000</v>
      </c>
      <c r="F18" s="70" t="s">
        <v>185</v>
      </c>
      <c r="G18" s="36" t="s">
        <v>188</v>
      </c>
      <c r="H18" s="71" t="s">
        <v>189</v>
      </c>
      <c r="I18" s="72">
        <v>1</v>
      </c>
      <c r="J18" s="72">
        <v>0.6</v>
      </c>
      <c r="K18" s="73" t="s">
        <v>190</v>
      </c>
      <c r="L18" s="74" t="s">
        <v>191</v>
      </c>
    </row>
    <row r="19" spans="1:12" ht="15" customHeight="1" x14ac:dyDescent="0.2">
      <c r="A19" s="36" t="s">
        <v>59</v>
      </c>
      <c r="B19" s="82">
        <v>62433000</v>
      </c>
      <c r="C19" s="83" t="s">
        <v>194</v>
      </c>
      <c r="D19" s="32" t="s">
        <v>195</v>
      </c>
      <c r="E19" s="53">
        <v>16070000</v>
      </c>
      <c r="F19" s="83" t="s">
        <v>194</v>
      </c>
      <c r="G19" s="36" t="s">
        <v>195</v>
      </c>
      <c r="H19" s="71" t="s">
        <v>189</v>
      </c>
      <c r="I19" s="72">
        <v>0.96546212667585396</v>
      </c>
      <c r="J19" s="72">
        <v>0.57787148010964395</v>
      </c>
      <c r="K19" s="73" t="s">
        <v>190</v>
      </c>
      <c r="L19" s="74" t="s">
        <v>191</v>
      </c>
    </row>
    <row r="20" spans="1:12" ht="15" customHeight="1" x14ac:dyDescent="0.2">
      <c r="A20" s="36" t="s">
        <v>60</v>
      </c>
      <c r="B20" s="55">
        <v>350000000</v>
      </c>
      <c r="C20" s="70" t="s">
        <v>185</v>
      </c>
      <c r="D20" s="32" t="s">
        <v>188</v>
      </c>
      <c r="E20" s="36" t="s">
        <v>197</v>
      </c>
      <c r="F20" s="70" t="s">
        <v>185</v>
      </c>
      <c r="G20" s="36" t="s">
        <v>188</v>
      </c>
      <c r="H20" s="71" t="s">
        <v>189</v>
      </c>
      <c r="I20" s="72">
        <v>0.94463836406500901</v>
      </c>
      <c r="J20" s="72">
        <v>0.74395466384252495</v>
      </c>
      <c r="K20" s="73" t="s">
        <v>190</v>
      </c>
      <c r="L20" s="74" t="s">
        <v>191</v>
      </c>
    </row>
    <row r="21" spans="1:12" ht="15" customHeight="1" x14ac:dyDescent="0.2">
      <c r="A21" s="36" t="s">
        <v>61</v>
      </c>
      <c r="B21" s="79" t="s">
        <v>193</v>
      </c>
      <c r="C21" s="70" t="s">
        <v>185</v>
      </c>
      <c r="D21" s="32" t="s">
        <v>188</v>
      </c>
      <c r="E21" s="36" t="s">
        <v>198</v>
      </c>
      <c r="F21" s="70" t="s">
        <v>185</v>
      </c>
      <c r="G21" s="36" t="s">
        <v>188</v>
      </c>
      <c r="H21" s="71" t="s">
        <v>189</v>
      </c>
      <c r="I21" s="72">
        <v>0.92237313987491998</v>
      </c>
      <c r="J21" s="72">
        <v>0.65488492931119302</v>
      </c>
      <c r="K21" s="73" t="s">
        <v>190</v>
      </c>
      <c r="L21" s="74" t="s">
        <v>191</v>
      </c>
    </row>
    <row r="22" spans="1:12" ht="14.25" customHeight="1" x14ac:dyDescent="0.2">
      <c r="A22" s="36" t="s">
        <v>64</v>
      </c>
      <c r="B22" s="82">
        <v>19847000</v>
      </c>
      <c r="C22" s="83" t="s">
        <v>194</v>
      </c>
      <c r="D22" s="32" t="s">
        <v>195</v>
      </c>
      <c r="E22" s="53">
        <v>4718000</v>
      </c>
      <c r="F22" s="83" t="s">
        <v>194</v>
      </c>
      <c r="G22" s="36" t="s">
        <v>195</v>
      </c>
      <c r="H22" s="71" t="s">
        <v>189</v>
      </c>
      <c r="I22" s="72">
        <v>0.90291119774981499</v>
      </c>
      <c r="J22" s="72">
        <v>0.53761582481911097</v>
      </c>
      <c r="K22" s="73" t="s">
        <v>190</v>
      </c>
      <c r="L22" s="74" t="s">
        <v>191</v>
      </c>
    </row>
    <row r="23" spans="1:12" ht="17.25" customHeight="1" x14ac:dyDescent="0.2">
      <c r="A23" s="36" t="s">
        <v>66</v>
      </c>
      <c r="B23" s="82">
        <v>171000</v>
      </c>
      <c r="C23" s="83" t="s">
        <v>194</v>
      </c>
      <c r="D23" s="84" t="s">
        <v>199</v>
      </c>
      <c r="E23" s="36">
        <v>92000</v>
      </c>
      <c r="F23" s="70" t="s">
        <v>185</v>
      </c>
      <c r="G23" s="36" t="s">
        <v>188</v>
      </c>
      <c r="H23" s="71" t="s">
        <v>189</v>
      </c>
      <c r="I23" s="72">
        <v>0.994531782211863</v>
      </c>
      <c r="J23" s="86">
        <v>4.47520809399908E-2</v>
      </c>
      <c r="K23" s="73" t="s">
        <v>190</v>
      </c>
      <c r="L23" s="74" t="s">
        <v>191</v>
      </c>
    </row>
    <row r="24" spans="1:12" ht="15" customHeight="1" x14ac:dyDescent="0.2">
      <c r="A24" s="36" t="s">
        <v>67</v>
      </c>
      <c r="B24" s="79" t="s">
        <v>193</v>
      </c>
      <c r="C24" s="54" t="s">
        <v>185</v>
      </c>
      <c r="D24" s="32" t="s">
        <v>188</v>
      </c>
      <c r="E24" s="80" t="e">
        <f>#N/A</f>
        <v>#N/A</v>
      </c>
      <c r="F24" s="88"/>
      <c r="G24" s="36"/>
      <c r="H24" s="71" t="s">
        <v>189</v>
      </c>
      <c r="I24" s="72">
        <v>0.92</v>
      </c>
      <c r="J24" s="86">
        <v>0.73599999999999999</v>
      </c>
      <c r="K24" s="73" t="s">
        <v>190</v>
      </c>
      <c r="L24" s="74" t="s">
        <v>191</v>
      </c>
    </row>
    <row r="25" spans="1:12" ht="15" customHeight="1" x14ac:dyDescent="0.2">
      <c r="A25" s="36" t="s">
        <v>68</v>
      </c>
      <c r="B25" s="82">
        <v>1200000</v>
      </c>
      <c r="C25" s="83" t="s">
        <v>194</v>
      </c>
      <c r="D25" s="32" t="s">
        <v>195</v>
      </c>
      <c r="E25" s="36">
        <v>640000</v>
      </c>
      <c r="F25" s="70" t="s">
        <v>185</v>
      </c>
      <c r="G25" s="36" t="s">
        <v>188</v>
      </c>
      <c r="H25" s="71" t="s">
        <v>189</v>
      </c>
      <c r="I25" s="72">
        <v>1</v>
      </c>
      <c r="J25" s="86">
        <v>0.84256559766763905</v>
      </c>
      <c r="K25" s="73" t="s">
        <v>190</v>
      </c>
      <c r="L25" s="74" t="s">
        <v>191</v>
      </c>
    </row>
    <row r="26" spans="1:12" ht="15" customHeight="1" x14ac:dyDescent="0.2">
      <c r="A26" s="36" t="s">
        <v>69</v>
      </c>
      <c r="B26" s="79" t="s">
        <v>193</v>
      </c>
      <c r="C26" s="54" t="s">
        <v>185</v>
      </c>
      <c r="D26" s="32" t="s">
        <v>188</v>
      </c>
      <c r="E26" s="80" t="e">
        <f>#N/A</f>
        <v>#N/A</v>
      </c>
      <c r="F26" s="88"/>
      <c r="G26" s="36"/>
      <c r="H26" s="71" t="s">
        <v>189</v>
      </c>
      <c r="I26" s="72">
        <v>0.99805572742851201</v>
      </c>
      <c r="J26" s="86">
        <v>0.67785017909107104</v>
      </c>
      <c r="K26" s="73" t="s">
        <v>190</v>
      </c>
      <c r="L26" s="74" t="s">
        <v>191</v>
      </c>
    </row>
    <row r="27" spans="1:12" ht="18" customHeight="1" x14ac:dyDescent="0.2">
      <c r="A27" s="36" t="s">
        <v>70</v>
      </c>
      <c r="B27" s="82">
        <v>48000</v>
      </c>
      <c r="C27" s="83" t="s">
        <v>194</v>
      </c>
      <c r="D27" s="84" t="s">
        <v>199</v>
      </c>
      <c r="E27" s="36">
        <v>35000</v>
      </c>
      <c r="F27" s="70" t="s">
        <v>185</v>
      </c>
      <c r="G27" s="36" t="s">
        <v>188</v>
      </c>
      <c r="H27" s="71" t="s">
        <v>189</v>
      </c>
      <c r="I27" s="72">
        <v>0.98995006993746304</v>
      </c>
      <c r="J27" s="86">
        <v>4.4552208368022497E-2</v>
      </c>
      <c r="K27" s="73" t="s">
        <v>190</v>
      </c>
      <c r="L27" s="74" t="s">
        <v>191</v>
      </c>
    </row>
    <row r="28" spans="1:12" ht="15" customHeight="1" x14ac:dyDescent="0.2">
      <c r="A28" s="36" t="s">
        <v>71</v>
      </c>
      <c r="B28" s="82">
        <v>827000</v>
      </c>
      <c r="C28" s="83" t="s">
        <v>194</v>
      </c>
      <c r="D28" s="32" t="s">
        <v>195</v>
      </c>
      <c r="E28" s="36">
        <v>102000</v>
      </c>
      <c r="F28" s="70" t="s">
        <v>185</v>
      </c>
      <c r="G28" s="36" t="s">
        <v>188</v>
      </c>
      <c r="H28" s="71" t="s">
        <v>189</v>
      </c>
      <c r="I28" s="72">
        <v>0.86502679244765801</v>
      </c>
      <c r="J28" s="72">
        <v>0.558892736429214</v>
      </c>
      <c r="K28" s="73" t="s">
        <v>190</v>
      </c>
      <c r="L28" s="74" t="s">
        <v>191</v>
      </c>
    </row>
    <row r="29" spans="1:12" ht="15" customHeight="1" x14ac:dyDescent="0.2">
      <c r="A29" s="36" t="s">
        <v>73</v>
      </c>
      <c r="B29" s="79" t="e">
        <f>#N/A</f>
        <v>#N/A</v>
      </c>
      <c r="C29" s="81"/>
      <c r="D29" s="87"/>
      <c r="E29" s="36" t="s">
        <v>200</v>
      </c>
      <c r="F29" s="70" t="s">
        <v>185</v>
      </c>
      <c r="G29" s="36" t="s">
        <v>188</v>
      </c>
      <c r="H29" s="71" t="s">
        <v>189</v>
      </c>
      <c r="I29" s="72">
        <v>0.99243161901028498</v>
      </c>
      <c r="J29" s="72">
        <v>0.87567495795025196</v>
      </c>
      <c r="K29" s="73" t="s">
        <v>190</v>
      </c>
      <c r="L29" s="74" t="s">
        <v>191</v>
      </c>
    </row>
    <row r="30" spans="1:12" ht="15" customHeight="1" x14ac:dyDescent="0.2">
      <c r="A30" s="36" t="s">
        <v>74</v>
      </c>
      <c r="B30" s="79" t="e">
        <f>#N/A</f>
        <v>#N/A</v>
      </c>
      <c r="C30" s="81"/>
      <c r="D30" s="87"/>
      <c r="E30" s="36">
        <v>4600000</v>
      </c>
      <c r="F30" s="70" t="s">
        <v>185</v>
      </c>
      <c r="G30" s="36" t="s">
        <v>188</v>
      </c>
      <c r="H30" s="71" t="s">
        <v>189</v>
      </c>
      <c r="I30" s="72">
        <v>0.89027747461422302</v>
      </c>
      <c r="J30" s="72">
        <v>0.29264544711620999</v>
      </c>
      <c r="K30" s="73" t="s">
        <v>190</v>
      </c>
      <c r="L30" s="74" t="s">
        <v>191</v>
      </c>
    </row>
    <row r="31" spans="1:12" ht="15" customHeight="1" x14ac:dyDescent="0.2">
      <c r="A31" s="36" t="s">
        <v>75</v>
      </c>
      <c r="B31" s="55" t="s">
        <v>201</v>
      </c>
      <c r="C31" s="70" t="s">
        <v>185</v>
      </c>
      <c r="D31" s="32" t="s">
        <v>188</v>
      </c>
      <c r="E31" s="36">
        <v>18000000</v>
      </c>
      <c r="F31" s="70" t="s">
        <v>185</v>
      </c>
      <c r="G31" s="36" t="s">
        <v>188</v>
      </c>
      <c r="H31" s="71" t="s">
        <v>189</v>
      </c>
      <c r="I31" s="72">
        <v>1</v>
      </c>
      <c r="J31" s="72">
        <v>0.88571428571428601</v>
      </c>
      <c r="K31" s="73" t="s">
        <v>190</v>
      </c>
      <c r="L31" s="74" t="s">
        <v>191</v>
      </c>
    </row>
    <row r="32" spans="1:12" ht="15" customHeight="1" x14ac:dyDescent="0.2">
      <c r="A32" s="36" t="s">
        <v>76</v>
      </c>
      <c r="B32" s="82">
        <v>32329000</v>
      </c>
      <c r="C32" s="83" t="s">
        <v>194</v>
      </c>
      <c r="D32" s="32" t="s">
        <v>195</v>
      </c>
      <c r="E32" s="53">
        <v>3120000</v>
      </c>
      <c r="F32" s="83" t="s">
        <v>194</v>
      </c>
      <c r="G32" s="36" t="s">
        <v>195</v>
      </c>
      <c r="H32" s="71" t="s">
        <v>189</v>
      </c>
      <c r="I32" s="72">
        <v>0.89282970271070705</v>
      </c>
      <c r="J32" s="72">
        <v>0.59290685898236795</v>
      </c>
      <c r="K32" s="73" t="s">
        <v>190</v>
      </c>
      <c r="L32" s="74" t="s">
        <v>191</v>
      </c>
    </row>
    <row r="33" spans="1:12" ht="15" customHeight="1" x14ac:dyDescent="0.2">
      <c r="A33" s="36" t="s">
        <v>77</v>
      </c>
      <c r="B33" s="55">
        <v>1900000000</v>
      </c>
      <c r="C33" s="70" t="s">
        <v>185</v>
      </c>
      <c r="D33" s="32" t="s">
        <v>188</v>
      </c>
      <c r="E33" s="36">
        <v>230000000</v>
      </c>
      <c r="F33" s="70" t="s">
        <v>185</v>
      </c>
      <c r="G33" s="36" t="s">
        <v>188</v>
      </c>
      <c r="H33" s="71" t="s">
        <v>189</v>
      </c>
      <c r="I33" s="72">
        <v>0.97568273374067804</v>
      </c>
      <c r="J33" s="72">
        <v>0.81742856379078299</v>
      </c>
      <c r="K33" s="73" t="s">
        <v>190</v>
      </c>
      <c r="L33" s="74" t="s">
        <v>191</v>
      </c>
    </row>
    <row r="34" spans="1:12" ht="15" customHeight="1" x14ac:dyDescent="0.2">
      <c r="A34" s="36" t="s">
        <v>78</v>
      </c>
      <c r="B34" s="79" t="e">
        <f>#N/A</f>
        <v>#N/A</v>
      </c>
      <c r="C34" s="81"/>
      <c r="D34" s="87"/>
      <c r="E34" s="36" t="s">
        <v>202</v>
      </c>
      <c r="F34" s="70" t="s">
        <v>185</v>
      </c>
      <c r="G34" s="36" t="s">
        <v>188</v>
      </c>
      <c r="H34" s="71" t="s">
        <v>189</v>
      </c>
      <c r="I34" s="72">
        <v>0.95603887089310502</v>
      </c>
      <c r="J34" s="72">
        <v>0.81741323461360504</v>
      </c>
      <c r="K34" s="73" t="s">
        <v>190</v>
      </c>
      <c r="L34" s="74" t="s">
        <v>191</v>
      </c>
    </row>
  </sheetData>
  <autoFilter ref="A1:L34" xr:uid="{00000000-0009-0000-0000-000005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tabColor rgb="FFDEEBF7"/>
  </sheetPr>
  <dimension ref="A1:N89"/>
  <sheetViews>
    <sheetView zoomScaleNormal="100" workbookViewId="0">
      <selection activeCell="C66" sqref="C66"/>
    </sheetView>
  </sheetViews>
  <sheetFormatPr baseColWidth="10" defaultColWidth="10.6640625" defaultRowHeight="15" x14ac:dyDescent="0.2"/>
  <cols>
    <col min="1" max="3" width="8.6640625" style="9" customWidth="1"/>
    <col min="4" max="4" width="18.6640625" style="9" customWidth="1"/>
    <col min="5" max="9" width="10.83203125" style="9" customWidth="1"/>
  </cols>
  <sheetData>
    <row r="1" spans="1:9" ht="15" customHeight="1" x14ac:dyDescent="0.2">
      <c r="A1" s="90" t="s">
        <v>203</v>
      </c>
      <c r="B1" s="90" t="s">
        <v>204</v>
      </c>
      <c r="C1" s="90" t="s">
        <v>119</v>
      </c>
      <c r="D1" s="90" t="s">
        <v>214</v>
      </c>
      <c r="E1" s="90" t="s">
        <v>211</v>
      </c>
      <c r="F1" s="90" t="s">
        <v>212</v>
      </c>
      <c r="G1" s="90" t="s">
        <v>213</v>
      </c>
      <c r="H1" s="90" t="s">
        <v>177</v>
      </c>
      <c r="I1" s="90" t="s">
        <v>121</v>
      </c>
    </row>
    <row r="2" spans="1:9" ht="15" hidden="1" customHeight="1" x14ac:dyDescent="0.2">
      <c r="A2" s="9" t="s">
        <v>205</v>
      </c>
      <c r="B2" s="9" t="s">
        <v>206</v>
      </c>
      <c r="C2" s="9" t="s">
        <v>42</v>
      </c>
      <c r="D2" s="9" t="s">
        <v>215</v>
      </c>
      <c r="E2" s="9">
        <v>0</v>
      </c>
      <c r="F2" s="9">
        <v>0</v>
      </c>
      <c r="G2" s="9">
        <v>12927.4945585893</v>
      </c>
      <c r="H2" s="9">
        <v>23923.6553115278</v>
      </c>
      <c r="I2" s="9" t="s">
        <v>128</v>
      </c>
    </row>
    <row r="3" spans="1:9" ht="15" hidden="1" customHeight="1" x14ac:dyDescent="0.2">
      <c r="A3" s="9" t="s">
        <v>205</v>
      </c>
      <c r="B3" s="9" t="s">
        <v>206</v>
      </c>
      <c r="C3" s="9" t="s">
        <v>44</v>
      </c>
      <c r="D3" s="9" t="s">
        <v>215</v>
      </c>
      <c r="E3" s="9">
        <v>0</v>
      </c>
      <c r="F3" s="9">
        <v>0</v>
      </c>
      <c r="G3" s="9">
        <v>155014.370158151</v>
      </c>
      <c r="H3" s="9">
        <v>685613.022852191</v>
      </c>
      <c r="I3" s="9" t="s">
        <v>128</v>
      </c>
    </row>
    <row r="4" spans="1:9" ht="15" hidden="1" customHeight="1" x14ac:dyDescent="0.2">
      <c r="A4" s="9" t="s">
        <v>205</v>
      </c>
      <c r="B4" s="9" t="s">
        <v>206</v>
      </c>
      <c r="C4" s="9" t="s">
        <v>45</v>
      </c>
      <c r="D4" s="9" t="s">
        <v>215</v>
      </c>
      <c r="E4" s="9">
        <v>0</v>
      </c>
      <c r="F4" s="9">
        <v>0</v>
      </c>
      <c r="G4" s="9">
        <v>238.58656652934499</v>
      </c>
      <c r="H4" s="9">
        <v>1210.51637518129</v>
      </c>
      <c r="I4" s="9" t="s">
        <v>128</v>
      </c>
    </row>
    <row r="5" spans="1:9" ht="15" hidden="1" customHeight="1" x14ac:dyDescent="0.2">
      <c r="A5" s="9" t="s">
        <v>205</v>
      </c>
      <c r="B5" s="9" t="s">
        <v>206</v>
      </c>
      <c r="C5" s="9" t="s">
        <v>55</v>
      </c>
      <c r="D5" s="9" t="s">
        <v>215</v>
      </c>
      <c r="E5" s="9">
        <v>0</v>
      </c>
      <c r="F5" s="9">
        <v>0</v>
      </c>
      <c r="G5" s="9">
        <v>85781.845125485197</v>
      </c>
      <c r="H5" s="9">
        <v>430257.28774645302</v>
      </c>
      <c r="I5" s="9" t="s">
        <v>128</v>
      </c>
    </row>
    <row r="6" spans="1:9" ht="15" hidden="1" customHeight="1" x14ac:dyDescent="0.2">
      <c r="A6" s="9" t="s">
        <v>205</v>
      </c>
      <c r="B6" s="9" t="s">
        <v>206</v>
      </c>
      <c r="C6" s="9" t="s">
        <v>59</v>
      </c>
      <c r="D6" s="9" t="s">
        <v>215</v>
      </c>
      <c r="E6" s="9">
        <v>0</v>
      </c>
      <c r="F6" s="9">
        <v>0</v>
      </c>
      <c r="G6" s="9">
        <v>1997.8031775649899</v>
      </c>
      <c r="H6" s="9">
        <v>10136.251575313199</v>
      </c>
      <c r="I6" s="9" t="s">
        <v>128</v>
      </c>
    </row>
    <row r="7" spans="1:9" ht="15" hidden="1" customHeight="1" x14ac:dyDescent="0.2">
      <c r="A7" s="9" t="s">
        <v>205</v>
      </c>
      <c r="B7" s="9" t="s">
        <v>206</v>
      </c>
      <c r="C7" s="9" t="s">
        <v>60</v>
      </c>
      <c r="D7" s="9" t="s">
        <v>215</v>
      </c>
      <c r="E7" s="9">
        <v>0</v>
      </c>
      <c r="F7" s="9">
        <v>0</v>
      </c>
      <c r="G7" s="9">
        <v>62389.713673222199</v>
      </c>
      <c r="H7" s="9">
        <v>131531.765747728</v>
      </c>
      <c r="I7" s="9" t="s">
        <v>128</v>
      </c>
    </row>
    <row r="8" spans="1:9" ht="15" hidden="1" customHeight="1" x14ac:dyDescent="0.2">
      <c r="A8" s="9" t="s">
        <v>205</v>
      </c>
      <c r="B8" s="9" t="s">
        <v>206</v>
      </c>
      <c r="C8" s="9" t="s">
        <v>64</v>
      </c>
      <c r="D8" s="9" t="s">
        <v>215</v>
      </c>
      <c r="E8" s="9">
        <v>0</v>
      </c>
      <c r="F8" s="9">
        <v>0</v>
      </c>
      <c r="G8" s="9">
        <v>2.8745369461366801</v>
      </c>
      <c r="H8" s="9">
        <v>14.5845346407385</v>
      </c>
      <c r="I8" s="9" t="s">
        <v>128</v>
      </c>
    </row>
    <row r="9" spans="1:9" ht="15" hidden="1" customHeight="1" x14ac:dyDescent="0.2">
      <c r="A9" s="9" t="s">
        <v>207</v>
      </c>
      <c r="B9" s="9" t="s">
        <v>206</v>
      </c>
      <c r="C9" s="9" t="s">
        <v>42</v>
      </c>
      <c r="D9" s="9" t="s">
        <v>215</v>
      </c>
      <c r="E9" s="9">
        <v>0</v>
      </c>
      <c r="F9" s="9">
        <v>0</v>
      </c>
      <c r="G9" s="9">
        <v>57018.190096412</v>
      </c>
      <c r="H9" s="9">
        <v>15485.762892253901</v>
      </c>
      <c r="I9" s="9" t="s">
        <v>128</v>
      </c>
    </row>
    <row r="10" spans="1:9" ht="15" hidden="1" customHeight="1" x14ac:dyDescent="0.2">
      <c r="A10" s="9" t="s">
        <v>207</v>
      </c>
      <c r="B10" s="9" t="s">
        <v>206</v>
      </c>
      <c r="C10" s="9" t="s">
        <v>44</v>
      </c>
      <c r="D10" s="9" t="s">
        <v>215</v>
      </c>
      <c r="E10" s="9">
        <v>0</v>
      </c>
      <c r="F10" s="9">
        <v>0</v>
      </c>
      <c r="G10" s="9">
        <v>121412.92641103501</v>
      </c>
      <c r="H10" s="9">
        <v>602416.60064572201</v>
      </c>
      <c r="I10" s="9" t="s">
        <v>128</v>
      </c>
    </row>
    <row r="11" spans="1:9" ht="15" hidden="1" customHeight="1" x14ac:dyDescent="0.2">
      <c r="A11" s="9" t="s">
        <v>207</v>
      </c>
      <c r="B11" s="9" t="s">
        <v>206</v>
      </c>
      <c r="C11" s="9" t="s">
        <v>45</v>
      </c>
      <c r="D11" s="9" t="s">
        <v>215</v>
      </c>
      <c r="E11" s="9">
        <v>0</v>
      </c>
      <c r="F11" s="9">
        <v>0</v>
      </c>
      <c r="G11" s="9">
        <v>134.90963619744701</v>
      </c>
      <c r="H11" s="9">
        <v>575.18894162604795</v>
      </c>
      <c r="I11" s="9" t="s">
        <v>128</v>
      </c>
    </row>
    <row r="12" spans="1:9" ht="15" hidden="1" customHeight="1" x14ac:dyDescent="0.2">
      <c r="A12" s="9" t="s">
        <v>207</v>
      </c>
      <c r="B12" s="9" t="s">
        <v>206</v>
      </c>
      <c r="C12" s="9" t="s">
        <v>55</v>
      </c>
      <c r="D12" s="9" t="s">
        <v>215</v>
      </c>
      <c r="E12" s="9">
        <v>0</v>
      </c>
      <c r="F12" s="9">
        <v>0</v>
      </c>
      <c r="G12" s="9">
        <v>103381.214063447</v>
      </c>
      <c r="H12" s="9">
        <v>411534.50159353501</v>
      </c>
      <c r="I12" s="9" t="s">
        <v>128</v>
      </c>
    </row>
    <row r="13" spans="1:9" ht="15" hidden="1" customHeight="1" x14ac:dyDescent="0.2">
      <c r="A13" s="9" t="s">
        <v>207</v>
      </c>
      <c r="B13" s="9" t="s">
        <v>206</v>
      </c>
      <c r="C13" s="9" t="s">
        <v>59</v>
      </c>
      <c r="D13" s="9" t="s">
        <v>215</v>
      </c>
      <c r="E13" s="9">
        <v>0</v>
      </c>
      <c r="F13" s="9">
        <v>0</v>
      </c>
      <c r="G13" s="9">
        <v>1129.6650259906701</v>
      </c>
      <c r="H13" s="9">
        <v>4816.3411377120801</v>
      </c>
      <c r="I13" s="9" t="s">
        <v>128</v>
      </c>
    </row>
    <row r="14" spans="1:9" ht="15" hidden="1" customHeight="1" x14ac:dyDescent="0.2">
      <c r="A14" s="9" t="s">
        <v>207</v>
      </c>
      <c r="B14" s="9" t="s">
        <v>206</v>
      </c>
      <c r="C14" s="9" t="s">
        <v>60</v>
      </c>
      <c r="D14" s="9" t="s">
        <v>215</v>
      </c>
      <c r="E14" s="9">
        <v>0</v>
      </c>
      <c r="F14" s="9">
        <v>0</v>
      </c>
      <c r="G14" s="9">
        <v>91070.653689603801</v>
      </c>
      <c r="H14" s="9">
        <v>69083.850690233696</v>
      </c>
      <c r="I14" s="9" t="s">
        <v>128</v>
      </c>
    </row>
    <row r="15" spans="1:9" ht="15" hidden="1" customHeight="1" x14ac:dyDescent="0.2">
      <c r="A15" s="9" t="s">
        <v>207</v>
      </c>
      <c r="B15" s="9" t="s">
        <v>206</v>
      </c>
      <c r="C15" s="9" t="s">
        <v>64</v>
      </c>
      <c r="D15" s="9" t="s">
        <v>215</v>
      </c>
      <c r="E15" s="9">
        <v>0</v>
      </c>
      <c r="F15" s="9">
        <v>0</v>
      </c>
      <c r="G15" s="9">
        <v>1.6254173035837001</v>
      </c>
      <c r="H15" s="9">
        <v>6.9299872485065999</v>
      </c>
      <c r="I15" s="9" t="s">
        <v>128</v>
      </c>
    </row>
    <row r="16" spans="1:9" ht="15" hidden="1" customHeight="1" x14ac:dyDescent="0.2">
      <c r="A16" s="9" t="s">
        <v>205</v>
      </c>
      <c r="B16" s="9" t="s">
        <v>208</v>
      </c>
      <c r="C16" s="9" t="s">
        <v>42</v>
      </c>
      <c r="D16" s="9" t="s">
        <v>215</v>
      </c>
      <c r="E16" s="9">
        <v>0</v>
      </c>
      <c r="F16" s="9">
        <v>0</v>
      </c>
      <c r="G16" s="9">
        <v>9101.0703853045998</v>
      </c>
      <c r="H16" s="9">
        <v>13492.338071767101</v>
      </c>
      <c r="I16" s="9" t="s">
        <v>128</v>
      </c>
    </row>
    <row r="17" spans="1:9" ht="15" hidden="1" customHeight="1" x14ac:dyDescent="0.2">
      <c r="A17" s="9" t="s">
        <v>205</v>
      </c>
      <c r="B17" s="9" t="s">
        <v>208</v>
      </c>
      <c r="C17" s="9" t="s">
        <v>44</v>
      </c>
      <c r="D17" s="9" t="s">
        <v>215</v>
      </c>
      <c r="E17" s="9">
        <v>0</v>
      </c>
      <c r="F17" s="9">
        <v>0</v>
      </c>
      <c r="G17" s="9">
        <v>105390.82170449301</v>
      </c>
      <c r="H17" s="9">
        <v>320253.24597361498</v>
      </c>
      <c r="I17" s="9" t="s">
        <v>128</v>
      </c>
    </row>
    <row r="18" spans="1:9" ht="15" hidden="1" customHeight="1" x14ac:dyDescent="0.2">
      <c r="A18" s="9" t="s">
        <v>205</v>
      </c>
      <c r="B18" s="9" t="s">
        <v>208</v>
      </c>
      <c r="C18" s="9" t="s">
        <v>45</v>
      </c>
      <c r="D18" s="9" t="s">
        <v>215</v>
      </c>
      <c r="E18" s="9">
        <v>0</v>
      </c>
      <c r="F18" s="9">
        <v>0</v>
      </c>
      <c r="G18" s="9">
        <v>149.256786629814</v>
      </c>
      <c r="H18" s="9">
        <v>588.45870869024805</v>
      </c>
      <c r="I18" s="9" t="s">
        <v>128</v>
      </c>
    </row>
    <row r="19" spans="1:9" ht="15" hidden="1" customHeight="1" x14ac:dyDescent="0.2">
      <c r="A19" s="9" t="s">
        <v>205</v>
      </c>
      <c r="B19" s="9" t="s">
        <v>208</v>
      </c>
      <c r="C19" s="9" t="s">
        <v>55</v>
      </c>
      <c r="D19" s="9" t="s">
        <v>215</v>
      </c>
      <c r="E19" s="9">
        <v>0</v>
      </c>
      <c r="F19" s="9">
        <v>0</v>
      </c>
      <c r="G19" s="9">
        <v>51737.999008581799</v>
      </c>
      <c r="H19" s="9">
        <v>192036.079049336</v>
      </c>
      <c r="I19" s="9" t="s">
        <v>128</v>
      </c>
    </row>
    <row r="20" spans="1:9" ht="15" hidden="1" customHeight="1" x14ac:dyDescent="0.2">
      <c r="A20" s="9" t="s">
        <v>205</v>
      </c>
      <c r="B20" s="9" t="s">
        <v>208</v>
      </c>
      <c r="C20" s="9" t="s">
        <v>59</v>
      </c>
      <c r="D20" s="9" t="s">
        <v>215</v>
      </c>
      <c r="E20" s="9">
        <v>0</v>
      </c>
      <c r="F20" s="9">
        <v>0</v>
      </c>
      <c r="G20" s="9">
        <v>1249.8008037074801</v>
      </c>
      <c r="H20" s="9">
        <v>4927.4554522858098</v>
      </c>
      <c r="I20" s="9" t="s">
        <v>128</v>
      </c>
    </row>
    <row r="21" spans="1:9" ht="15" hidden="1" customHeight="1" x14ac:dyDescent="0.2">
      <c r="A21" s="9" t="s">
        <v>205</v>
      </c>
      <c r="B21" s="9" t="s">
        <v>208</v>
      </c>
      <c r="C21" s="9" t="s">
        <v>60</v>
      </c>
      <c r="D21" s="9" t="s">
        <v>215</v>
      </c>
      <c r="E21" s="9">
        <v>0</v>
      </c>
      <c r="F21" s="9">
        <v>0</v>
      </c>
      <c r="G21" s="9">
        <v>43915.551967324303</v>
      </c>
      <c r="H21" s="9">
        <v>71308.185051021806</v>
      </c>
      <c r="I21" s="9" t="s">
        <v>128</v>
      </c>
    </row>
    <row r="22" spans="1:9" ht="15" hidden="1" customHeight="1" x14ac:dyDescent="0.2">
      <c r="A22" s="9" t="s">
        <v>205</v>
      </c>
      <c r="B22" s="9" t="s">
        <v>208</v>
      </c>
      <c r="C22" s="9" t="s">
        <v>64</v>
      </c>
      <c r="D22" s="9" t="s">
        <v>215</v>
      </c>
      <c r="E22" s="9">
        <v>0</v>
      </c>
      <c r="F22" s="9">
        <v>0</v>
      </c>
      <c r="G22" s="9">
        <v>1.79827453770861</v>
      </c>
      <c r="H22" s="9">
        <v>7.0898639601234796</v>
      </c>
      <c r="I22" s="9" t="s">
        <v>128</v>
      </c>
    </row>
    <row r="23" spans="1:9" ht="15" hidden="1" customHeight="1" x14ac:dyDescent="0.2">
      <c r="A23" s="9" t="s">
        <v>207</v>
      </c>
      <c r="B23" s="9" t="s">
        <v>208</v>
      </c>
      <c r="C23" s="9" t="s">
        <v>42</v>
      </c>
      <c r="D23" s="9" t="s">
        <v>215</v>
      </c>
      <c r="E23" s="9">
        <v>0</v>
      </c>
      <c r="F23" s="9">
        <v>0</v>
      </c>
      <c r="G23" s="9">
        <v>37977.212678287899</v>
      </c>
      <c r="H23" s="9">
        <v>7716.1198184000496</v>
      </c>
      <c r="I23" s="9" t="s">
        <v>128</v>
      </c>
    </row>
    <row r="24" spans="1:9" ht="15" hidden="1" customHeight="1" x14ac:dyDescent="0.2">
      <c r="A24" s="9" t="s">
        <v>207</v>
      </c>
      <c r="B24" s="9" t="s">
        <v>208</v>
      </c>
      <c r="C24" s="9" t="s">
        <v>44</v>
      </c>
      <c r="D24" s="9" t="s">
        <v>215</v>
      </c>
      <c r="E24" s="9">
        <v>0</v>
      </c>
      <c r="F24" s="9">
        <v>0</v>
      </c>
      <c r="G24" s="9">
        <v>81118.690518232193</v>
      </c>
      <c r="H24" s="9">
        <v>286481.18621898198</v>
      </c>
      <c r="I24" s="9" t="s">
        <v>128</v>
      </c>
    </row>
    <row r="25" spans="1:9" ht="15" hidden="1" customHeight="1" x14ac:dyDescent="0.2">
      <c r="A25" s="9" t="s">
        <v>207</v>
      </c>
      <c r="B25" s="9" t="s">
        <v>208</v>
      </c>
      <c r="C25" s="9" t="s">
        <v>45</v>
      </c>
      <c r="D25" s="9" t="s">
        <v>215</v>
      </c>
      <c r="E25" s="9">
        <v>0</v>
      </c>
      <c r="F25" s="9">
        <v>0</v>
      </c>
      <c r="G25" s="9">
        <v>89.629235796780804</v>
      </c>
      <c r="H25" s="9">
        <v>337.40074632299599</v>
      </c>
      <c r="I25" s="9" t="s">
        <v>128</v>
      </c>
    </row>
    <row r="26" spans="1:9" ht="15" hidden="1" customHeight="1" x14ac:dyDescent="0.2">
      <c r="A26" s="9" t="s">
        <v>207</v>
      </c>
      <c r="B26" s="9" t="s">
        <v>208</v>
      </c>
      <c r="C26" s="9" t="s">
        <v>55</v>
      </c>
      <c r="D26" s="9" t="s">
        <v>215</v>
      </c>
      <c r="E26" s="9">
        <v>0</v>
      </c>
      <c r="F26" s="9">
        <v>0</v>
      </c>
      <c r="G26" s="9">
        <v>61983.698517798599</v>
      </c>
      <c r="H26" s="9">
        <v>181215.04981406801</v>
      </c>
      <c r="I26" s="9" t="s">
        <v>128</v>
      </c>
    </row>
    <row r="27" spans="1:9" ht="15" hidden="1" customHeight="1" x14ac:dyDescent="0.2">
      <c r="A27" s="9" t="s">
        <v>207</v>
      </c>
      <c r="B27" s="9" t="s">
        <v>208</v>
      </c>
      <c r="C27" s="9" t="s">
        <v>59</v>
      </c>
      <c r="D27" s="9" t="s">
        <v>215</v>
      </c>
      <c r="E27" s="9">
        <v>0</v>
      </c>
      <c r="F27" s="9">
        <v>0</v>
      </c>
      <c r="G27" s="9">
        <v>750.50986600919202</v>
      </c>
      <c r="H27" s="9">
        <v>2825.2231168009898</v>
      </c>
      <c r="I27" s="9" t="s">
        <v>128</v>
      </c>
    </row>
    <row r="28" spans="1:9" ht="15" hidden="1" customHeight="1" x14ac:dyDescent="0.2">
      <c r="A28" s="9" t="s">
        <v>207</v>
      </c>
      <c r="B28" s="9" t="s">
        <v>208</v>
      </c>
      <c r="C28" s="9" t="s">
        <v>60</v>
      </c>
      <c r="D28" s="9" t="s">
        <v>215</v>
      </c>
      <c r="E28" s="9">
        <v>0</v>
      </c>
      <c r="F28" s="9">
        <v>0</v>
      </c>
      <c r="G28" s="9">
        <v>61145.0373842025</v>
      </c>
      <c r="H28" s="9">
        <v>33268.332618219902</v>
      </c>
      <c r="I28" s="9" t="s">
        <v>128</v>
      </c>
    </row>
    <row r="29" spans="1:9" ht="15" hidden="1" customHeight="1" x14ac:dyDescent="0.2">
      <c r="A29" s="9" t="s">
        <v>207</v>
      </c>
      <c r="B29" s="9" t="s">
        <v>208</v>
      </c>
      <c r="C29" s="9" t="s">
        <v>64</v>
      </c>
      <c r="D29" s="9" t="s">
        <v>215</v>
      </c>
      <c r="E29" s="9">
        <v>0</v>
      </c>
      <c r="F29" s="9">
        <v>0</v>
      </c>
      <c r="G29" s="9">
        <v>1.07987031080459</v>
      </c>
      <c r="H29" s="9">
        <v>4.06506923280718</v>
      </c>
      <c r="I29" s="9" t="s">
        <v>128</v>
      </c>
    </row>
    <row r="30" spans="1:9" ht="15" hidden="1" customHeight="1" x14ac:dyDescent="0.2">
      <c r="A30" s="9" t="s">
        <v>205</v>
      </c>
      <c r="B30" s="9" t="s">
        <v>209</v>
      </c>
      <c r="C30" s="9" t="s">
        <v>42</v>
      </c>
      <c r="D30" s="9" t="s">
        <v>215</v>
      </c>
      <c r="E30" s="9">
        <v>0</v>
      </c>
      <c r="F30" s="9">
        <v>0</v>
      </c>
      <c r="G30" s="9">
        <v>3225.35047702769</v>
      </c>
      <c r="H30" s="9">
        <v>5302.2621671670404</v>
      </c>
      <c r="I30" s="9" t="s">
        <v>128</v>
      </c>
    </row>
    <row r="31" spans="1:9" ht="15" hidden="1" customHeight="1" x14ac:dyDescent="0.2">
      <c r="A31" s="9" t="s">
        <v>205</v>
      </c>
      <c r="B31" s="9" t="s">
        <v>209</v>
      </c>
      <c r="C31" s="9" t="s">
        <v>44</v>
      </c>
      <c r="D31" s="9" t="s">
        <v>215</v>
      </c>
      <c r="E31" s="9">
        <v>0</v>
      </c>
      <c r="F31" s="9">
        <v>0</v>
      </c>
      <c r="G31" s="9">
        <v>56476.831054248498</v>
      </c>
      <c r="H31" s="9">
        <v>205987.44537245401</v>
      </c>
      <c r="I31" s="9" t="s">
        <v>128</v>
      </c>
    </row>
    <row r="32" spans="1:9" ht="15" hidden="1" customHeight="1" x14ac:dyDescent="0.2">
      <c r="A32" s="9" t="s">
        <v>205</v>
      </c>
      <c r="B32" s="9" t="s">
        <v>209</v>
      </c>
      <c r="C32" s="9" t="s">
        <v>45</v>
      </c>
      <c r="D32" s="9" t="s">
        <v>215</v>
      </c>
      <c r="E32" s="9">
        <v>0</v>
      </c>
      <c r="F32" s="9">
        <v>0</v>
      </c>
      <c r="G32" s="9">
        <v>29.253140346690198</v>
      </c>
      <c r="H32" s="9">
        <v>98.597161335368696</v>
      </c>
      <c r="I32" s="9" t="s">
        <v>128</v>
      </c>
    </row>
    <row r="33" spans="1:9" ht="15" hidden="1" customHeight="1" x14ac:dyDescent="0.2">
      <c r="A33" s="9" t="s">
        <v>205</v>
      </c>
      <c r="B33" s="9" t="s">
        <v>209</v>
      </c>
      <c r="C33" s="9" t="s">
        <v>55</v>
      </c>
      <c r="D33" s="9" t="s">
        <v>215</v>
      </c>
      <c r="E33" s="9">
        <v>0</v>
      </c>
      <c r="F33" s="9">
        <v>0</v>
      </c>
      <c r="G33" s="9">
        <v>7048.1130618479401</v>
      </c>
      <c r="H33" s="9">
        <v>23442.400849912101</v>
      </c>
      <c r="I33" s="9" t="s">
        <v>128</v>
      </c>
    </row>
    <row r="34" spans="1:9" ht="15" hidden="1" customHeight="1" x14ac:dyDescent="0.2">
      <c r="A34" s="9" t="s">
        <v>205</v>
      </c>
      <c r="B34" s="9" t="s">
        <v>209</v>
      </c>
      <c r="C34" s="9" t="s">
        <v>59</v>
      </c>
      <c r="D34" s="9" t="s">
        <v>215</v>
      </c>
      <c r="E34" s="9">
        <v>0</v>
      </c>
      <c r="F34" s="9">
        <v>0</v>
      </c>
      <c r="G34" s="9">
        <v>244.95099446927301</v>
      </c>
      <c r="H34" s="9">
        <v>825.60273648290604</v>
      </c>
      <c r="I34" s="9" t="s">
        <v>128</v>
      </c>
    </row>
    <row r="35" spans="1:9" ht="15" hidden="1" customHeight="1" x14ac:dyDescent="0.2">
      <c r="A35" s="9" t="s">
        <v>205</v>
      </c>
      <c r="B35" s="9" t="s">
        <v>209</v>
      </c>
      <c r="C35" s="9" t="s">
        <v>60</v>
      </c>
      <c r="D35" s="9" t="s">
        <v>215</v>
      </c>
      <c r="E35" s="9">
        <v>0</v>
      </c>
      <c r="F35" s="9">
        <v>0</v>
      </c>
      <c r="G35" s="9">
        <v>13655.567441917399</v>
      </c>
      <c r="H35" s="9">
        <v>25059.643137416901</v>
      </c>
      <c r="I35" s="9" t="s">
        <v>128</v>
      </c>
    </row>
    <row r="36" spans="1:9" ht="15" hidden="1" customHeight="1" x14ac:dyDescent="0.2">
      <c r="A36" s="9" t="s">
        <v>205</v>
      </c>
      <c r="B36" s="9" t="s">
        <v>209</v>
      </c>
      <c r="C36" s="9" t="s">
        <v>64</v>
      </c>
      <c r="D36" s="9" t="s">
        <v>215</v>
      </c>
      <c r="E36" s="9">
        <v>0</v>
      </c>
      <c r="F36" s="9">
        <v>0</v>
      </c>
      <c r="G36" s="9">
        <v>0.352447474056508</v>
      </c>
      <c r="H36" s="9">
        <v>1.1879176064502299</v>
      </c>
      <c r="I36" s="9" t="s">
        <v>128</v>
      </c>
    </row>
    <row r="37" spans="1:9" ht="15" hidden="1" customHeight="1" x14ac:dyDescent="0.2">
      <c r="A37" s="9" t="s">
        <v>207</v>
      </c>
      <c r="B37" s="9" t="s">
        <v>209</v>
      </c>
      <c r="C37" s="9" t="s">
        <v>42</v>
      </c>
      <c r="D37" s="9" t="s">
        <v>215</v>
      </c>
      <c r="E37" s="9">
        <v>0</v>
      </c>
      <c r="F37" s="9">
        <v>0</v>
      </c>
      <c r="G37" s="9">
        <v>13811.470464751699</v>
      </c>
      <c r="H37" s="9">
        <v>3679.8490821569899</v>
      </c>
      <c r="I37" s="9" t="s">
        <v>128</v>
      </c>
    </row>
    <row r="38" spans="1:9" ht="15" hidden="1" customHeight="1" x14ac:dyDescent="0.2">
      <c r="A38" s="9" t="s">
        <v>207</v>
      </c>
      <c r="B38" s="9" t="s">
        <v>209</v>
      </c>
      <c r="C38" s="9" t="s">
        <v>44</v>
      </c>
      <c r="D38" s="9" t="s">
        <v>215</v>
      </c>
      <c r="E38" s="9">
        <v>0</v>
      </c>
      <c r="F38" s="9">
        <v>0</v>
      </c>
      <c r="G38" s="9">
        <v>43983.011832645097</v>
      </c>
      <c r="H38" s="9">
        <v>184001.51017881499</v>
      </c>
      <c r="I38" s="9" t="s">
        <v>128</v>
      </c>
    </row>
    <row r="39" spans="1:9" ht="15" hidden="1" customHeight="1" x14ac:dyDescent="0.2">
      <c r="A39" s="9" t="s">
        <v>207</v>
      </c>
      <c r="B39" s="9" t="s">
        <v>209</v>
      </c>
      <c r="C39" s="9" t="s">
        <v>45</v>
      </c>
      <c r="D39" s="9" t="s">
        <v>215</v>
      </c>
      <c r="E39" s="9">
        <v>0</v>
      </c>
      <c r="F39" s="9">
        <v>0</v>
      </c>
      <c r="G39" s="9">
        <v>16.738980775820401</v>
      </c>
      <c r="H39" s="9">
        <v>52.039964739960404</v>
      </c>
      <c r="I39" s="9" t="s">
        <v>128</v>
      </c>
    </row>
    <row r="40" spans="1:9" ht="15" hidden="1" customHeight="1" x14ac:dyDescent="0.2">
      <c r="A40" s="9" t="s">
        <v>207</v>
      </c>
      <c r="B40" s="9" t="s">
        <v>209</v>
      </c>
      <c r="C40" s="9" t="s">
        <v>55</v>
      </c>
      <c r="D40" s="9" t="s">
        <v>215</v>
      </c>
      <c r="E40" s="9">
        <v>0</v>
      </c>
      <c r="F40" s="9">
        <v>0</v>
      </c>
      <c r="G40" s="9">
        <v>8441.2919268023506</v>
      </c>
      <c r="H40" s="9">
        <v>22475.242571384399</v>
      </c>
      <c r="I40" s="9" t="s">
        <v>128</v>
      </c>
    </row>
    <row r="41" spans="1:9" ht="15" hidden="1" customHeight="1" x14ac:dyDescent="0.2">
      <c r="A41" s="9" t="s">
        <v>207</v>
      </c>
      <c r="B41" s="9" t="s">
        <v>209</v>
      </c>
      <c r="C41" s="9" t="s">
        <v>59</v>
      </c>
      <c r="D41" s="9" t="s">
        <v>215</v>
      </c>
      <c r="E41" s="9">
        <v>0</v>
      </c>
      <c r="F41" s="9">
        <v>0</v>
      </c>
      <c r="G41" s="9">
        <v>140.163754689098</v>
      </c>
      <c r="H41" s="9">
        <v>435.75633125629503</v>
      </c>
      <c r="I41" s="9" t="s">
        <v>128</v>
      </c>
    </row>
    <row r="42" spans="1:9" ht="15" hidden="1" customHeight="1" x14ac:dyDescent="0.2">
      <c r="A42" s="9" t="s">
        <v>207</v>
      </c>
      <c r="B42" s="9" t="s">
        <v>209</v>
      </c>
      <c r="C42" s="9" t="s">
        <v>60</v>
      </c>
      <c r="D42" s="9" t="s">
        <v>215</v>
      </c>
      <c r="E42" s="9">
        <v>0</v>
      </c>
      <c r="F42" s="9">
        <v>0</v>
      </c>
      <c r="G42" s="9">
        <v>19472.212186779001</v>
      </c>
      <c r="H42" s="9">
        <v>13452.5489446375</v>
      </c>
      <c r="I42" s="9" t="s">
        <v>128</v>
      </c>
    </row>
    <row r="43" spans="1:9" ht="15" hidden="1" customHeight="1" x14ac:dyDescent="0.2">
      <c r="A43" s="9" t="s">
        <v>207</v>
      </c>
      <c r="B43" s="9" t="s">
        <v>209</v>
      </c>
      <c r="C43" s="9" t="s">
        <v>64</v>
      </c>
      <c r="D43" s="9" t="s">
        <v>215</v>
      </c>
      <c r="E43" s="9">
        <v>0</v>
      </c>
      <c r="F43" s="9">
        <v>0</v>
      </c>
      <c r="G43" s="9">
        <v>0.201674467178559</v>
      </c>
      <c r="H43" s="9">
        <v>0.62698752698747495</v>
      </c>
      <c r="I43" s="9" t="s">
        <v>128</v>
      </c>
    </row>
    <row r="44" spans="1:9" ht="15" hidden="1" customHeight="1" x14ac:dyDescent="0.2">
      <c r="A44" s="9" t="s">
        <v>205</v>
      </c>
      <c r="B44" s="9" t="s">
        <v>210</v>
      </c>
      <c r="C44" s="9" t="s">
        <v>42</v>
      </c>
      <c r="D44" s="9" t="s">
        <v>215</v>
      </c>
      <c r="E44" s="9">
        <v>0</v>
      </c>
      <c r="F44" s="9">
        <v>0</v>
      </c>
      <c r="G44" s="9">
        <v>4893.21995277306</v>
      </c>
      <c r="H44" s="9">
        <v>7195.9136382757897</v>
      </c>
      <c r="I44" s="9" t="s">
        <v>128</v>
      </c>
    </row>
    <row r="45" spans="1:9" ht="15" hidden="1" customHeight="1" x14ac:dyDescent="0.2">
      <c r="A45" s="9" t="s">
        <v>205</v>
      </c>
      <c r="B45" s="9" t="s">
        <v>210</v>
      </c>
      <c r="C45" s="9" t="s">
        <v>44</v>
      </c>
      <c r="D45" s="9" t="s">
        <v>215</v>
      </c>
      <c r="E45" s="9">
        <v>0</v>
      </c>
      <c r="F45" s="9">
        <v>0</v>
      </c>
      <c r="G45" s="9">
        <v>84638.334745302403</v>
      </c>
      <c r="H45" s="9">
        <v>256202.59677889201</v>
      </c>
      <c r="I45" s="9" t="s">
        <v>128</v>
      </c>
    </row>
    <row r="46" spans="1:9" ht="15" hidden="1" customHeight="1" x14ac:dyDescent="0.2">
      <c r="A46" s="9" t="s">
        <v>205</v>
      </c>
      <c r="B46" s="9" t="s">
        <v>210</v>
      </c>
      <c r="C46" s="9" t="s">
        <v>45</v>
      </c>
      <c r="D46" s="9" t="s">
        <v>215</v>
      </c>
      <c r="E46" s="9">
        <v>0</v>
      </c>
      <c r="F46" s="9">
        <v>0</v>
      </c>
      <c r="G46" s="9">
        <v>44.950783467263399</v>
      </c>
      <c r="H46" s="9">
        <v>130.03419219458601</v>
      </c>
      <c r="I46" s="9" t="s">
        <v>128</v>
      </c>
    </row>
    <row r="47" spans="1:9" ht="15" hidden="1" customHeight="1" x14ac:dyDescent="0.2">
      <c r="A47" s="9" t="s">
        <v>205</v>
      </c>
      <c r="B47" s="9" t="s">
        <v>210</v>
      </c>
      <c r="C47" s="9" t="s">
        <v>55</v>
      </c>
      <c r="D47" s="9" t="s">
        <v>215</v>
      </c>
      <c r="E47" s="9">
        <v>0</v>
      </c>
      <c r="F47" s="9">
        <v>0</v>
      </c>
      <c r="G47" s="9">
        <v>10421.181216487301</v>
      </c>
      <c r="H47" s="9">
        <v>28325.606191475999</v>
      </c>
      <c r="I47" s="9" t="s">
        <v>128</v>
      </c>
    </row>
    <row r="48" spans="1:9" ht="15" hidden="1" customHeight="1" x14ac:dyDescent="0.2">
      <c r="A48" s="9" t="s">
        <v>205</v>
      </c>
      <c r="B48" s="9" t="s">
        <v>210</v>
      </c>
      <c r="C48" s="9" t="s">
        <v>59</v>
      </c>
      <c r="D48" s="9" t="s">
        <v>215</v>
      </c>
      <c r="E48" s="9">
        <v>0</v>
      </c>
      <c r="F48" s="9">
        <v>0</v>
      </c>
      <c r="G48" s="9">
        <v>376.395114575278</v>
      </c>
      <c r="H48" s="9">
        <v>1088.84052500286</v>
      </c>
      <c r="I48" s="9" t="s">
        <v>128</v>
      </c>
    </row>
    <row r="49" spans="1:14" ht="15" hidden="1" customHeight="1" x14ac:dyDescent="0.2">
      <c r="A49" s="9" t="s">
        <v>205</v>
      </c>
      <c r="B49" s="9" t="s">
        <v>210</v>
      </c>
      <c r="C49" s="9" t="s">
        <v>60</v>
      </c>
      <c r="D49" s="9" t="s">
        <v>215</v>
      </c>
      <c r="E49" s="9">
        <v>0</v>
      </c>
      <c r="F49" s="9">
        <v>0</v>
      </c>
      <c r="G49" s="9">
        <v>20667.593630187199</v>
      </c>
      <c r="H49" s="9">
        <v>33277.153023810199</v>
      </c>
      <c r="I49" s="9" t="s">
        <v>128</v>
      </c>
    </row>
    <row r="50" spans="1:14" ht="15" hidden="1" customHeight="1" x14ac:dyDescent="0.2">
      <c r="A50" s="9" t="s">
        <v>205</v>
      </c>
      <c r="B50" s="9" t="s">
        <v>210</v>
      </c>
      <c r="C50" s="9" t="s">
        <v>64</v>
      </c>
      <c r="D50" s="9" t="s">
        <v>215</v>
      </c>
      <c r="E50" s="9">
        <v>0</v>
      </c>
      <c r="F50" s="9">
        <v>0</v>
      </c>
      <c r="G50" s="9">
        <v>0.54157570442486003</v>
      </c>
      <c r="H50" s="9">
        <v>1.5666770143926001</v>
      </c>
      <c r="I50" s="9" t="s">
        <v>128</v>
      </c>
    </row>
    <row r="51" spans="1:14" ht="15" hidden="1" customHeight="1" x14ac:dyDescent="0.2">
      <c r="A51" s="9" t="s">
        <v>207</v>
      </c>
      <c r="B51" s="9" t="s">
        <v>210</v>
      </c>
      <c r="C51" s="9" t="s">
        <v>42</v>
      </c>
      <c r="D51" s="9" t="s">
        <v>215</v>
      </c>
      <c r="E51" s="9">
        <v>0</v>
      </c>
      <c r="F51" s="9">
        <v>0</v>
      </c>
      <c r="G51" s="9">
        <v>20318.459850682098</v>
      </c>
      <c r="H51" s="9">
        <v>4084.9171878265902</v>
      </c>
      <c r="I51" s="9" t="s">
        <v>128</v>
      </c>
    </row>
    <row r="52" spans="1:14" ht="15" hidden="1" customHeight="1" x14ac:dyDescent="0.2">
      <c r="A52" s="9" t="s">
        <v>207</v>
      </c>
      <c r="B52" s="9" t="s">
        <v>210</v>
      </c>
      <c r="C52" s="9" t="s">
        <v>44</v>
      </c>
      <c r="D52" s="9" t="s">
        <v>215</v>
      </c>
      <c r="E52" s="9">
        <v>0</v>
      </c>
      <c r="F52" s="9">
        <v>0</v>
      </c>
      <c r="G52" s="9">
        <v>65372.892281004999</v>
      </c>
      <c r="H52" s="9">
        <v>231122.274879793</v>
      </c>
      <c r="I52" s="9" t="s">
        <v>128</v>
      </c>
    </row>
    <row r="53" spans="1:14" ht="15" hidden="1" customHeight="1" x14ac:dyDescent="0.2">
      <c r="A53" s="9" t="s">
        <v>207</v>
      </c>
      <c r="B53" s="9" t="s">
        <v>210</v>
      </c>
      <c r="C53" s="9" t="s">
        <v>45</v>
      </c>
      <c r="D53" s="9" t="s">
        <v>215</v>
      </c>
      <c r="E53" s="9">
        <v>0</v>
      </c>
      <c r="F53" s="9">
        <v>0</v>
      </c>
      <c r="G53" s="9">
        <v>26.8789980222687</v>
      </c>
      <c r="H53" s="9">
        <v>66.839364965304497</v>
      </c>
      <c r="I53" s="9" t="s">
        <v>128</v>
      </c>
    </row>
    <row r="54" spans="1:14" ht="15" hidden="1" customHeight="1" x14ac:dyDescent="0.2">
      <c r="A54" s="9" t="s">
        <v>207</v>
      </c>
      <c r="B54" s="9" t="s">
        <v>210</v>
      </c>
      <c r="C54" s="9" t="s">
        <v>55</v>
      </c>
      <c r="D54" s="9" t="s">
        <v>215</v>
      </c>
      <c r="E54" s="9">
        <v>0</v>
      </c>
      <c r="F54" s="9">
        <v>0</v>
      </c>
      <c r="G54" s="9">
        <v>12427.9383985185</v>
      </c>
      <c r="H54" s="9">
        <v>26791.0079849092</v>
      </c>
      <c r="I54" s="9" t="s">
        <v>128</v>
      </c>
    </row>
    <row r="55" spans="1:14" ht="15" hidden="1" customHeight="1" x14ac:dyDescent="0.2">
      <c r="A55" s="9" t="s">
        <v>207</v>
      </c>
      <c r="B55" s="9" t="s">
        <v>210</v>
      </c>
      <c r="C55" s="9" t="s">
        <v>59</v>
      </c>
      <c r="D55" s="9" t="s">
        <v>215</v>
      </c>
      <c r="E55" s="9">
        <v>0</v>
      </c>
      <c r="F55" s="9">
        <v>0</v>
      </c>
      <c r="G55" s="9">
        <v>225.071128017793</v>
      </c>
      <c r="H55" s="9">
        <v>559.67901989020004</v>
      </c>
      <c r="I55" s="9" t="s">
        <v>128</v>
      </c>
    </row>
    <row r="56" spans="1:14" ht="15" hidden="1" customHeight="1" x14ac:dyDescent="0.2">
      <c r="A56" s="9" t="s">
        <v>207</v>
      </c>
      <c r="B56" s="9" t="s">
        <v>210</v>
      </c>
      <c r="C56" s="9" t="s">
        <v>60</v>
      </c>
      <c r="D56" s="9" t="s">
        <v>215</v>
      </c>
      <c r="E56" s="9">
        <v>0</v>
      </c>
      <c r="F56" s="9">
        <v>0</v>
      </c>
      <c r="G56" s="9">
        <v>28688.520448914802</v>
      </c>
      <c r="H56" s="9">
        <v>15486.9844197442</v>
      </c>
      <c r="I56" s="9" t="s">
        <v>128</v>
      </c>
    </row>
    <row r="57" spans="1:14" ht="15" hidden="1" customHeight="1" x14ac:dyDescent="0.2">
      <c r="A57" s="9" t="s">
        <v>207</v>
      </c>
      <c r="B57" s="9" t="s">
        <v>210</v>
      </c>
      <c r="C57" s="9" t="s">
        <v>64</v>
      </c>
      <c r="D57" s="9" t="s">
        <v>215</v>
      </c>
      <c r="E57" s="9">
        <v>0</v>
      </c>
      <c r="F57" s="9">
        <v>0</v>
      </c>
      <c r="G57" s="9">
        <v>0.32384334966588801</v>
      </c>
      <c r="H57" s="9">
        <v>0.80529355379884704</v>
      </c>
      <c r="I57" s="9" t="s">
        <v>128</v>
      </c>
    </row>
    <row r="58" spans="1:14" ht="15" customHeight="1" x14ac:dyDescent="0.2">
      <c r="A58" s="9" t="s">
        <v>178</v>
      </c>
      <c r="B58" s="9" t="s">
        <v>178</v>
      </c>
      <c r="C58" s="9" t="s">
        <v>38</v>
      </c>
      <c r="D58" s="9" t="s">
        <v>216</v>
      </c>
      <c r="E58" s="9">
        <v>59119832.1569001</v>
      </c>
      <c r="F58" s="9">
        <v>107079209.0299</v>
      </c>
      <c r="G58" s="9">
        <v>193944343.008944</v>
      </c>
      <c r="H58" s="9">
        <v>351276485.19207501</v>
      </c>
      <c r="I58" s="9" t="s">
        <v>128</v>
      </c>
      <c r="K58">
        <f t="shared" ref="K58:K89" si="0">0.003*E58</f>
        <v>177359.49647070031</v>
      </c>
      <c r="L58">
        <f t="shared" ref="L58:L89" si="1">0.003*F58</f>
        <v>321237.62708970002</v>
      </c>
      <c r="M58">
        <f t="shared" ref="M58:M89" si="2">0.003*G58</f>
        <v>581833.02902683208</v>
      </c>
      <c r="N58">
        <f t="shared" ref="N58:N89" si="3">0.003*H58</f>
        <v>1053829.455576225</v>
      </c>
    </row>
    <row r="59" spans="1:14" ht="15" customHeight="1" x14ac:dyDescent="0.2">
      <c r="A59" s="9" t="s">
        <v>178</v>
      </c>
      <c r="B59" s="9" t="s">
        <v>178</v>
      </c>
      <c r="C59" s="9" t="s">
        <v>39</v>
      </c>
      <c r="D59" s="9" t="s">
        <v>216</v>
      </c>
      <c r="E59" s="9">
        <v>3461752.1880000001</v>
      </c>
      <c r="F59" s="9">
        <v>5623631.3444968797</v>
      </c>
      <c r="G59" s="9">
        <v>9135613.3487645909</v>
      </c>
      <c r="H59" s="9">
        <v>14840843.246205401</v>
      </c>
      <c r="I59" s="9" t="s">
        <v>128</v>
      </c>
      <c r="K59">
        <f t="shared" si="0"/>
        <v>10385.256564000001</v>
      </c>
      <c r="L59">
        <f t="shared" si="1"/>
        <v>16870.89403349064</v>
      </c>
      <c r="M59">
        <f t="shared" si="2"/>
        <v>27406.840046293772</v>
      </c>
      <c r="N59">
        <f t="shared" si="3"/>
        <v>44522.529738616206</v>
      </c>
    </row>
    <row r="60" spans="1:14" ht="15" customHeight="1" x14ac:dyDescent="0.2">
      <c r="A60" s="9" t="s">
        <v>178</v>
      </c>
      <c r="B60" s="9" t="s">
        <v>178</v>
      </c>
      <c r="C60" s="9" t="s">
        <v>40</v>
      </c>
      <c r="D60" s="9" t="s">
        <v>216</v>
      </c>
      <c r="E60" s="9">
        <v>2673.5515024869201</v>
      </c>
      <c r="F60" s="9">
        <v>3846.1943580274201</v>
      </c>
      <c r="G60" s="9">
        <v>5533.1685310574403</v>
      </c>
      <c r="H60" s="9">
        <v>7960.0641941522299</v>
      </c>
      <c r="I60" s="9" t="s">
        <v>128</v>
      </c>
      <c r="K60">
        <f t="shared" si="0"/>
        <v>8.02065450746076</v>
      </c>
      <c r="L60">
        <f t="shared" si="1"/>
        <v>11.538583074082261</v>
      </c>
      <c r="M60">
        <f t="shared" si="2"/>
        <v>16.599505593172321</v>
      </c>
      <c r="N60">
        <f t="shared" si="3"/>
        <v>23.88019258245669</v>
      </c>
    </row>
    <row r="61" spans="1:14" ht="15" customHeight="1" x14ac:dyDescent="0.2">
      <c r="A61" s="9" t="s">
        <v>178</v>
      </c>
      <c r="B61" s="9" t="s">
        <v>178</v>
      </c>
      <c r="C61" s="9" t="s">
        <v>41</v>
      </c>
      <c r="D61" s="9" t="s">
        <v>216</v>
      </c>
      <c r="E61" s="9">
        <v>33010630.343047399</v>
      </c>
      <c r="F61" s="9">
        <v>63841874.751508102</v>
      </c>
      <c r="G61" s="9">
        <v>123468862.285621</v>
      </c>
      <c r="H61" s="9">
        <v>238786220.07016599</v>
      </c>
      <c r="I61" s="9" t="s">
        <v>128</v>
      </c>
      <c r="K61">
        <f t="shared" si="0"/>
        <v>99031.891029142193</v>
      </c>
      <c r="L61">
        <f t="shared" si="1"/>
        <v>191525.6242545243</v>
      </c>
      <c r="M61">
        <f t="shared" si="2"/>
        <v>370406.586856863</v>
      </c>
      <c r="N61">
        <f t="shared" si="3"/>
        <v>716358.66021049803</v>
      </c>
    </row>
    <row r="62" spans="1:14" ht="15" customHeight="1" x14ac:dyDescent="0.2">
      <c r="A62" s="9" t="s">
        <v>178</v>
      </c>
      <c r="B62" s="9" t="s">
        <v>178</v>
      </c>
      <c r="C62" s="9" t="s">
        <v>42</v>
      </c>
      <c r="D62" s="9" t="s">
        <v>216</v>
      </c>
      <c r="E62" s="9">
        <v>142000</v>
      </c>
      <c r="F62" s="9">
        <v>360000</v>
      </c>
      <c r="G62" s="9">
        <v>259000</v>
      </c>
      <c r="H62" s="9">
        <v>554016.34631780698</v>
      </c>
      <c r="I62" s="9" t="s">
        <v>128</v>
      </c>
      <c r="K62">
        <f t="shared" si="0"/>
        <v>426</v>
      </c>
      <c r="L62">
        <f t="shared" si="1"/>
        <v>1080</v>
      </c>
      <c r="M62">
        <f t="shared" si="2"/>
        <v>777</v>
      </c>
      <c r="N62">
        <f t="shared" si="3"/>
        <v>1662.0490389534209</v>
      </c>
    </row>
    <row r="63" spans="1:14" ht="15" customHeight="1" x14ac:dyDescent="0.2">
      <c r="A63" s="9" t="s">
        <v>178</v>
      </c>
      <c r="B63" s="9" t="s">
        <v>178</v>
      </c>
      <c r="C63" s="9" t="s">
        <v>44</v>
      </c>
      <c r="D63" s="9" t="s">
        <v>216</v>
      </c>
      <c r="E63" s="9">
        <v>20600000</v>
      </c>
      <c r="F63" s="9">
        <v>24300000</v>
      </c>
      <c r="G63" s="9">
        <v>16600000</v>
      </c>
      <c r="H63" s="9">
        <v>21529487.561476499</v>
      </c>
      <c r="I63" s="9" t="s">
        <v>128</v>
      </c>
      <c r="K63">
        <f t="shared" si="0"/>
        <v>61800</v>
      </c>
      <c r="L63">
        <f t="shared" si="1"/>
        <v>72900</v>
      </c>
      <c r="M63">
        <f t="shared" si="2"/>
        <v>49800</v>
      </c>
      <c r="N63">
        <f t="shared" si="3"/>
        <v>64588.462684429498</v>
      </c>
    </row>
    <row r="64" spans="1:14" ht="15" customHeight="1" x14ac:dyDescent="0.2">
      <c r="A64" s="9" t="s">
        <v>178</v>
      </c>
      <c r="B64" s="9" t="s">
        <v>178</v>
      </c>
      <c r="C64" s="9" t="s">
        <v>45</v>
      </c>
      <c r="D64" s="9" t="s">
        <v>216</v>
      </c>
      <c r="E64" s="9">
        <v>1128.6423414027699</v>
      </c>
      <c r="F64" s="9">
        <v>1878.24801452672</v>
      </c>
      <c r="G64" s="9">
        <v>3125.7161588398999</v>
      </c>
      <c r="H64" s="9">
        <v>5201.7100138368796</v>
      </c>
      <c r="I64" s="9" t="s">
        <v>128</v>
      </c>
      <c r="K64">
        <f t="shared" si="0"/>
        <v>3.3859270242083097</v>
      </c>
      <c r="L64">
        <f t="shared" si="1"/>
        <v>5.6347440435801603</v>
      </c>
      <c r="M64">
        <f t="shared" si="2"/>
        <v>9.3771484765197002</v>
      </c>
      <c r="N64">
        <f t="shared" si="3"/>
        <v>15.605130041510639</v>
      </c>
    </row>
    <row r="65" spans="1:14" ht="15" customHeight="1" x14ac:dyDescent="0.2">
      <c r="A65" s="9" t="s">
        <v>178</v>
      </c>
      <c r="B65" s="9" t="s">
        <v>178</v>
      </c>
      <c r="C65" s="9" t="s">
        <v>46</v>
      </c>
      <c r="D65" s="9" t="s">
        <v>216</v>
      </c>
      <c r="E65" s="9">
        <v>779.24699999999996</v>
      </c>
      <c r="F65" s="9">
        <v>1411.3902112826599</v>
      </c>
      <c r="G65" s="9">
        <v>2556.34263398448</v>
      </c>
      <c r="H65" s="9">
        <v>4630.1069754393902</v>
      </c>
      <c r="I65" s="9" t="s">
        <v>128</v>
      </c>
      <c r="K65">
        <f t="shared" si="0"/>
        <v>2.3377409999999998</v>
      </c>
      <c r="L65">
        <f t="shared" si="1"/>
        <v>4.2341706338479801</v>
      </c>
      <c r="M65">
        <f t="shared" si="2"/>
        <v>7.6690279019534406</v>
      </c>
      <c r="N65">
        <f t="shared" si="3"/>
        <v>13.890320926318172</v>
      </c>
    </row>
    <row r="66" spans="1:14" ht="15" customHeight="1" x14ac:dyDescent="0.2">
      <c r="A66" s="9" t="s">
        <v>178</v>
      </c>
      <c r="B66" s="9" t="s">
        <v>178</v>
      </c>
      <c r="C66" s="9" t="s">
        <v>47</v>
      </c>
      <c r="D66" s="9" t="s">
        <v>216</v>
      </c>
      <c r="E66" s="9">
        <v>296.39999999999998</v>
      </c>
      <c r="F66" s="9">
        <v>426.403608331052</v>
      </c>
      <c r="G66" s="9">
        <v>613.42792576835802</v>
      </c>
      <c r="H66" s="9">
        <v>882.48272941518405</v>
      </c>
      <c r="I66" s="9" t="s">
        <v>128</v>
      </c>
      <c r="K66">
        <f t="shared" si="0"/>
        <v>0.88919999999999999</v>
      </c>
      <c r="L66">
        <f t="shared" si="1"/>
        <v>1.279210824993156</v>
      </c>
      <c r="M66">
        <f t="shared" si="2"/>
        <v>1.8402837773050742</v>
      </c>
      <c r="N66">
        <f t="shared" si="3"/>
        <v>2.6474481882455523</v>
      </c>
    </row>
    <row r="67" spans="1:14" ht="15" customHeight="1" x14ac:dyDescent="0.2">
      <c r="A67" s="9" t="s">
        <v>178</v>
      </c>
      <c r="B67" s="9" t="s">
        <v>178</v>
      </c>
      <c r="C67" s="9" t="s">
        <v>49</v>
      </c>
      <c r="D67" s="9" t="s">
        <v>216</v>
      </c>
      <c r="E67" s="9">
        <v>74.989809782608702</v>
      </c>
      <c r="F67" s="9">
        <v>150.26324623149</v>
      </c>
      <c r="G67" s="9">
        <v>301.094818529088</v>
      </c>
      <c r="H67" s="9">
        <v>603.32843871481202</v>
      </c>
      <c r="I67" s="9" t="s">
        <v>128</v>
      </c>
      <c r="K67">
        <f t="shared" si="0"/>
        <v>0.2249694293478261</v>
      </c>
      <c r="L67">
        <f t="shared" si="1"/>
        <v>0.45078973869447003</v>
      </c>
      <c r="M67">
        <f t="shared" si="2"/>
        <v>0.903284455587264</v>
      </c>
      <c r="N67">
        <f t="shared" si="3"/>
        <v>1.8099853161444361</v>
      </c>
    </row>
    <row r="68" spans="1:14" ht="15" customHeight="1" x14ac:dyDescent="0.2">
      <c r="A68" s="9" t="s">
        <v>178</v>
      </c>
      <c r="B68" s="9" t="s">
        <v>178</v>
      </c>
      <c r="C68" s="9" t="s">
        <v>50</v>
      </c>
      <c r="D68" s="9" t="s">
        <v>216</v>
      </c>
      <c r="E68" s="9">
        <v>806</v>
      </c>
      <c r="F68" s="9">
        <v>1106.16519905071</v>
      </c>
      <c r="G68" s="9">
        <v>1407.7569347537601</v>
      </c>
      <c r="H68" s="9">
        <v>2001.69716188032</v>
      </c>
      <c r="I68" s="9" t="s">
        <v>128</v>
      </c>
      <c r="K68">
        <f t="shared" si="0"/>
        <v>2.4180000000000001</v>
      </c>
      <c r="L68">
        <f t="shared" si="1"/>
        <v>3.3184955971521304</v>
      </c>
      <c r="M68">
        <f t="shared" si="2"/>
        <v>4.2232708042612801</v>
      </c>
      <c r="N68">
        <f t="shared" si="3"/>
        <v>6.0050914856409605</v>
      </c>
    </row>
    <row r="69" spans="1:14" ht="15" customHeight="1" x14ac:dyDescent="0.2">
      <c r="A69" s="9" t="s">
        <v>178</v>
      </c>
      <c r="B69" s="9" t="s">
        <v>178</v>
      </c>
      <c r="C69" s="9" t="s">
        <v>52</v>
      </c>
      <c r="D69" s="9" t="s">
        <v>216</v>
      </c>
      <c r="E69" s="9">
        <v>2470000000</v>
      </c>
      <c r="F69" s="9">
        <v>3597099729.3387098</v>
      </c>
      <c r="G69" s="9">
        <v>5238512737.9792099</v>
      </c>
      <c r="H69" s="9">
        <v>7628928239.6447001</v>
      </c>
      <c r="I69" s="9" t="s">
        <v>128</v>
      </c>
      <c r="K69">
        <f t="shared" si="0"/>
        <v>7410000</v>
      </c>
      <c r="L69">
        <f t="shared" si="1"/>
        <v>10791299.18801613</v>
      </c>
      <c r="M69">
        <f t="shared" si="2"/>
        <v>15715538.213937631</v>
      </c>
      <c r="N69">
        <f t="shared" si="3"/>
        <v>22886784.7189341</v>
      </c>
    </row>
    <row r="70" spans="1:14" ht="15" customHeight="1" x14ac:dyDescent="0.2">
      <c r="A70" s="9" t="s">
        <v>178</v>
      </c>
      <c r="B70" s="9" t="s">
        <v>178</v>
      </c>
      <c r="C70" s="9" t="s">
        <v>53</v>
      </c>
      <c r="D70" s="9" t="s">
        <v>216</v>
      </c>
      <c r="E70" s="9">
        <v>2987078.5836716499</v>
      </c>
      <c r="F70" s="9">
        <v>3529972.5198381701</v>
      </c>
      <c r="G70" s="9">
        <v>4171536.0482736998</v>
      </c>
      <c r="H70" s="9">
        <v>4929702.1164472802</v>
      </c>
      <c r="I70" s="9" t="s">
        <v>128</v>
      </c>
      <c r="K70">
        <f t="shared" si="0"/>
        <v>8961.2357510149504</v>
      </c>
      <c r="L70">
        <f t="shared" si="1"/>
        <v>10589.91755951451</v>
      </c>
      <c r="M70">
        <f t="shared" si="2"/>
        <v>12514.608144821099</v>
      </c>
      <c r="N70">
        <f t="shared" si="3"/>
        <v>14789.106349341841</v>
      </c>
    </row>
    <row r="71" spans="1:14" ht="15" customHeight="1" x14ac:dyDescent="0.2">
      <c r="A71" s="9" t="s">
        <v>178</v>
      </c>
      <c r="B71" s="9" t="s">
        <v>178</v>
      </c>
      <c r="C71" s="9" t="s">
        <v>55</v>
      </c>
      <c r="D71" s="9" t="s">
        <v>216</v>
      </c>
      <c r="E71" s="9">
        <v>48675</v>
      </c>
      <c r="F71" s="9">
        <v>302840.51</v>
      </c>
      <c r="G71" s="9">
        <v>277848.7</v>
      </c>
      <c r="H71" s="9">
        <v>449295.350148556</v>
      </c>
      <c r="I71" s="9" t="s">
        <v>128</v>
      </c>
      <c r="K71">
        <f t="shared" si="0"/>
        <v>146.02500000000001</v>
      </c>
      <c r="L71">
        <f t="shared" si="1"/>
        <v>908.5215300000001</v>
      </c>
      <c r="M71">
        <f t="shared" si="2"/>
        <v>833.54610000000002</v>
      </c>
      <c r="N71">
        <f t="shared" si="3"/>
        <v>1347.8860504456679</v>
      </c>
    </row>
    <row r="72" spans="1:14" ht="15" customHeight="1" x14ac:dyDescent="0.2">
      <c r="A72" s="9" t="s">
        <v>178</v>
      </c>
      <c r="B72" s="9" t="s">
        <v>178</v>
      </c>
      <c r="C72" s="9" t="s">
        <v>57</v>
      </c>
      <c r="D72" s="9" t="s">
        <v>216</v>
      </c>
      <c r="E72" s="9">
        <v>18224913.7057801</v>
      </c>
      <c r="F72" s="9">
        <v>29294475.0818009</v>
      </c>
      <c r="G72" s="9">
        <v>47087535.456811897</v>
      </c>
      <c r="H72" s="9">
        <v>75687855.447321504</v>
      </c>
      <c r="I72" s="9" t="s">
        <v>128</v>
      </c>
      <c r="K72">
        <f t="shared" si="0"/>
        <v>54674.741117340302</v>
      </c>
      <c r="L72">
        <f t="shared" si="1"/>
        <v>87883.425245402701</v>
      </c>
      <c r="M72">
        <f t="shared" si="2"/>
        <v>141262.60637043571</v>
      </c>
      <c r="N72">
        <f t="shared" si="3"/>
        <v>227063.56634196453</v>
      </c>
    </row>
    <row r="73" spans="1:14" ht="15" customHeight="1" x14ac:dyDescent="0.2">
      <c r="A73" s="9" t="s">
        <v>178</v>
      </c>
      <c r="B73" s="9" t="s">
        <v>178</v>
      </c>
      <c r="C73" s="9" t="s">
        <v>58</v>
      </c>
      <c r="D73" s="9" t="s">
        <v>216</v>
      </c>
      <c r="E73" s="9">
        <v>280597</v>
      </c>
      <c r="F73" s="9">
        <v>355599.69876611698</v>
      </c>
      <c r="G73" s="9">
        <v>450650.38386922597</v>
      </c>
      <c r="H73" s="9">
        <v>571107.81923089596</v>
      </c>
      <c r="I73" s="9" t="s">
        <v>128</v>
      </c>
      <c r="K73">
        <f t="shared" si="0"/>
        <v>841.79100000000005</v>
      </c>
      <c r="L73">
        <f t="shared" si="1"/>
        <v>1066.7990962983511</v>
      </c>
      <c r="M73">
        <f t="shared" si="2"/>
        <v>1351.951151607678</v>
      </c>
      <c r="N73">
        <f t="shared" si="3"/>
        <v>1713.323457692688</v>
      </c>
    </row>
    <row r="74" spans="1:14" ht="15" customHeight="1" x14ac:dyDescent="0.2">
      <c r="A74" s="9" t="s">
        <v>178</v>
      </c>
      <c r="B74" s="9" t="s">
        <v>178</v>
      </c>
      <c r="C74" s="9" t="s">
        <v>59</v>
      </c>
      <c r="D74" s="9" t="s">
        <v>216</v>
      </c>
      <c r="E74" s="9">
        <v>32898.017743275101</v>
      </c>
      <c r="F74" s="9">
        <v>56932.379830237303</v>
      </c>
      <c r="G74" s="9">
        <v>98525.567662720103</v>
      </c>
      <c r="H74" s="9">
        <v>170505.563129571</v>
      </c>
      <c r="I74" s="9" t="s">
        <v>128</v>
      </c>
      <c r="K74">
        <f t="shared" si="0"/>
        <v>98.6940532298253</v>
      </c>
      <c r="L74">
        <f t="shared" si="1"/>
        <v>170.79713949071191</v>
      </c>
      <c r="M74">
        <f t="shared" si="2"/>
        <v>295.57670298816032</v>
      </c>
      <c r="N74">
        <f t="shared" si="3"/>
        <v>511.51668938871302</v>
      </c>
    </row>
    <row r="75" spans="1:14" ht="15" customHeight="1" x14ac:dyDescent="0.2">
      <c r="A75" s="9" t="s">
        <v>178</v>
      </c>
      <c r="B75" s="9" t="s">
        <v>178</v>
      </c>
      <c r="C75" s="9" t="s">
        <v>60</v>
      </c>
      <c r="D75" s="9" t="s">
        <v>216</v>
      </c>
      <c r="E75" s="9">
        <v>2371042.2938031699</v>
      </c>
      <c r="F75" s="9">
        <v>5025476.0968258502</v>
      </c>
      <c r="G75" s="9">
        <v>5469456.1279363995</v>
      </c>
      <c r="H75" s="9">
        <v>8963015.6336899102</v>
      </c>
      <c r="I75" s="9" t="s">
        <v>128</v>
      </c>
      <c r="K75">
        <f t="shared" si="0"/>
        <v>7113.1268814095101</v>
      </c>
      <c r="L75">
        <f t="shared" si="1"/>
        <v>15076.42829047755</v>
      </c>
      <c r="M75">
        <f t="shared" si="2"/>
        <v>16408.3683838092</v>
      </c>
      <c r="N75">
        <f t="shared" si="3"/>
        <v>26889.046901069731</v>
      </c>
    </row>
    <row r="76" spans="1:14" ht="15" customHeight="1" x14ac:dyDescent="0.2">
      <c r="A76" s="9" t="s">
        <v>178</v>
      </c>
      <c r="B76" s="9" t="s">
        <v>178</v>
      </c>
      <c r="C76" s="9" t="s">
        <v>61</v>
      </c>
      <c r="D76" s="9" t="s">
        <v>216</v>
      </c>
      <c r="E76" s="9">
        <v>61090.617800195701</v>
      </c>
      <c r="F76" s="9">
        <v>66644.9829419741</v>
      </c>
      <c r="G76" s="9">
        <v>72704.351523546007</v>
      </c>
      <c r="H76" s="9">
        <v>79314.638508672797</v>
      </c>
      <c r="I76" s="9" t="s">
        <v>128</v>
      </c>
      <c r="K76">
        <f t="shared" si="0"/>
        <v>183.2718534005871</v>
      </c>
      <c r="L76">
        <f t="shared" si="1"/>
        <v>199.93494882592231</v>
      </c>
      <c r="M76">
        <f t="shared" si="2"/>
        <v>218.11305457063801</v>
      </c>
      <c r="N76">
        <f t="shared" si="3"/>
        <v>237.9439155260184</v>
      </c>
    </row>
    <row r="77" spans="1:14" ht="15" customHeight="1" x14ac:dyDescent="0.2">
      <c r="A77" s="9" t="s">
        <v>178</v>
      </c>
      <c r="B77" s="9" t="s">
        <v>178</v>
      </c>
      <c r="C77" s="9" t="s">
        <v>64</v>
      </c>
      <c r="D77" s="9" t="s">
        <v>216</v>
      </c>
      <c r="E77" s="9">
        <v>9425.4536078487108</v>
      </c>
      <c r="F77" s="9">
        <v>16143.5576592611</v>
      </c>
      <c r="G77" s="9">
        <v>27650.070197244298</v>
      </c>
      <c r="H77" s="9">
        <v>47357.986266054002</v>
      </c>
      <c r="I77" s="9" t="s">
        <v>128</v>
      </c>
      <c r="K77">
        <f t="shared" si="0"/>
        <v>28.276360823546135</v>
      </c>
      <c r="L77">
        <f t="shared" si="1"/>
        <v>48.430672977783303</v>
      </c>
      <c r="M77">
        <f t="shared" si="2"/>
        <v>82.950210591732898</v>
      </c>
      <c r="N77">
        <f t="shared" si="3"/>
        <v>142.07395879816201</v>
      </c>
    </row>
    <row r="78" spans="1:14" ht="15" customHeight="1" x14ac:dyDescent="0.2">
      <c r="A78" s="9" t="s">
        <v>178</v>
      </c>
      <c r="B78" s="9" t="s">
        <v>178</v>
      </c>
      <c r="C78" s="9" t="s">
        <v>66</v>
      </c>
      <c r="D78" s="9" t="s">
        <v>216</v>
      </c>
      <c r="E78" s="9">
        <v>5974</v>
      </c>
      <c r="F78" s="9">
        <v>7047</v>
      </c>
      <c r="G78" s="9">
        <v>4814</v>
      </c>
      <c r="H78" s="9">
        <v>6243.5513928281898</v>
      </c>
      <c r="I78" s="9" t="s">
        <v>128</v>
      </c>
      <c r="K78">
        <f t="shared" si="0"/>
        <v>17.922000000000001</v>
      </c>
      <c r="L78">
        <f t="shared" si="1"/>
        <v>21.141000000000002</v>
      </c>
      <c r="M78">
        <f t="shared" si="2"/>
        <v>14.442</v>
      </c>
      <c r="N78">
        <f t="shared" si="3"/>
        <v>18.730654178484571</v>
      </c>
    </row>
    <row r="79" spans="1:14" ht="15" customHeight="1" x14ac:dyDescent="0.2">
      <c r="A79" s="9" t="s">
        <v>178</v>
      </c>
      <c r="B79" s="9" t="s">
        <v>178</v>
      </c>
      <c r="C79" s="9" t="s">
        <v>67</v>
      </c>
      <c r="D79" s="9" t="s">
        <v>216</v>
      </c>
      <c r="E79" s="9">
        <v>3000000</v>
      </c>
      <c r="F79" s="9">
        <v>6476774.9918183703</v>
      </c>
      <c r="G79" s="9">
        <v>13982871.431547901</v>
      </c>
      <c r="H79" s="9">
        <v>30187970.667220298</v>
      </c>
      <c r="I79" s="9" t="s">
        <v>128</v>
      </c>
      <c r="K79">
        <f t="shared" si="0"/>
        <v>9000</v>
      </c>
      <c r="L79">
        <f t="shared" si="1"/>
        <v>19430.324975455111</v>
      </c>
      <c r="M79">
        <f t="shared" si="2"/>
        <v>41948.614294643703</v>
      </c>
      <c r="N79">
        <f t="shared" si="3"/>
        <v>90563.912001660894</v>
      </c>
    </row>
    <row r="80" spans="1:14" ht="15" customHeight="1" x14ac:dyDescent="0.2">
      <c r="A80" s="9" t="s">
        <v>178</v>
      </c>
      <c r="B80" s="9" t="s">
        <v>178</v>
      </c>
      <c r="C80" s="9" t="s">
        <v>68</v>
      </c>
      <c r="D80" s="9" t="s">
        <v>216</v>
      </c>
      <c r="E80" s="9">
        <v>23500</v>
      </c>
      <c r="F80" s="9">
        <v>29781.476355783401</v>
      </c>
      <c r="G80" s="9">
        <v>37741.971656599402</v>
      </c>
      <c r="H80" s="9">
        <v>47830.282404751502</v>
      </c>
      <c r="I80" s="9" t="s">
        <v>128</v>
      </c>
      <c r="K80">
        <f t="shared" si="0"/>
        <v>70.5</v>
      </c>
      <c r="L80">
        <f t="shared" si="1"/>
        <v>89.344429067350205</v>
      </c>
      <c r="M80">
        <f t="shared" si="2"/>
        <v>113.22591496979821</v>
      </c>
      <c r="N80">
        <f t="shared" si="3"/>
        <v>143.4908472142545</v>
      </c>
    </row>
    <row r="81" spans="1:14" ht="15" customHeight="1" x14ac:dyDescent="0.2">
      <c r="A81" s="9" t="s">
        <v>178</v>
      </c>
      <c r="B81" s="9" t="s">
        <v>178</v>
      </c>
      <c r="C81" s="9" t="s">
        <v>69</v>
      </c>
      <c r="D81" s="9" t="s">
        <v>216</v>
      </c>
      <c r="E81" s="9">
        <v>1403.26635276449</v>
      </c>
      <c r="F81" s="9">
        <v>2954.2274640922201</v>
      </c>
      <c r="G81" s="9">
        <v>6219.3894212622699</v>
      </c>
      <c r="H81" s="9">
        <v>13093.3739001018</v>
      </c>
      <c r="I81" s="9" t="s">
        <v>128</v>
      </c>
      <c r="K81">
        <f t="shared" si="0"/>
        <v>4.2097990582934699</v>
      </c>
      <c r="L81">
        <f t="shared" si="1"/>
        <v>8.8626823922766604</v>
      </c>
      <c r="M81">
        <f t="shared" si="2"/>
        <v>18.658168263786809</v>
      </c>
      <c r="N81">
        <f t="shared" si="3"/>
        <v>39.280121700305401</v>
      </c>
    </row>
    <row r="82" spans="1:14" ht="15" customHeight="1" x14ac:dyDescent="0.2">
      <c r="A82" s="9" t="s">
        <v>178</v>
      </c>
      <c r="B82" s="9" t="s">
        <v>178</v>
      </c>
      <c r="C82" s="9" t="s">
        <v>70</v>
      </c>
      <c r="D82" s="9" t="s">
        <v>216</v>
      </c>
      <c r="E82" s="9">
        <v>458.88774619063201</v>
      </c>
      <c r="F82" s="9">
        <v>541.30933167147396</v>
      </c>
      <c r="G82" s="9">
        <v>369.78332945458698</v>
      </c>
      <c r="H82" s="9">
        <v>479.59310794782601</v>
      </c>
      <c r="I82" s="9" t="s">
        <v>128</v>
      </c>
      <c r="K82">
        <f t="shared" si="0"/>
        <v>1.376663238571896</v>
      </c>
      <c r="L82">
        <f t="shared" si="1"/>
        <v>1.6239279950144219</v>
      </c>
      <c r="M82">
        <f t="shared" si="2"/>
        <v>1.109349988363761</v>
      </c>
      <c r="N82">
        <f t="shared" si="3"/>
        <v>1.4387793238434781</v>
      </c>
    </row>
    <row r="83" spans="1:14" ht="15" customHeight="1" x14ac:dyDescent="0.2">
      <c r="A83" s="9" t="s">
        <v>178</v>
      </c>
      <c r="B83" s="9" t="s">
        <v>178</v>
      </c>
      <c r="C83" s="9" t="s">
        <v>71</v>
      </c>
      <c r="D83" s="9" t="s">
        <v>216</v>
      </c>
      <c r="E83" s="9">
        <v>313.813381593511</v>
      </c>
      <c r="F83" s="9">
        <v>491.46134998159403</v>
      </c>
      <c r="G83" s="9">
        <v>769.67482170213998</v>
      </c>
      <c r="H83" s="9">
        <v>1205.3833555464901</v>
      </c>
      <c r="I83" s="9" t="s">
        <v>128</v>
      </c>
      <c r="K83">
        <f t="shared" si="0"/>
        <v>0.94144014478053306</v>
      </c>
      <c r="L83">
        <f t="shared" si="1"/>
        <v>1.474384049944782</v>
      </c>
      <c r="M83">
        <f t="shared" si="2"/>
        <v>2.30902446510642</v>
      </c>
      <c r="N83">
        <f t="shared" si="3"/>
        <v>3.6161500666394701</v>
      </c>
    </row>
    <row r="84" spans="1:14" ht="15" customHeight="1" x14ac:dyDescent="0.2">
      <c r="A84" s="9" t="s">
        <v>178</v>
      </c>
      <c r="B84" s="9" t="s">
        <v>178</v>
      </c>
      <c r="C84" s="9" t="s">
        <v>73</v>
      </c>
      <c r="D84" s="9" t="s">
        <v>216</v>
      </c>
      <c r="E84" s="9">
        <v>91871.379835020096</v>
      </c>
      <c r="F84" s="9">
        <v>113016.248168344</v>
      </c>
      <c r="G84" s="9">
        <v>139027.762214799</v>
      </c>
      <c r="H84" s="9">
        <v>171026.01599075901</v>
      </c>
      <c r="I84" s="9" t="s">
        <v>128</v>
      </c>
      <c r="K84">
        <f t="shared" si="0"/>
        <v>275.61413950506028</v>
      </c>
      <c r="L84">
        <f t="shared" si="1"/>
        <v>339.048744505032</v>
      </c>
      <c r="M84">
        <f t="shared" si="2"/>
        <v>417.08328664439705</v>
      </c>
      <c r="N84">
        <f t="shared" si="3"/>
        <v>513.07804797227709</v>
      </c>
    </row>
    <row r="85" spans="1:14" ht="15" customHeight="1" x14ac:dyDescent="0.2">
      <c r="A85" s="9" t="s">
        <v>178</v>
      </c>
      <c r="B85" s="9" t="s">
        <v>178</v>
      </c>
      <c r="C85" s="9" t="s">
        <v>74</v>
      </c>
      <c r="D85" s="9" t="s">
        <v>216</v>
      </c>
      <c r="E85" s="9">
        <v>304054.89830678399</v>
      </c>
      <c r="F85" s="9">
        <v>408812.81521422201</v>
      </c>
      <c r="G85" s="9">
        <v>549663.62592438702</v>
      </c>
      <c r="H85" s="9">
        <v>739042.63863652397</v>
      </c>
      <c r="I85" s="9" t="s">
        <v>128</v>
      </c>
      <c r="K85">
        <f t="shared" si="0"/>
        <v>912.16469492035196</v>
      </c>
      <c r="L85">
        <f t="shared" si="1"/>
        <v>1226.438445642666</v>
      </c>
      <c r="M85">
        <f t="shared" si="2"/>
        <v>1648.9908777731612</v>
      </c>
      <c r="N85">
        <f t="shared" si="3"/>
        <v>2217.127915909572</v>
      </c>
    </row>
    <row r="86" spans="1:14" ht="15" customHeight="1" x14ac:dyDescent="0.2">
      <c r="A86" s="9" t="s">
        <v>178</v>
      </c>
      <c r="B86" s="9" t="s">
        <v>178</v>
      </c>
      <c r="C86" s="9" t="s">
        <v>75</v>
      </c>
      <c r="D86" s="9" t="s">
        <v>216</v>
      </c>
      <c r="E86" s="9">
        <v>105000</v>
      </c>
      <c r="F86" s="9">
        <v>157747.12580087301</v>
      </c>
      <c r="G86" s="9">
        <v>236991.959032727</v>
      </c>
      <c r="H86" s="9">
        <v>356045.71786029497</v>
      </c>
      <c r="I86" s="9" t="s">
        <v>128</v>
      </c>
      <c r="K86">
        <f t="shared" si="0"/>
        <v>315</v>
      </c>
      <c r="L86">
        <f t="shared" si="1"/>
        <v>473.24137740261904</v>
      </c>
      <c r="M86">
        <f t="shared" si="2"/>
        <v>710.97587709818106</v>
      </c>
      <c r="N86">
        <f t="shared" si="3"/>
        <v>1068.1371535808848</v>
      </c>
    </row>
    <row r="87" spans="1:14" ht="15" customHeight="1" x14ac:dyDescent="0.2">
      <c r="A87" s="9" t="s">
        <v>178</v>
      </c>
      <c r="B87" s="9" t="s">
        <v>178</v>
      </c>
      <c r="C87" s="9" t="s">
        <v>76</v>
      </c>
      <c r="D87" s="9" t="s">
        <v>216</v>
      </c>
      <c r="E87" s="9">
        <v>5735.0570735869096</v>
      </c>
      <c r="F87" s="9">
        <v>8955.7681914375207</v>
      </c>
      <c r="G87" s="9">
        <v>13985.1762361975</v>
      </c>
      <c r="H87" s="9">
        <v>21839.014831190001</v>
      </c>
      <c r="I87" s="9" t="s">
        <v>128</v>
      </c>
      <c r="K87">
        <f t="shared" si="0"/>
        <v>17.205171220760729</v>
      </c>
      <c r="L87">
        <f t="shared" si="1"/>
        <v>26.867304574312563</v>
      </c>
      <c r="M87">
        <f t="shared" si="2"/>
        <v>41.955528708592503</v>
      </c>
      <c r="N87">
        <f t="shared" si="3"/>
        <v>65.517044493570012</v>
      </c>
    </row>
    <row r="88" spans="1:14" ht="15" customHeight="1" x14ac:dyDescent="0.2">
      <c r="A88" s="9" t="s">
        <v>178</v>
      </c>
      <c r="B88" s="9" t="s">
        <v>178</v>
      </c>
      <c r="C88" s="9" t="s">
        <v>77</v>
      </c>
      <c r="D88" s="9" t="s">
        <v>216</v>
      </c>
      <c r="E88" s="9">
        <v>11708192.804888099</v>
      </c>
      <c r="F88" s="9">
        <v>16843507.621592298</v>
      </c>
      <c r="G88" s="9">
        <v>24231216.014839899</v>
      </c>
      <c r="H88" s="9">
        <v>34859237.324483499</v>
      </c>
      <c r="I88" s="9" t="s">
        <v>128</v>
      </c>
      <c r="K88">
        <f t="shared" si="0"/>
        <v>35124.578414664298</v>
      </c>
      <c r="L88">
        <f t="shared" si="1"/>
        <v>50530.522864776896</v>
      </c>
      <c r="M88">
        <f t="shared" si="2"/>
        <v>72693.648044519694</v>
      </c>
      <c r="N88">
        <f t="shared" si="3"/>
        <v>104577.7119734505</v>
      </c>
    </row>
    <row r="89" spans="1:14" ht="15" customHeight="1" x14ac:dyDescent="0.2">
      <c r="A89" s="9" t="s">
        <v>178</v>
      </c>
      <c r="B89" s="9" t="s">
        <v>178</v>
      </c>
      <c r="C89" s="9" t="s">
        <v>78</v>
      </c>
      <c r="D89" s="9" t="s">
        <v>216</v>
      </c>
      <c r="E89" s="9">
        <v>569071.13186803495</v>
      </c>
      <c r="F89" s="9">
        <v>1140294.60614728</v>
      </c>
      <c r="G89" s="9">
        <v>2284902.0377124101</v>
      </c>
      <c r="H89" s="9">
        <v>4578446.0382407503</v>
      </c>
      <c r="I89" s="9" t="s">
        <v>128</v>
      </c>
      <c r="K89">
        <f t="shared" si="0"/>
        <v>1707.2133956041048</v>
      </c>
      <c r="L89">
        <f t="shared" si="1"/>
        <v>3420.88381844184</v>
      </c>
      <c r="M89">
        <f t="shared" si="2"/>
        <v>6854.7061131372302</v>
      </c>
      <c r="N89">
        <f t="shared" si="3"/>
        <v>13735.338114722252</v>
      </c>
    </row>
  </sheetData>
  <autoFilter ref="A1:I89" xr:uid="{00000000-0009-0000-0000-000008000000}">
    <filterColumn colId="0">
      <filters>
        <filter val="All"/>
      </filters>
    </filterColumn>
  </autoFilter>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37"/>
  <sheetViews>
    <sheetView zoomScaleNormal="100" workbookViewId="0">
      <pane xSplit="1" ySplit="5" topLeftCell="B6" activePane="bottomRight" state="frozen"/>
      <selection pane="topRight" activeCell="B1" sqref="B1"/>
      <selection pane="bottomLeft" activeCell="A6" sqref="A6"/>
      <selection pane="bottomRight"/>
    </sheetView>
  </sheetViews>
  <sheetFormatPr baseColWidth="10" defaultColWidth="8.6640625" defaultRowHeight="15" x14ac:dyDescent="0.2"/>
  <cols>
    <col min="1" max="1" width="16" customWidth="1"/>
    <col min="2" max="9" width="10" customWidth="1"/>
    <col min="10" max="10" width="14" customWidth="1"/>
    <col min="11" max="11" width="12" customWidth="1"/>
    <col min="12" max="12" width="14" customWidth="1"/>
  </cols>
  <sheetData>
    <row r="1" spans="1:12" ht="16.5" customHeight="1" x14ac:dyDescent="0.2">
      <c r="A1" s="91" t="s">
        <v>217</v>
      </c>
    </row>
    <row r="2" spans="1:12" ht="15" customHeight="1" x14ac:dyDescent="0.2">
      <c r="A2" s="92" t="s">
        <v>218</v>
      </c>
    </row>
    <row r="4" spans="1:12" ht="15" customHeight="1" x14ac:dyDescent="0.2">
      <c r="A4" s="237" t="s">
        <v>119</v>
      </c>
      <c r="B4" s="239" t="s">
        <v>205</v>
      </c>
      <c r="C4" s="238"/>
      <c r="D4" s="238"/>
      <c r="E4" s="238"/>
      <c r="F4" s="93"/>
      <c r="G4" s="239" t="s">
        <v>207</v>
      </c>
      <c r="H4" s="238"/>
      <c r="I4" s="238"/>
      <c r="J4" s="238"/>
      <c r="K4" s="93"/>
      <c r="L4" s="93"/>
    </row>
    <row r="5" spans="1:12" ht="30" customHeight="1" x14ac:dyDescent="0.2">
      <c r="A5" s="238"/>
      <c r="B5" s="94">
        <v>2020</v>
      </c>
      <c r="C5" s="94">
        <v>2030</v>
      </c>
      <c r="D5" s="94">
        <v>2040</v>
      </c>
      <c r="E5" s="94">
        <v>2050</v>
      </c>
      <c r="F5" s="95" t="s">
        <v>219</v>
      </c>
      <c r="G5" s="94">
        <v>2020</v>
      </c>
      <c r="H5" s="94">
        <v>2030</v>
      </c>
      <c r="I5" s="94">
        <v>2040</v>
      </c>
      <c r="J5" s="94">
        <v>2050</v>
      </c>
      <c r="K5" s="95" t="s">
        <v>219</v>
      </c>
      <c r="L5" s="96" t="s">
        <v>220</v>
      </c>
    </row>
    <row r="6" spans="1:12" ht="15" customHeight="1" x14ac:dyDescent="0.2">
      <c r="A6" s="97" t="s">
        <v>38</v>
      </c>
      <c r="B6" s="98" t="e">
        <f>AVERAGEIFS(Storage_Share_Detail!$G$2:$G$1025,Storage_Share_Detail!$A$2:$A$1025,"Init",Storage_Share_Detail!$C$2:$C$1025,$A6,Storage_Share_Detail!$D$2:$D$1025,2020)</f>
        <v>#REF!</v>
      </c>
      <c r="C6" s="98" t="e">
        <f>AVERAGEIFS(Storage_Share_Detail!$G$2:$G$1025,Storage_Share_Detail!$A$2:$A$1025,"Init",Storage_Share_Detail!$C$2:$C$1025,$A6,Storage_Share_Detail!$D$2:$D$1025,2030)</f>
        <v>#REF!</v>
      </c>
      <c r="D6" s="98" t="e">
        <f>AVERAGEIFS(Storage_Share_Detail!$G$2:$G$1025,Storage_Share_Detail!$A$2:$A$1025,"Init",Storage_Share_Detail!$C$2:$C$1025,$A6,Storage_Share_Detail!$D$2:$D$1025,2040)</f>
        <v>#REF!</v>
      </c>
      <c r="E6" s="98" t="e">
        <f>AVERAGEIFS(Storage_Share_Detail!$G$2:$G$1025,Storage_Share_Detail!$A$2:$A$1025,"Init",Storage_Share_Detail!$C$2:$C$1025,$A6,Storage_Share_Detail!$D$2:$D$1025,2050)</f>
        <v>#REF!</v>
      </c>
      <c r="F6" s="99" t="e">
        <f>AVERAGEIFS(Storage_Share_Detail!$K$2:$K$1025,Storage_Share_Detail!$A$2:$A$1025,"Init",Storage_Share_Detail!$C$2:$C$1025,$A6)</f>
        <v>#REF!</v>
      </c>
      <c r="G6" s="98" t="e">
        <f>AVERAGEIFS(Storage_Share_Detail!$G$2:$G$1025,Storage_Share_Detail!$A$2:$A$1025,"Opti",Storage_Share_Detail!$C$2:$C$1025,$A6,Storage_Share_Detail!$D$2:$D$1025,2020)</f>
        <v>#REF!</v>
      </c>
      <c r="H6" s="98" t="e">
        <f>AVERAGEIFS(Storage_Share_Detail!$G$2:$G$1025,Storage_Share_Detail!$A$2:$A$1025,"Opti",Storage_Share_Detail!$C$2:$C$1025,$A6,Storage_Share_Detail!$D$2:$D$1025,2030)</f>
        <v>#REF!</v>
      </c>
      <c r="I6" s="98" t="e">
        <f>AVERAGEIFS(Storage_Share_Detail!$G$2:$G$1025,Storage_Share_Detail!$A$2:$A$1025,"Opti",Storage_Share_Detail!$C$2:$C$1025,$A6,Storage_Share_Detail!$D$2:$D$1025,2040)</f>
        <v>#REF!</v>
      </c>
      <c r="J6" s="98" t="e">
        <f>AVERAGEIFS(Storage_Share_Detail!$G$2:$G$1025,Storage_Share_Detail!$A$2:$A$1025,"Opti",Storage_Share_Detail!$C$2:$C$1025,$A6,Storage_Share_Detail!$D$2:$D$1025,2050)</f>
        <v>#REF!</v>
      </c>
      <c r="K6" s="99" t="e">
        <f>AVERAGEIFS(Storage_Share_Detail!$K$2:$K$1025,Storage_Share_Detail!$A$2:$A$1025,"Opti",Storage_Share_Detail!$C$2:$C$1025,$A6)</f>
        <v>#REF!</v>
      </c>
      <c r="L6" s="98" t="e">
        <f t="shared" ref="L6:L37" si="0">MAX(B6:E6,G6:J6)</f>
        <v>#REF!</v>
      </c>
    </row>
    <row r="7" spans="1:12" ht="15" customHeight="1" x14ac:dyDescent="0.2">
      <c r="A7" s="97" t="s">
        <v>39</v>
      </c>
      <c r="B7" s="98" t="e">
        <f>AVERAGEIFS(Storage_Share_Detail!$G$2:$G$1025,Storage_Share_Detail!$A$2:$A$1025,"Init",Storage_Share_Detail!$C$2:$C$1025,$A7,Storage_Share_Detail!$D$2:$D$1025,2020)</f>
        <v>#REF!</v>
      </c>
      <c r="C7" s="98" t="e">
        <f>AVERAGEIFS(Storage_Share_Detail!$G$2:$G$1025,Storage_Share_Detail!$A$2:$A$1025,"Init",Storage_Share_Detail!$C$2:$C$1025,$A7,Storage_Share_Detail!$D$2:$D$1025,2030)</f>
        <v>#REF!</v>
      </c>
      <c r="D7" s="98" t="e">
        <f>AVERAGEIFS(Storage_Share_Detail!$G$2:$G$1025,Storage_Share_Detail!$A$2:$A$1025,"Init",Storage_Share_Detail!$C$2:$C$1025,$A7,Storage_Share_Detail!$D$2:$D$1025,2040)</f>
        <v>#REF!</v>
      </c>
      <c r="E7" s="98" t="e">
        <f>AVERAGEIFS(Storage_Share_Detail!$G$2:$G$1025,Storage_Share_Detail!$A$2:$A$1025,"Init",Storage_Share_Detail!$C$2:$C$1025,$A7,Storage_Share_Detail!$D$2:$D$1025,2050)</f>
        <v>#REF!</v>
      </c>
      <c r="F7" s="99" t="e">
        <f>AVERAGEIFS(Storage_Share_Detail!$K$2:$K$1025,Storage_Share_Detail!$A$2:$A$1025,"Init",Storage_Share_Detail!$C$2:$C$1025,$A7)</f>
        <v>#REF!</v>
      </c>
      <c r="G7" s="98" t="e">
        <f>AVERAGEIFS(Storage_Share_Detail!$G$2:$G$1025,Storage_Share_Detail!$A$2:$A$1025,"Opti",Storage_Share_Detail!$C$2:$C$1025,$A7,Storage_Share_Detail!$D$2:$D$1025,2020)</f>
        <v>#REF!</v>
      </c>
      <c r="H7" s="98" t="e">
        <f>AVERAGEIFS(Storage_Share_Detail!$G$2:$G$1025,Storage_Share_Detail!$A$2:$A$1025,"Opti",Storage_Share_Detail!$C$2:$C$1025,$A7,Storage_Share_Detail!$D$2:$D$1025,2030)</f>
        <v>#REF!</v>
      </c>
      <c r="I7" s="98" t="e">
        <f>AVERAGEIFS(Storage_Share_Detail!$G$2:$G$1025,Storage_Share_Detail!$A$2:$A$1025,"Opti",Storage_Share_Detail!$C$2:$C$1025,$A7,Storage_Share_Detail!$D$2:$D$1025,2040)</f>
        <v>#REF!</v>
      </c>
      <c r="J7" s="98" t="e">
        <f>AVERAGEIFS(Storage_Share_Detail!$G$2:$G$1025,Storage_Share_Detail!$A$2:$A$1025,"Opti",Storage_Share_Detail!$C$2:$C$1025,$A7,Storage_Share_Detail!$D$2:$D$1025,2050)</f>
        <v>#REF!</v>
      </c>
      <c r="K7" s="99" t="e">
        <f>AVERAGEIFS(Storage_Share_Detail!$K$2:$K$1025,Storage_Share_Detail!$A$2:$A$1025,"Opti",Storage_Share_Detail!$C$2:$C$1025,$A7)</f>
        <v>#REF!</v>
      </c>
      <c r="L7" s="98" t="e">
        <f t="shared" si="0"/>
        <v>#REF!</v>
      </c>
    </row>
    <row r="8" spans="1:12" ht="15" customHeight="1" x14ac:dyDescent="0.2">
      <c r="A8" s="97" t="s">
        <v>40</v>
      </c>
      <c r="B8" s="98" t="e">
        <f>AVERAGEIFS(Storage_Share_Detail!$G$2:$G$1025,Storage_Share_Detail!$A$2:$A$1025,"Init",Storage_Share_Detail!$C$2:$C$1025,$A8,Storage_Share_Detail!$D$2:$D$1025,2020)</f>
        <v>#REF!</v>
      </c>
      <c r="C8" s="98" t="e">
        <f>AVERAGEIFS(Storage_Share_Detail!$G$2:$G$1025,Storage_Share_Detail!$A$2:$A$1025,"Init",Storage_Share_Detail!$C$2:$C$1025,$A8,Storage_Share_Detail!$D$2:$D$1025,2030)</f>
        <v>#REF!</v>
      </c>
      <c r="D8" s="98" t="e">
        <f>AVERAGEIFS(Storage_Share_Detail!$G$2:$G$1025,Storage_Share_Detail!$A$2:$A$1025,"Init",Storage_Share_Detail!$C$2:$C$1025,$A8,Storage_Share_Detail!$D$2:$D$1025,2040)</f>
        <v>#REF!</v>
      </c>
      <c r="E8" s="98" t="e">
        <f>AVERAGEIFS(Storage_Share_Detail!$G$2:$G$1025,Storage_Share_Detail!$A$2:$A$1025,"Init",Storage_Share_Detail!$C$2:$C$1025,$A8,Storage_Share_Detail!$D$2:$D$1025,2050)</f>
        <v>#REF!</v>
      </c>
      <c r="F8" s="99" t="e">
        <f>AVERAGEIFS(Storage_Share_Detail!$K$2:$K$1025,Storage_Share_Detail!$A$2:$A$1025,"Init",Storage_Share_Detail!$C$2:$C$1025,$A8)</f>
        <v>#REF!</v>
      </c>
      <c r="G8" s="98" t="e">
        <f>AVERAGEIFS(Storage_Share_Detail!$G$2:$G$1025,Storage_Share_Detail!$A$2:$A$1025,"Opti",Storage_Share_Detail!$C$2:$C$1025,$A8,Storage_Share_Detail!$D$2:$D$1025,2020)</f>
        <v>#REF!</v>
      </c>
      <c r="H8" s="98" t="e">
        <f>AVERAGEIFS(Storage_Share_Detail!$G$2:$G$1025,Storage_Share_Detail!$A$2:$A$1025,"Opti",Storage_Share_Detail!$C$2:$C$1025,$A8,Storage_Share_Detail!$D$2:$D$1025,2030)</f>
        <v>#REF!</v>
      </c>
      <c r="I8" s="98" t="e">
        <f>AVERAGEIFS(Storage_Share_Detail!$G$2:$G$1025,Storage_Share_Detail!$A$2:$A$1025,"Opti",Storage_Share_Detail!$C$2:$C$1025,$A8,Storage_Share_Detail!$D$2:$D$1025,2040)</f>
        <v>#REF!</v>
      </c>
      <c r="J8" s="98" t="e">
        <f>AVERAGEIFS(Storage_Share_Detail!$G$2:$G$1025,Storage_Share_Detail!$A$2:$A$1025,"Opti",Storage_Share_Detail!$C$2:$C$1025,$A8,Storage_Share_Detail!$D$2:$D$1025,2050)</f>
        <v>#REF!</v>
      </c>
      <c r="K8" s="99" t="e">
        <f>AVERAGEIFS(Storage_Share_Detail!$K$2:$K$1025,Storage_Share_Detail!$A$2:$A$1025,"Opti",Storage_Share_Detail!$C$2:$C$1025,$A8)</f>
        <v>#REF!</v>
      </c>
      <c r="L8" s="98" t="e">
        <f t="shared" si="0"/>
        <v>#REF!</v>
      </c>
    </row>
    <row r="9" spans="1:12" ht="15" customHeight="1" x14ac:dyDescent="0.2">
      <c r="A9" s="97" t="s">
        <v>41</v>
      </c>
      <c r="B9" s="98" t="e">
        <f>AVERAGEIFS(Storage_Share_Detail!$G$2:$G$1025,Storage_Share_Detail!$A$2:$A$1025,"Init",Storage_Share_Detail!$C$2:$C$1025,$A9,Storage_Share_Detail!$D$2:$D$1025,2020)</f>
        <v>#REF!</v>
      </c>
      <c r="C9" s="98" t="e">
        <f>AVERAGEIFS(Storage_Share_Detail!$G$2:$G$1025,Storage_Share_Detail!$A$2:$A$1025,"Init",Storage_Share_Detail!$C$2:$C$1025,$A9,Storage_Share_Detail!$D$2:$D$1025,2030)</f>
        <v>#REF!</v>
      </c>
      <c r="D9" s="98" t="e">
        <f>AVERAGEIFS(Storage_Share_Detail!$G$2:$G$1025,Storage_Share_Detail!$A$2:$A$1025,"Init",Storage_Share_Detail!$C$2:$C$1025,$A9,Storage_Share_Detail!$D$2:$D$1025,2040)</f>
        <v>#REF!</v>
      </c>
      <c r="E9" s="98" t="e">
        <f>AVERAGEIFS(Storage_Share_Detail!$G$2:$G$1025,Storage_Share_Detail!$A$2:$A$1025,"Init",Storage_Share_Detail!$C$2:$C$1025,$A9,Storage_Share_Detail!$D$2:$D$1025,2050)</f>
        <v>#REF!</v>
      </c>
      <c r="F9" s="99" t="e">
        <f>AVERAGEIFS(Storage_Share_Detail!$K$2:$K$1025,Storage_Share_Detail!$A$2:$A$1025,"Init",Storage_Share_Detail!$C$2:$C$1025,$A9)</f>
        <v>#REF!</v>
      </c>
      <c r="G9" s="98" t="e">
        <f>AVERAGEIFS(Storage_Share_Detail!$G$2:$G$1025,Storage_Share_Detail!$A$2:$A$1025,"Opti",Storage_Share_Detail!$C$2:$C$1025,$A9,Storage_Share_Detail!$D$2:$D$1025,2020)</f>
        <v>#REF!</v>
      </c>
      <c r="H9" s="98" t="e">
        <f>AVERAGEIFS(Storage_Share_Detail!$G$2:$G$1025,Storage_Share_Detail!$A$2:$A$1025,"Opti",Storage_Share_Detail!$C$2:$C$1025,$A9,Storage_Share_Detail!$D$2:$D$1025,2030)</f>
        <v>#REF!</v>
      </c>
      <c r="I9" s="98" t="e">
        <f>AVERAGEIFS(Storage_Share_Detail!$G$2:$G$1025,Storage_Share_Detail!$A$2:$A$1025,"Opti",Storage_Share_Detail!$C$2:$C$1025,$A9,Storage_Share_Detail!$D$2:$D$1025,2040)</f>
        <v>#REF!</v>
      </c>
      <c r="J9" s="98" t="e">
        <f>AVERAGEIFS(Storage_Share_Detail!$G$2:$G$1025,Storage_Share_Detail!$A$2:$A$1025,"Opti",Storage_Share_Detail!$C$2:$C$1025,$A9,Storage_Share_Detail!$D$2:$D$1025,2050)</f>
        <v>#REF!</v>
      </c>
      <c r="K9" s="99" t="e">
        <f>AVERAGEIFS(Storage_Share_Detail!$K$2:$K$1025,Storage_Share_Detail!$A$2:$A$1025,"Opti",Storage_Share_Detail!$C$2:$C$1025,$A9)</f>
        <v>#REF!</v>
      </c>
      <c r="L9" s="98" t="e">
        <f t="shared" si="0"/>
        <v>#REF!</v>
      </c>
    </row>
    <row r="10" spans="1:12" ht="15" customHeight="1" x14ac:dyDescent="0.2">
      <c r="A10" s="97" t="s">
        <v>42</v>
      </c>
      <c r="B10" s="98" t="e">
        <f>AVERAGEIFS(Storage_Share_Detail!$G$2:$G$1025,Storage_Share_Detail!$A$2:$A$1025,"Init",Storage_Share_Detail!$C$2:$C$1025,$A10,Storage_Share_Detail!$D$2:$D$1025,2020)</f>
        <v>#REF!</v>
      </c>
      <c r="C10" s="98" t="e">
        <f>AVERAGEIFS(Storage_Share_Detail!$G$2:$G$1025,Storage_Share_Detail!$A$2:$A$1025,"Init",Storage_Share_Detail!$C$2:$C$1025,$A10,Storage_Share_Detail!$D$2:$D$1025,2030)</f>
        <v>#REF!</v>
      </c>
      <c r="D10" s="98" t="e">
        <f>AVERAGEIFS(Storage_Share_Detail!$G$2:$G$1025,Storage_Share_Detail!$A$2:$A$1025,"Init",Storage_Share_Detail!$C$2:$C$1025,$A10,Storage_Share_Detail!$D$2:$D$1025,2040)</f>
        <v>#REF!</v>
      </c>
      <c r="E10" s="98" t="e">
        <f>AVERAGEIFS(Storage_Share_Detail!$G$2:$G$1025,Storage_Share_Detail!$A$2:$A$1025,"Init",Storage_Share_Detail!$C$2:$C$1025,$A10,Storage_Share_Detail!$D$2:$D$1025,2050)</f>
        <v>#REF!</v>
      </c>
      <c r="F10" s="99" t="e">
        <f>AVERAGEIFS(Storage_Share_Detail!$K$2:$K$1025,Storage_Share_Detail!$A$2:$A$1025,"Init",Storage_Share_Detail!$C$2:$C$1025,$A10)</f>
        <v>#REF!</v>
      </c>
      <c r="G10" s="98" t="e">
        <f>AVERAGEIFS(Storage_Share_Detail!$G$2:$G$1025,Storage_Share_Detail!$A$2:$A$1025,"Opti",Storage_Share_Detail!$C$2:$C$1025,$A10,Storage_Share_Detail!$D$2:$D$1025,2020)</f>
        <v>#REF!</v>
      </c>
      <c r="H10" s="98" t="e">
        <f>AVERAGEIFS(Storage_Share_Detail!$G$2:$G$1025,Storage_Share_Detail!$A$2:$A$1025,"Opti",Storage_Share_Detail!$C$2:$C$1025,$A10,Storage_Share_Detail!$D$2:$D$1025,2030)</f>
        <v>#REF!</v>
      </c>
      <c r="I10" s="98" t="e">
        <f>AVERAGEIFS(Storage_Share_Detail!$G$2:$G$1025,Storage_Share_Detail!$A$2:$A$1025,"Opti",Storage_Share_Detail!$C$2:$C$1025,$A10,Storage_Share_Detail!$D$2:$D$1025,2040)</f>
        <v>#REF!</v>
      </c>
      <c r="J10" s="98" t="e">
        <f>AVERAGEIFS(Storage_Share_Detail!$G$2:$G$1025,Storage_Share_Detail!$A$2:$A$1025,"Opti",Storage_Share_Detail!$C$2:$C$1025,$A10,Storage_Share_Detail!$D$2:$D$1025,2050)</f>
        <v>#REF!</v>
      </c>
      <c r="K10" s="99" t="e">
        <f>AVERAGEIFS(Storage_Share_Detail!$K$2:$K$1025,Storage_Share_Detail!$A$2:$A$1025,"Opti",Storage_Share_Detail!$C$2:$C$1025,$A10)</f>
        <v>#REF!</v>
      </c>
      <c r="L10" s="98" t="e">
        <f t="shared" si="0"/>
        <v>#REF!</v>
      </c>
    </row>
    <row r="11" spans="1:12" ht="15" customHeight="1" x14ac:dyDescent="0.2">
      <c r="A11" s="97" t="s">
        <v>44</v>
      </c>
      <c r="B11" s="98" t="e">
        <f>AVERAGEIFS(Storage_Share_Detail!$G$2:$G$1025,Storage_Share_Detail!$A$2:$A$1025,"Init",Storage_Share_Detail!$C$2:$C$1025,$A11,Storage_Share_Detail!$D$2:$D$1025,2020)</f>
        <v>#REF!</v>
      </c>
      <c r="C11" s="98" t="e">
        <f>AVERAGEIFS(Storage_Share_Detail!$G$2:$G$1025,Storage_Share_Detail!$A$2:$A$1025,"Init",Storage_Share_Detail!$C$2:$C$1025,$A11,Storage_Share_Detail!$D$2:$D$1025,2030)</f>
        <v>#REF!</v>
      </c>
      <c r="D11" s="98" t="e">
        <f>AVERAGEIFS(Storage_Share_Detail!$G$2:$G$1025,Storage_Share_Detail!$A$2:$A$1025,"Init",Storage_Share_Detail!$C$2:$C$1025,$A11,Storage_Share_Detail!$D$2:$D$1025,2040)</f>
        <v>#REF!</v>
      </c>
      <c r="E11" s="98" t="e">
        <f>AVERAGEIFS(Storage_Share_Detail!$G$2:$G$1025,Storage_Share_Detail!$A$2:$A$1025,"Init",Storage_Share_Detail!$C$2:$C$1025,$A11,Storage_Share_Detail!$D$2:$D$1025,2050)</f>
        <v>#REF!</v>
      </c>
      <c r="F11" s="99" t="e">
        <f>AVERAGEIFS(Storage_Share_Detail!$K$2:$K$1025,Storage_Share_Detail!$A$2:$A$1025,"Init",Storage_Share_Detail!$C$2:$C$1025,$A11)</f>
        <v>#REF!</v>
      </c>
      <c r="G11" s="98" t="e">
        <f>AVERAGEIFS(Storage_Share_Detail!$G$2:$G$1025,Storage_Share_Detail!$A$2:$A$1025,"Opti",Storage_Share_Detail!$C$2:$C$1025,$A11,Storage_Share_Detail!$D$2:$D$1025,2020)</f>
        <v>#REF!</v>
      </c>
      <c r="H11" s="98" t="e">
        <f>AVERAGEIFS(Storage_Share_Detail!$G$2:$G$1025,Storage_Share_Detail!$A$2:$A$1025,"Opti",Storage_Share_Detail!$C$2:$C$1025,$A11,Storage_Share_Detail!$D$2:$D$1025,2030)</f>
        <v>#REF!</v>
      </c>
      <c r="I11" s="98" t="e">
        <f>AVERAGEIFS(Storage_Share_Detail!$G$2:$G$1025,Storage_Share_Detail!$A$2:$A$1025,"Opti",Storage_Share_Detail!$C$2:$C$1025,$A11,Storage_Share_Detail!$D$2:$D$1025,2040)</f>
        <v>#REF!</v>
      </c>
      <c r="J11" s="98" t="e">
        <f>AVERAGEIFS(Storage_Share_Detail!$G$2:$G$1025,Storage_Share_Detail!$A$2:$A$1025,"Opti",Storage_Share_Detail!$C$2:$C$1025,$A11,Storage_Share_Detail!$D$2:$D$1025,2050)</f>
        <v>#REF!</v>
      </c>
      <c r="K11" s="99" t="e">
        <f>AVERAGEIFS(Storage_Share_Detail!$K$2:$K$1025,Storage_Share_Detail!$A$2:$A$1025,"Opti",Storage_Share_Detail!$C$2:$C$1025,$A11)</f>
        <v>#REF!</v>
      </c>
      <c r="L11" s="98" t="e">
        <f t="shared" si="0"/>
        <v>#REF!</v>
      </c>
    </row>
    <row r="12" spans="1:12" ht="15" customHeight="1" x14ac:dyDescent="0.2">
      <c r="A12" s="97" t="s">
        <v>45</v>
      </c>
      <c r="B12" s="98" t="e">
        <f>AVERAGEIFS(Storage_Share_Detail!$G$2:$G$1025,Storage_Share_Detail!$A$2:$A$1025,"Init",Storage_Share_Detail!$C$2:$C$1025,$A12,Storage_Share_Detail!$D$2:$D$1025,2020)</f>
        <v>#REF!</v>
      </c>
      <c r="C12" s="98" t="e">
        <f>AVERAGEIFS(Storage_Share_Detail!$G$2:$G$1025,Storage_Share_Detail!$A$2:$A$1025,"Init",Storage_Share_Detail!$C$2:$C$1025,$A12,Storage_Share_Detail!$D$2:$D$1025,2030)</f>
        <v>#REF!</v>
      </c>
      <c r="D12" s="98" t="e">
        <f>AVERAGEIFS(Storage_Share_Detail!$G$2:$G$1025,Storage_Share_Detail!$A$2:$A$1025,"Init",Storage_Share_Detail!$C$2:$C$1025,$A12,Storage_Share_Detail!$D$2:$D$1025,2040)</f>
        <v>#REF!</v>
      </c>
      <c r="E12" s="98" t="e">
        <f>AVERAGEIFS(Storage_Share_Detail!$G$2:$G$1025,Storage_Share_Detail!$A$2:$A$1025,"Init",Storage_Share_Detail!$C$2:$C$1025,$A12,Storage_Share_Detail!$D$2:$D$1025,2050)</f>
        <v>#REF!</v>
      </c>
      <c r="F12" s="99" t="e">
        <f>AVERAGEIFS(Storage_Share_Detail!$K$2:$K$1025,Storage_Share_Detail!$A$2:$A$1025,"Init",Storage_Share_Detail!$C$2:$C$1025,$A12)</f>
        <v>#REF!</v>
      </c>
      <c r="G12" s="98" t="e">
        <f>AVERAGEIFS(Storage_Share_Detail!$G$2:$G$1025,Storage_Share_Detail!$A$2:$A$1025,"Opti",Storage_Share_Detail!$C$2:$C$1025,$A12,Storage_Share_Detail!$D$2:$D$1025,2020)</f>
        <v>#REF!</v>
      </c>
      <c r="H12" s="98" t="e">
        <f>AVERAGEIFS(Storage_Share_Detail!$G$2:$G$1025,Storage_Share_Detail!$A$2:$A$1025,"Opti",Storage_Share_Detail!$C$2:$C$1025,$A12,Storage_Share_Detail!$D$2:$D$1025,2030)</f>
        <v>#REF!</v>
      </c>
      <c r="I12" s="98" t="e">
        <f>AVERAGEIFS(Storage_Share_Detail!$G$2:$G$1025,Storage_Share_Detail!$A$2:$A$1025,"Opti",Storage_Share_Detail!$C$2:$C$1025,$A12,Storage_Share_Detail!$D$2:$D$1025,2040)</f>
        <v>#REF!</v>
      </c>
      <c r="J12" s="98" t="e">
        <f>AVERAGEIFS(Storage_Share_Detail!$G$2:$G$1025,Storage_Share_Detail!$A$2:$A$1025,"Opti",Storage_Share_Detail!$C$2:$C$1025,$A12,Storage_Share_Detail!$D$2:$D$1025,2050)</f>
        <v>#REF!</v>
      </c>
      <c r="K12" s="99" t="e">
        <f>AVERAGEIFS(Storage_Share_Detail!$K$2:$K$1025,Storage_Share_Detail!$A$2:$A$1025,"Opti",Storage_Share_Detail!$C$2:$C$1025,$A12)</f>
        <v>#REF!</v>
      </c>
      <c r="L12" s="98" t="e">
        <f t="shared" si="0"/>
        <v>#REF!</v>
      </c>
    </row>
    <row r="13" spans="1:12" ht="15" customHeight="1" x14ac:dyDescent="0.2">
      <c r="A13" s="97" t="s">
        <v>46</v>
      </c>
      <c r="B13" s="98" t="e">
        <f>AVERAGEIFS(Storage_Share_Detail!$G$2:$G$1025,Storage_Share_Detail!$A$2:$A$1025,"Init",Storage_Share_Detail!$C$2:$C$1025,$A13,Storage_Share_Detail!$D$2:$D$1025,2020)</f>
        <v>#REF!</v>
      </c>
      <c r="C13" s="98" t="e">
        <f>AVERAGEIFS(Storage_Share_Detail!$G$2:$G$1025,Storage_Share_Detail!$A$2:$A$1025,"Init",Storage_Share_Detail!$C$2:$C$1025,$A13,Storage_Share_Detail!$D$2:$D$1025,2030)</f>
        <v>#REF!</v>
      </c>
      <c r="D13" s="98" t="e">
        <f>AVERAGEIFS(Storage_Share_Detail!$G$2:$G$1025,Storage_Share_Detail!$A$2:$A$1025,"Init",Storage_Share_Detail!$C$2:$C$1025,$A13,Storage_Share_Detail!$D$2:$D$1025,2040)</f>
        <v>#REF!</v>
      </c>
      <c r="E13" s="98" t="e">
        <f>AVERAGEIFS(Storage_Share_Detail!$G$2:$G$1025,Storage_Share_Detail!$A$2:$A$1025,"Init",Storage_Share_Detail!$C$2:$C$1025,$A13,Storage_Share_Detail!$D$2:$D$1025,2050)</f>
        <v>#REF!</v>
      </c>
      <c r="F13" s="99" t="e">
        <f>AVERAGEIFS(Storage_Share_Detail!$K$2:$K$1025,Storage_Share_Detail!$A$2:$A$1025,"Init",Storage_Share_Detail!$C$2:$C$1025,$A13)</f>
        <v>#REF!</v>
      </c>
      <c r="G13" s="98" t="e">
        <f>AVERAGEIFS(Storage_Share_Detail!$G$2:$G$1025,Storage_Share_Detail!$A$2:$A$1025,"Opti",Storage_Share_Detail!$C$2:$C$1025,$A13,Storage_Share_Detail!$D$2:$D$1025,2020)</f>
        <v>#REF!</v>
      </c>
      <c r="H13" s="98" t="e">
        <f>AVERAGEIFS(Storage_Share_Detail!$G$2:$G$1025,Storage_Share_Detail!$A$2:$A$1025,"Opti",Storage_Share_Detail!$C$2:$C$1025,$A13,Storage_Share_Detail!$D$2:$D$1025,2030)</f>
        <v>#REF!</v>
      </c>
      <c r="I13" s="98" t="e">
        <f>AVERAGEIFS(Storage_Share_Detail!$G$2:$G$1025,Storage_Share_Detail!$A$2:$A$1025,"Opti",Storage_Share_Detail!$C$2:$C$1025,$A13,Storage_Share_Detail!$D$2:$D$1025,2040)</f>
        <v>#REF!</v>
      </c>
      <c r="J13" s="98" t="e">
        <f>AVERAGEIFS(Storage_Share_Detail!$G$2:$G$1025,Storage_Share_Detail!$A$2:$A$1025,"Opti",Storage_Share_Detail!$C$2:$C$1025,$A13,Storage_Share_Detail!$D$2:$D$1025,2050)</f>
        <v>#REF!</v>
      </c>
      <c r="K13" s="99" t="e">
        <f>AVERAGEIFS(Storage_Share_Detail!$K$2:$K$1025,Storage_Share_Detail!$A$2:$A$1025,"Opti",Storage_Share_Detail!$C$2:$C$1025,$A13)</f>
        <v>#REF!</v>
      </c>
      <c r="L13" s="98" t="e">
        <f t="shared" si="0"/>
        <v>#REF!</v>
      </c>
    </row>
    <row r="14" spans="1:12" ht="15" customHeight="1" x14ac:dyDescent="0.2">
      <c r="A14" s="97" t="s">
        <v>47</v>
      </c>
      <c r="B14" s="98" t="e">
        <f>AVERAGEIFS(Storage_Share_Detail!$G$2:$G$1025,Storage_Share_Detail!$A$2:$A$1025,"Init",Storage_Share_Detail!$C$2:$C$1025,$A14,Storage_Share_Detail!$D$2:$D$1025,2020)</f>
        <v>#REF!</v>
      </c>
      <c r="C14" s="98" t="e">
        <f>AVERAGEIFS(Storage_Share_Detail!$G$2:$G$1025,Storage_Share_Detail!$A$2:$A$1025,"Init",Storage_Share_Detail!$C$2:$C$1025,$A14,Storage_Share_Detail!$D$2:$D$1025,2030)</f>
        <v>#REF!</v>
      </c>
      <c r="D14" s="98" t="e">
        <f>AVERAGEIFS(Storage_Share_Detail!$G$2:$G$1025,Storage_Share_Detail!$A$2:$A$1025,"Init",Storage_Share_Detail!$C$2:$C$1025,$A14,Storage_Share_Detail!$D$2:$D$1025,2040)</f>
        <v>#REF!</v>
      </c>
      <c r="E14" s="98" t="e">
        <f>AVERAGEIFS(Storage_Share_Detail!$G$2:$G$1025,Storage_Share_Detail!$A$2:$A$1025,"Init",Storage_Share_Detail!$C$2:$C$1025,$A14,Storage_Share_Detail!$D$2:$D$1025,2050)</f>
        <v>#REF!</v>
      </c>
      <c r="F14" s="99" t="e">
        <f>AVERAGEIFS(Storage_Share_Detail!$K$2:$K$1025,Storage_Share_Detail!$A$2:$A$1025,"Init",Storage_Share_Detail!$C$2:$C$1025,$A14)</f>
        <v>#REF!</v>
      </c>
      <c r="G14" s="98" t="e">
        <f>AVERAGEIFS(Storage_Share_Detail!$G$2:$G$1025,Storage_Share_Detail!$A$2:$A$1025,"Opti",Storage_Share_Detail!$C$2:$C$1025,$A14,Storage_Share_Detail!$D$2:$D$1025,2020)</f>
        <v>#REF!</v>
      </c>
      <c r="H14" s="98" t="e">
        <f>AVERAGEIFS(Storage_Share_Detail!$G$2:$G$1025,Storage_Share_Detail!$A$2:$A$1025,"Opti",Storage_Share_Detail!$C$2:$C$1025,$A14,Storage_Share_Detail!$D$2:$D$1025,2030)</f>
        <v>#REF!</v>
      </c>
      <c r="I14" s="98" t="e">
        <f>AVERAGEIFS(Storage_Share_Detail!$G$2:$G$1025,Storage_Share_Detail!$A$2:$A$1025,"Opti",Storage_Share_Detail!$C$2:$C$1025,$A14,Storage_Share_Detail!$D$2:$D$1025,2040)</f>
        <v>#REF!</v>
      </c>
      <c r="J14" s="98" t="e">
        <f>AVERAGEIFS(Storage_Share_Detail!$G$2:$G$1025,Storage_Share_Detail!$A$2:$A$1025,"Opti",Storage_Share_Detail!$C$2:$C$1025,$A14,Storage_Share_Detail!$D$2:$D$1025,2050)</f>
        <v>#REF!</v>
      </c>
      <c r="K14" s="99" t="e">
        <f>AVERAGEIFS(Storage_Share_Detail!$K$2:$K$1025,Storage_Share_Detail!$A$2:$A$1025,"Opti",Storage_Share_Detail!$C$2:$C$1025,$A14)</f>
        <v>#REF!</v>
      </c>
      <c r="L14" s="98" t="e">
        <f t="shared" si="0"/>
        <v>#REF!</v>
      </c>
    </row>
    <row r="15" spans="1:12" ht="15" customHeight="1" x14ac:dyDescent="0.2">
      <c r="A15" s="97" t="s">
        <v>49</v>
      </c>
      <c r="B15" s="98" t="e">
        <f>AVERAGEIFS(Storage_Share_Detail!$G$2:$G$1025,Storage_Share_Detail!$A$2:$A$1025,"Init",Storage_Share_Detail!$C$2:$C$1025,$A15,Storage_Share_Detail!$D$2:$D$1025,2020)</f>
        <v>#REF!</v>
      </c>
      <c r="C15" s="98" t="e">
        <f>AVERAGEIFS(Storage_Share_Detail!$G$2:$G$1025,Storage_Share_Detail!$A$2:$A$1025,"Init",Storage_Share_Detail!$C$2:$C$1025,$A15,Storage_Share_Detail!$D$2:$D$1025,2030)</f>
        <v>#REF!</v>
      </c>
      <c r="D15" s="98" t="e">
        <f>AVERAGEIFS(Storage_Share_Detail!$G$2:$G$1025,Storage_Share_Detail!$A$2:$A$1025,"Init",Storage_Share_Detail!$C$2:$C$1025,$A15,Storage_Share_Detail!$D$2:$D$1025,2040)</f>
        <v>#REF!</v>
      </c>
      <c r="E15" s="98" t="e">
        <f>AVERAGEIFS(Storage_Share_Detail!$G$2:$G$1025,Storage_Share_Detail!$A$2:$A$1025,"Init",Storage_Share_Detail!$C$2:$C$1025,$A15,Storage_Share_Detail!$D$2:$D$1025,2050)</f>
        <v>#REF!</v>
      </c>
      <c r="F15" s="99" t="e">
        <f>AVERAGEIFS(Storage_Share_Detail!$K$2:$K$1025,Storage_Share_Detail!$A$2:$A$1025,"Init",Storage_Share_Detail!$C$2:$C$1025,$A15)</f>
        <v>#REF!</v>
      </c>
      <c r="G15" s="98" t="e">
        <f>AVERAGEIFS(Storage_Share_Detail!$G$2:$G$1025,Storage_Share_Detail!$A$2:$A$1025,"Opti",Storage_Share_Detail!$C$2:$C$1025,$A15,Storage_Share_Detail!$D$2:$D$1025,2020)</f>
        <v>#REF!</v>
      </c>
      <c r="H15" s="98" t="e">
        <f>AVERAGEIFS(Storage_Share_Detail!$G$2:$G$1025,Storage_Share_Detail!$A$2:$A$1025,"Opti",Storage_Share_Detail!$C$2:$C$1025,$A15,Storage_Share_Detail!$D$2:$D$1025,2030)</f>
        <v>#REF!</v>
      </c>
      <c r="I15" s="98" t="e">
        <f>AVERAGEIFS(Storage_Share_Detail!$G$2:$G$1025,Storage_Share_Detail!$A$2:$A$1025,"Opti",Storage_Share_Detail!$C$2:$C$1025,$A15,Storage_Share_Detail!$D$2:$D$1025,2040)</f>
        <v>#REF!</v>
      </c>
      <c r="J15" s="98" t="e">
        <f>AVERAGEIFS(Storage_Share_Detail!$G$2:$G$1025,Storage_Share_Detail!$A$2:$A$1025,"Opti",Storage_Share_Detail!$C$2:$C$1025,$A15,Storage_Share_Detail!$D$2:$D$1025,2050)</f>
        <v>#REF!</v>
      </c>
      <c r="K15" s="99" t="e">
        <f>AVERAGEIFS(Storage_Share_Detail!$K$2:$K$1025,Storage_Share_Detail!$A$2:$A$1025,"Opti",Storage_Share_Detail!$C$2:$C$1025,$A15)</f>
        <v>#REF!</v>
      </c>
      <c r="L15" s="98" t="e">
        <f t="shared" si="0"/>
        <v>#REF!</v>
      </c>
    </row>
    <row r="16" spans="1:12" ht="15" customHeight="1" x14ac:dyDescent="0.2">
      <c r="A16" s="97" t="s">
        <v>50</v>
      </c>
      <c r="B16" s="98" t="e">
        <f>AVERAGEIFS(Storage_Share_Detail!$G$2:$G$1025,Storage_Share_Detail!$A$2:$A$1025,"Init",Storage_Share_Detail!$C$2:$C$1025,$A16,Storage_Share_Detail!$D$2:$D$1025,2020)</f>
        <v>#REF!</v>
      </c>
      <c r="C16" s="98" t="e">
        <f>AVERAGEIFS(Storage_Share_Detail!$G$2:$G$1025,Storage_Share_Detail!$A$2:$A$1025,"Init",Storage_Share_Detail!$C$2:$C$1025,$A16,Storage_Share_Detail!$D$2:$D$1025,2030)</f>
        <v>#REF!</v>
      </c>
      <c r="D16" s="98" t="e">
        <f>AVERAGEIFS(Storage_Share_Detail!$G$2:$G$1025,Storage_Share_Detail!$A$2:$A$1025,"Init",Storage_Share_Detail!$C$2:$C$1025,$A16,Storage_Share_Detail!$D$2:$D$1025,2040)</f>
        <v>#REF!</v>
      </c>
      <c r="E16" s="98" t="e">
        <f>AVERAGEIFS(Storage_Share_Detail!$G$2:$G$1025,Storage_Share_Detail!$A$2:$A$1025,"Init",Storage_Share_Detail!$C$2:$C$1025,$A16,Storage_Share_Detail!$D$2:$D$1025,2050)</f>
        <v>#REF!</v>
      </c>
      <c r="F16" s="99" t="e">
        <f>AVERAGEIFS(Storage_Share_Detail!$K$2:$K$1025,Storage_Share_Detail!$A$2:$A$1025,"Init",Storage_Share_Detail!$C$2:$C$1025,$A16)</f>
        <v>#REF!</v>
      </c>
      <c r="G16" s="98" t="e">
        <f>AVERAGEIFS(Storage_Share_Detail!$G$2:$G$1025,Storage_Share_Detail!$A$2:$A$1025,"Opti",Storage_Share_Detail!$C$2:$C$1025,$A16,Storage_Share_Detail!$D$2:$D$1025,2020)</f>
        <v>#REF!</v>
      </c>
      <c r="H16" s="98" t="e">
        <f>AVERAGEIFS(Storage_Share_Detail!$G$2:$G$1025,Storage_Share_Detail!$A$2:$A$1025,"Opti",Storage_Share_Detail!$C$2:$C$1025,$A16,Storage_Share_Detail!$D$2:$D$1025,2030)</f>
        <v>#REF!</v>
      </c>
      <c r="I16" s="98" t="e">
        <f>AVERAGEIFS(Storage_Share_Detail!$G$2:$G$1025,Storage_Share_Detail!$A$2:$A$1025,"Opti",Storage_Share_Detail!$C$2:$C$1025,$A16,Storage_Share_Detail!$D$2:$D$1025,2040)</f>
        <v>#REF!</v>
      </c>
      <c r="J16" s="98" t="e">
        <f>AVERAGEIFS(Storage_Share_Detail!$G$2:$G$1025,Storage_Share_Detail!$A$2:$A$1025,"Opti",Storage_Share_Detail!$C$2:$C$1025,$A16,Storage_Share_Detail!$D$2:$D$1025,2050)</f>
        <v>#REF!</v>
      </c>
      <c r="K16" s="99" t="e">
        <f>AVERAGEIFS(Storage_Share_Detail!$K$2:$K$1025,Storage_Share_Detail!$A$2:$A$1025,"Opti",Storage_Share_Detail!$C$2:$C$1025,$A16)</f>
        <v>#REF!</v>
      </c>
      <c r="L16" s="98" t="e">
        <f t="shared" si="0"/>
        <v>#REF!</v>
      </c>
    </row>
    <row r="17" spans="1:12" ht="15" customHeight="1" x14ac:dyDescent="0.2">
      <c r="A17" s="97" t="s">
        <v>52</v>
      </c>
      <c r="B17" s="98" t="e">
        <f>AVERAGEIFS(Storage_Share_Detail!$G$2:$G$1025,Storage_Share_Detail!$A$2:$A$1025,"Init",Storage_Share_Detail!$C$2:$C$1025,$A17,Storage_Share_Detail!$D$2:$D$1025,2020)</f>
        <v>#REF!</v>
      </c>
      <c r="C17" s="98" t="e">
        <f>AVERAGEIFS(Storage_Share_Detail!$G$2:$G$1025,Storage_Share_Detail!$A$2:$A$1025,"Init",Storage_Share_Detail!$C$2:$C$1025,$A17,Storage_Share_Detail!$D$2:$D$1025,2030)</f>
        <v>#REF!</v>
      </c>
      <c r="D17" s="98" t="e">
        <f>AVERAGEIFS(Storage_Share_Detail!$G$2:$G$1025,Storage_Share_Detail!$A$2:$A$1025,"Init",Storage_Share_Detail!$C$2:$C$1025,$A17,Storage_Share_Detail!$D$2:$D$1025,2040)</f>
        <v>#REF!</v>
      </c>
      <c r="E17" s="98" t="e">
        <f>AVERAGEIFS(Storage_Share_Detail!$G$2:$G$1025,Storage_Share_Detail!$A$2:$A$1025,"Init",Storage_Share_Detail!$C$2:$C$1025,$A17,Storage_Share_Detail!$D$2:$D$1025,2050)</f>
        <v>#REF!</v>
      </c>
      <c r="F17" s="99" t="e">
        <f>AVERAGEIFS(Storage_Share_Detail!$K$2:$K$1025,Storage_Share_Detail!$A$2:$A$1025,"Init",Storage_Share_Detail!$C$2:$C$1025,$A17)</f>
        <v>#REF!</v>
      </c>
      <c r="G17" s="98" t="e">
        <f>AVERAGEIFS(Storage_Share_Detail!$G$2:$G$1025,Storage_Share_Detail!$A$2:$A$1025,"Opti",Storage_Share_Detail!$C$2:$C$1025,$A17,Storage_Share_Detail!$D$2:$D$1025,2020)</f>
        <v>#REF!</v>
      </c>
      <c r="H17" s="98" t="e">
        <f>AVERAGEIFS(Storage_Share_Detail!$G$2:$G$1025,Storage_Share_Detail!$A$2:$A$1025,"Opti",Storage_Share_Detail!$C$2:$C$1025,$A17,Storage_Share_Detail!$D$2:$D$1025,2030)</f>
        <v>#REF!</v>
      </c>
      <c r="I17" s="98" t="e">
        <f>AVERAGEIFS(Storage_Share_Detail!$G$2:$G$1025,Storage_Share_Detail!$A$2:$A$1025,"Opti",Storage_Share_Detail!$C$2:$C$1025,$A17,Storage_Share_Detail!$D$2:$D$1025,2040)</f>
        <v>#REF!</v>
      </c>
      <c r="J17" s="98" t="e">
        <f>AVERAGEIFS(Storage_Share_Detail!$G$2:$G$1025,Storage_Share_Detail!$A$2:$A$1025,"Opti",Storage_Share_Detail!$C$2:$C$1025,$A17,Storage_Share_Detail!$D$2:$D$1025,2050)</f>
        <v>#REF!</v>
      </c>
      <c r="K17" s="99" t="e">
        <f>AVERAGEIFS(Storage_Share_Detail!$K$2:$K$1025,Storage_Share_Detail!$A$2:$A$1025,"Opti",Storage_Share_Detail!$C$2:$C$1025,$A17)</f>
        <v>#REF!</v>
      </c>
      <c r="L17" s="98" t="e">
        <f t="shared" si="0"/>
        <v>#REF!</v>
      </c>
    </row>
    <row r="18" spans="1:12" ht="15" customHeight="1" x14ac:dyDescent="0.2">
      <c r="A18" s="97" t="s">
        <v>53</v>
      </c>
      <c r="B18" s="98" t="e">
        <f>AVERAGEIFS(Storage_Share_Detail!$G$2:$G$1025,Storage_Share_Detail!$A$2:$A$1025,"Init",Storage_Share_Detail!$C$2:$C$1025,$A18,Storage_Share_Detail!$D$2:$D$1025,2020)</f>
        <v>#REF!</v>
      </c>
      <c r="C18" s="98" t="e">
        <f>AVERAGEIFS(Storage_Share_Detail!$G$2:$G$1025,Storage_Share_Detail!$A$2:$A$1025,"Init",Storage_Share_Detail!$C$2:$C$1025,$A18,Storage_Share_Detail!$D$2:$D$1025,2030)</f>
        <v>#REF!</v>
      </c>
      <c r="D18" s="98" t="e">
        <f>AVERAGEIFS(Storage_Share_Detail!$G$2:$G$1025,Storage_Share_Detail!$A$2:$A$1025,"Init",Storage_Share_Detail!$C$2:$C$1025,$A18,Storage_Share_Detail!$D$2:$D$1025,2040)</f>
        <v>#REF!</v>
      </c>
      <c r="E18" s="98" t="e">
        <f>AVERAGEIFS(Storage_Share_Detail!$G$2:$G$1025,Storage_Share_Detail!$A$2:$A$1025,"Init",Storage_Share_Detail!$C$2:$C$1025,$A18,Storage_Share_Detail!$D$2:$D$1025,2050)</f>
        <v>#REF!</v>
      </c>
      <c r="F18" s="99" t="e">
        <f>AVERAGEIFS(Storage_Share_Detail!$K$2:$K$1025,Storage_Share_Detail!$A$2:$A$1025,"Init",Storage_Share_Detail!$C$2:$C$1025,$A18)</f>
        <v>#REF!</v>
      </c>
      <c r="G18" s="98" t="e">
        <f>AVERAGEIFS(Storage_Share_Detail!$G$2:$G$1025,Storage_Share_Detail!$A$2:$A$1025,"Opti",Storage_Share_Detail!$C$2:$C$1025,$A18,Storage_Share_Detail!$D$2:$D$1025,2020)</f>
        <v>#REF!</v>
      </c>
      <c r="H18" s="98" t="e">
        <f>AVERAGEIFS(Storage_Share_Detail!$G$2:$G$1025,Storage_Share_Detail!$A$2:$A$1025,"Opti",Storage_Share_Detail!$C$2:$C$1025,$A18,Storage_Share_Detail!$D$2:$D$1025,2030)</f>
        <v>#REF!</v>
      </c>
      <c r="I18" s="98" t="e">
        <f>AVERAGEIFS(Storage_Share_Detail!$G$2:$G$1025,Storage_Share_Detail!$A$2:$A$1025,"Opti",Storage_Share_Detail!$C$2:$C$1025,$A18,Storage_Share_Detail!$D$2:$D$1025,2040)</f>
        <v>#REF!</v>
      </c>
      <c r="J18" s="98" t="e">
        <f>AVERAGEIFS(Storage_Share_Detail!$G$2:$G$1025,Storage_Share_Detail!$A$2:$A$1025,"Opti",Storage_Share_Detail!$C$2:$C$1025,$A18,Storage_Share_Detail!$D$2:$D$1025,2050)</f>
        <v>#REF!</v>
      </c>
      <c r="K18" s="99" t="e">
        <f>AVERAGEIFS(Storage_Share_Detail!$K$2:$K$1025,Storage_Share_Detail!$A$2:$A$1025,"Opti",Storage_Share_Detail!$C$2:$C$1025,$A18)</f>
        <v>#REF!</v>
      </c>
      <c r="L18" s="98" t="e">
        <f t="shared" si="0"/>
        <v>#REF!</v>
      </c>
    </row>
    <row r="19" spans="1:12" ht="15" customHeight="1" x14ac:dyDescent="0.2">
      <c r="A19" s="97" t="s">
        <v>55</v>
      </c>
      <c r="B19" s="98" t="e">
        <f>AVERAGEIFS(Storage_Share_Detail!$G$2:$G$1025,Storage_Share_Detail!$A$2:$A$1025,"Init",Storage_Share_Detail!$C$2:$C$1025,$A19,Storage_Share_Detail!$D$2:$D$1025,2020)</f>
        <v>#REF!</v>
      </c>
      <c r="C19" s="98" t="e">
        <f>AVERAGEIFS(Storage_Share_Detail!$G$2:$G$1025,Storage_Share_Detail!$A$2:$A$1025,"Init",Storage_Share_Detail!$C$2:$C$1025,$A19,Storage_Share_Detail!$D$2:$D$1025,2030)</f>
        <v>#REF!</v>
      </c>
      <c r="D19" s="98" t="e">
        <f>AVERAGEIFS(Storage_Share_Detail!$G$2:$G$1025,Storage_Share_Detail!$A$2:$A$1025,"Init",Storage_Share_Detail!$C$2:$C$1025,$A19,Storage_Share_Detail!$D$2:$D$1025,2040)</f>
        <v>#REF!</v>
      </c>
      <c r="E19" s="98" t="e">
        <f>AVERAGEIFS(Storage_Share_Detail!$G$2:$G$1025,Storage_Share_Detail!$A$2:$A$1025,"Init",Storage_Share_Detail!$C$2:$C$1025,$A19,Storage_Share_Detail!$D$2:$D$1025,2050)</f>
        <v>#REF!</v>
      </c>
      <c r="F19" s="99" t="e">
        <f>AVERAGEIFS(Storage_Share_Detail!$K$2:$K$1025,Storage_Share_Detail!$A$2:$A$1025,"Init",Storage_Share_Detail!$C$2:$C$1025,$A19)</f>
        <v>#REF!</v>
      </c>
      <c r="G19" s="98" t="e">
        <f>AVERAGEIFS(Storage_Share_Detail!$G$2:$G$1025,Storage_Share_Detail!$A$2:$A$1025,"Opti",Storage_Share_Detail!$C$2:$C$1025,$A19,Storage_Share_Detail!$D$2:$D$1025,2020)</f>
        <v>#REF!</v>
      </c>
      <c r="H19" s="98" t="e">
        <f>AVERAGEIFS(Storage_Share_Detail!$G$2:$G$1025,Storage_Share_Detail!$A$2:$A$1025,"Opti",Storage_Share_Detail!$C$2:$C$1025,$A19,Storage_Share_Detail!$D$2:$D$1025,2030)</f>
        <v>#REF!</v>
      </c>
      <c r="I19" s="98" t="e">
        <f>AVERAGEIFS(Storage_Share_Detail!$G$2:$G$1025,Storage_Share_Detail!$A$2:$A$1025,"Opti",Storage_Share_Detail!$C$2:$C$1025,$A19,Storage_Share_Detail!$D$2:$D$1025,2040)</f>
        <v>#REF!</v>
      </c>
      <c r="J19" s="98" t="e">
        <f>AVERAGEIFS(Storage_Share_Detail!$G$2:$G$1025,Storage_Share_Detail!$A$2:$A$1025,"Opti",Storage_Share_Detail!$C$2:$C$1025,$A19,Storage_Share_Detail!$D$2:$D$1025,2050)</f>
        <v>#REF!</v>
      </c>
      <c r="K19" s="99" t="e">
        <f>AVERAGEIFS(Storage_Share_Detail!$K$2:$K$1025,Storage_Share_Detail!$A$2:$A$1025,"Opti",Storage_Share_Detail!$C$2:$C$1025,$A19)</f>
        <v>#REF!</v>
      </c>
      <c r="L19" s="98" t="e">
        <f t="shared" si="0"/>
        <v>#REF!</v>
      </c>
    </row>
    <row r="20" spans="1:12" ht="15" customHeight="1" x14ac:dyDescent="0.2">
      <c r="A20" s="97" t="s">
        <v>57</v>
      </c>
      <c r="B20" s="98" t="e">
        <f>AVERAGEIFS(Storage_Share_Detail!$G$2:$G$1025,Storage_Share_Detail!$A$2:$A$1025,"Init",Storage_Share_Detail!$C$2:$C$1025,$A20,Storage_Share_Detail!$D$2:$D$1025,2020)</f>
        <v>#REF!</v>
      </c>
      <c r="C20" s="98" t="e">
        <f>AVERAGEIFS(Storage_Share_Detail!$G$2:$G$1025,Storage_Share_Detail!$A$2:$A$1025,"Init",Storage_Share_Detail!$C$2:$C$1025,$A20,Storage_Share_Detail!$D$2:$D$1025,2030)</f>
        <v>#REF!</v>
      </c>
      <c r="D20" s="98" t="e">
        <f>AVERAGEIFS(Storage_Share_Detail!$G$2:$G$1025,Storage_Share_Detail!$A$2:$A$1025,"Init",Storage_Share_Detail!$C$2:$C$1025,$A20,Storage_Share_Detail!$D$2:$D$1025,2040)</f>
        <v>#REF!</v>
      </c>
      <c r="E20" s="98" t="e">
        <f>AVERAGEIFS(Storage_Share_Detail!$G$2:$G$1025,Storage_Share_Detail!$A$2:$A$1025,"Init",Storage_Share_Detail!$C$2:$C$1025,$A20,Storage_Share_Detail!$D$2:$D$1025,2050)</f>
        <v>#REF!</v>
      </c>
      <c r="F20" s="99" t="e">
        <f>AVERAGEIFS(Storage_Share_Detail!$K$2:$K$1025,Storage_Share_Detail!$A$2:$A$1025,"Init",Storage_Share_Detail!$C$2:$C$1025,$A20)</f>
        <v>#REF!</v>
      </c>
      <c r="G20" s="98" t="e">
        <f>AVERAGEIFS(Storage_Share_Detail!$G$2:$G$1025,Storage_Share_Detail!$A$2:$A$1025,"Opti",Storage_Share_Detail!$C$2:$C$1025,$A20,Storage_Share_Detail!$D$2:$D$1025,2020)</f>
        <v>#REF!</v>
      </c>
      <c r="H20" s="98" t="e">
        <f>AVERAGEIFS(Storage_Share_Detail!$G$2:$G$1025,Storage_Share_Detail!$A$2:$A$1025,"Opti",Storage_Share_Detail!$C$2:$C$1025,$A20,Storage_Share_Detail!$D$2:$D$1025,2030)</f>
        <v>#REF!</v>
      </c>
      <c r="I20" s="98" t="e">
        <f>AVERAGEIFS(Storage_Share_Detail!$G$2:$G$1025,Storage_Share_Detail!$A$2:$A$1025,"Opti",Storage_Share_Detail!$C$2:$C$1025,$A20,Storage_Share_Detail!$D$2:$D$1025,2040)</f>
        <v>#REF!</v>
      </c>
      <c r="J20" s="98" t="e">
        <f>AVERAGEIFS(Storage_Share_Detail!$G$2:$G$1025,Storage_Share_Detail!$A$2:$A$1025,"Opti",Storage_Share_Detail!$C$2:$C$1025,$A20,Storage_Share_Detail!$D$2:$D$1025,2050)</f>
        <v>#REF!</v>
      </c>
      <c r="K20" s="99" t="e">
        <f>AVERAGEIFS(Storage_Share_Detail!$K$2:$K$1025,Storage_Share_Detail!$A$2:$A$1025,"Opti",Storage_Share_Detail!$C$2:$C$1025,$A20)</f>
        <v>#REF!</v>
      </c>
      <c r="L20" s="98" t="e">
        <f t="shared" si="0"/>
        <v>#REF!</v>
      </c>
    </row>
    <row r="21" spans="1:12" ht="15" customHeight="1" x14ac:dyDescent="0.2">
      <c r="A21" s="97" t="s">
        <v>58</v>
      </c>
      <c r="B21" s="98" t="e">
        <f>AVERAGEIFS(Storage_Share_Detail!$G$2:$G$1025,Storage_Share_Detail!$A$2:$A$1025,"Init",Storage_Share_Detail!$C$2:$C$1025,$A21,Storage_Share_Detail!$D$2:$D$1025,2020)</f>
        <v>#REF!</v>
      </c>
      <c r="C21" s="98" t="e">
        <f>AVERAGEIFS(Storage_Share_Detail!$G$2:$G$1025,Storage_Share_Detail!$A$2:$A$1025,"Init",Storage_Share_Detail!$C$2:$C$1025,$A21,Storage_Share_Detail!$D$2:$D$1025,2030)</f>
        <v>#REF!</v>
      </c>
      <c r="D21" s="98" t="e">
        <f>AVERAGEIFS(Storage_Share_Detail!$G$2:$G$1025,Storage_Share_Detail!$A$2:$A$1025,"Init",Storage_Share_Detail!$C$2:$C$1025,$A21,Storage_Share_Detail!$D$2:$D$1025,2040)</f>
        <v>#REF!</v>
      </c>
      <c r="E21" s="98" t="e">
        <f>AVERAGEIFS(Storage_Share_Detail!$G$2:$G$1025,Storage_Share_Detail!$A$2:$A$1025,"Init",Storage_Share_Detail!$C$2:$C$1025,$A21,Storage_Share_Detail!$D$2:$D$1025,2050)</f>
        <v>#REF!</v>
      </c>
      <c r="F21" s="99" t="e">
        <f>AVERAGEIFS(Storage_Share_Detail!$K$2:$K$1025,Storage_Share_Detail!$A$2:$A$1025,"Init",Storage_Share_Detail!$C$2:$C$1025,$A21)</f>
        <v>#REF!</v>
      </c>
      <c r="G21" s="98" t="e">
        <f>AVERAGEIFS(Storage_Share_Detail!$G$2:$G$1025,Storage_Share_Detail!$A$2:$A$1025,"Opti",Storage_Share_Detail!$C$2:$C$1025,$A21,Storage_Share_Detail!$D$2:$D$1025,2020)</f>
        <v>#REF!</v>
      </c>
      <c r="H21" s="98" t="e">
        <f>AVERAGEIFS(Storage_Share_Detail!$G$2:$G$1025,Storage_Share_Detail!$A$2:$A$1025,"Opti",Storage_Share_Detail!$C$2:$C$1025,$A21,Storage_Share_Detail!$D$2:$D$1025,2030)</f>
        <v>#REF!</v>
      </c>
      <c r="I21" s="98" t="e">
        <f>AVERAGEIFS(Storage_Share_Detail!$G$2:$G$1025,Storage_Share_Detail!$A$2:$A$1025,"Opti",Storage_Share_Detail!$C$2:$C$1025,$A21,Storage_Share_Detail!$D$2:$D$1025,2040)</f>
        <v>#REF!</v>
      </c>
      <c r="J21" s="98" t="e">
        <f>AVERAGEIFS(Storage_Share_Detail!$G$2:$G$1025,Storage_Share_Detail!$A$2:$A$1025,"Opti",Storage_Share_Detail!$C$2:$C$1025,$A21,Storage_Share_Detail!$D$2:$D$1025,2050)</f>
        <v>#REF!</v>
      </c>
      <c r="K21" s="99" t="e">
        <f>AVERAGEIFS(Storage_Share_Detail!$K$2:$K$1025,Storage_Share_Detail!$A$2:$A$1025,"Opti",Storage_Share_Detail!$C$2:$C$1025,$A21)</f>
        <v>#REF!</v>
      </c>
      <c r="L21" s="98" t="e">
        <f t="shared" si="0"/>
        <v>#REF!</v>
      </c>
    </row>
    <row r="22" spans="1:12" ht="15" customHeight="1" x14ac:dyDescent="0.2">
      <c r="A22" s="97" t="s">
        <v>59</v>
      </c>
      <c r="B22" s="98" t="e">
        <f>AVERAGEIFS(Storage_Share_Detail!$G$2:$G$1025,Storage_Share_Detail!$A$2:$A$1025,"Init",Storage_Share_Detail!$C$2:$C$1025,$A22,Storage_Share_Detail!$D$2:$D$1025,2020)</f>
        <v>#REF!</v>
      </c>
      <c r="C22" s="98" t="e">
        <f>AVERAGEIFS(Storage_Share_Detail!$G$2:$G$1025,Storage_Share_Detail!$A$2:$A$1025,"Init",Storage_Share_Detail!$C$2:$C$1025,$A22,Storage_Share_Detail!$D$2:$D$1025,2030)</f>
        <v>#REF!</v>
      </c>
      <c r="D22" s="98" t="e">
        <f>AVERAGEIFS(Storage_Share_Detail!$G$2:$G$1025,Storage_Share_Detail!$A$2:$A$1025,"Init",Storage_Share_Detail!$C$2:$C$1025,$A22,Storage_Share_Detail!$D$2:$D$1025,2040)</f>
        <v>#REF!</v>
      </c>
      <c r="E22" s="98" t="e">
        <f>AVERAGEIFS(Storage_Share_Detail!$G$2:$G$1025,Storage_Share_Detail!$A$2:$A$1025,"Init",Storage_Share_Detail!$C$2:$C$1025,$A22,Storage_Share_Detail!$D$2:$D$1025,2050)</f>
        <v>#REF!</v>
      </c>
      <c r="F22" s="99" t="e">
        <f>AVERAGEIFS(Storage_Share_Detail!$K$2:$K$1025,Storage_Share_Detail!$A$2:$A$1025,"Init",Storage_Share_Detail!$C$2:$C$1025,$A22)</f>
        <v>#REF!</v>
      </c>
      <c r="G22" s="98" t="e">
        <f>AVERAGEIFS(Storage_Share_Detail!$G$2:$G$1025,Storage_Share_Detail!$A$2:$A$1025,"Opti",Storage_Share_Detail!$C$2:$C$1025,$A22,Storage_Share_Detail!$D$2:$D$1025,2020)</f>
        <v>#REF!</v>
      </c>
      <c r="H22" s="98" t="e">
        <f>AVERAGEIFS(Storage_Share_Detail!$G$2:$G$1025,Storage_Share_Detail!$A$2:$A$1025,"Opti",Storage_Share_Detail!$C$2:$C$1025,$A22,Storage_Share_Detail!$D$2:$D$1025,2030)</f>
        <v>#REF!</v>
      </c>
      <c r="I22" s="98" t="e">
        <f>AVERAGEIFS(Storage_Share_Detail!$G$2:$G$1025,Storage_Share_Detail!$A$2:$A$1025,"Opti",Storage_Share_Detail!$C$2:$C$1025,$A22,Storage_Share_Detail!$D$2:$D$1025,2040)</f>
        <v>#REF!</v>
      </c>
      <c r="J22" s="98" t="e">
        <f>AVERAGEIFS(Storage_Share_Detail!$G$2:$G$1025,Storage_Share_Detail!$A$2:$A$1025,"Opti",Storage_Share_Detail!$C$2:$C$1025,$A22,Storage_Share_Detail!$D$2:$D$1025,2050)</f>
        <v>#REF!</v>
      </c>
      <c r="K22" s="99" t="e">
        <f>AVERAGEIFS(Storage_Share_Detail!$K$2:$K$1025,Storage_Share_Detail!$A$2:$A$1025,"Opti",Storage_Share_Detail!$C$2:$C$1025,$A22)</f>
        <v>#REF!</v>
      </c>
      <c r="L22" s="98" t="e">
        <f t="shared" si="0"/>
        <v>#REF!</v>
      </c>
    </row>
    <row r="23" spans="1:12" ht="15" customHeight="1" x14ac:dyDescent="0.2">
      <c r="A23" s="97" t="s">
        <v>60</v>
      </c>
      <c r="B23" s="98" t="e">
        <f>AVERAGEIFS(Storage_Share_Detail!$G$2:$G$1025,Storage_Share_Detail!$A$2:$A$1025,"Init",Storage_Share_Detail!$C$2:$C$1025,$A23,Storage_Share_Detail!$D$2:$D$1025,2020)</f>
        <v>#REF!</v>
      </c>
      <c r="C23" s="98" t="e">
        <f>AVERAGEIFS(Storage_Share_Detail!$G$2:$G$1025,Storage_Share_Detail!$A$2:$A$1025,"Init",Storage_Share_Detail!$C$2:$C$1025,$A23,Storage_Share_Detail!$D$2:$D$1025,2030)</f>
        <v>#REF!</v>
      </c>
      <c r="D23" s="98" t="e">
        <f>AVERAGEIFS(Storage_Share_Detail!$G$2:$G$1025,Storage_Share_Detail!$A$2:$A$1025,"Init",Storage_Share_Detail!$C$2:$C$1025,$A23,Storage_Share_Detail!$D$2:$D$1025,2040)</f>
        <v>#REF!</v>
      </c>
      <c r="E23" s="98" t="e">
        <f>AVERAGEIFS(Storage_Share_Detail!$G$2:$G$1025,Storage_Share_Detail!$A$2:$A$1025,"Init",Storage_Share_Detail!$C$2:$C$1025,$A23,Storage_Share_Detail!$D$2:$D$1025,2050)</f>
        <v>#REF!</v>
      </c>
      <c r="F23" s="99" t="e">
        <f>AVERAGEIFS(Storage_Share_Detail!$K$2:$K$1025,Storage_Share_Detail!$A$2:$A$1025,"Init",Storage_Share_Detail!$C$2:$C$1025,$A23)</f>
        <v>#REF!</v>
      </c>
      <c r="G23" s="98" t="e">
        <f>AVERAGEIFS(Storage_Share_Detail!$G$2:$G$1025,Storage_Share_Detail!$A$2:$A$1025,"Opti",Storage_Share_Detail!$C$2:$C$1025,$A23,Storage_Share_Detail!$D$2:$D$1025,2020)</f>
        <v>#REF!</v>
      </c>
      <c r="H23" s="98" t="e">
        <f>AVERAGEIFS(Storage_Share_Detail!$G$2:$G$1025,Storage_Share_Detail!$A$2:$A$1025,"Opti",Storage_Share_Detail!$C$2:$C$1025,$A23,Storage_Share_Detail!$D$2:$D$1025,2030)</f>
        <v>#REF!</v>
      </c>
      <c r="I23" s="98" t="e">
        <f>AVERAGEIFS(Storage_Share_Detail!$G$2:$G$1025,Storage_Share_Detail!$A$2:$A$1025,"Opti",Storage_Share_Detail!$C$2:$C$1025,$A23,Storage_Share_Detail!$D$2:$D$1025,2040)</f>
        <v>#REF!</v>
      </c>
      <c r="J23" s="98" t="e">
        <f>AVERAGEIFS(Storage_Share_Detail!$G$2:$G$1025,Storage_Share_Detail!$A$2:$A$1025,"Opti",Storage_Share_Detail!$C$2:$C$1025,$A23,Storage_Share_Detail!$D$2:$D$1025,2050)</f>
        <v>#REF!</v>
      </c>
      <c r="K23" s="99" t="e">
        <f>AVERAGEIFS(Storage_Share_Detail!$K$2:$K$1025,Storage_Share_Detail!$A$2:$A$1025,"Opti",Storage_Share_Detail!$C$2:$C$1025,$A23)</f>
        <v>#REF!</v>
      </c>
      <c r="L23" s="98" t="e">
        <f t="shared" si="0"/>
        <v>#REF!</v>
      </c>
    </row>
    <row r="24" spans="1:12" ht="15" customHeight="1" x14ac:dyDescent="0.2">
      <c r="A24" s="97" t="s">
        <v>61</v>
      </c>
      <c r="B24" s="98" t="e">
        <f>AVERAGEIFS(Storage_Share_Detail!$G$2:$G$1025,Storage_Share_Detail!$A$2:$A$1025,"Init",Storage_Share_Detail!$C$2:$C$1025,$A24,Storage_Share_Detail!$D$2:$D$1025,2020)</f>
        <v>#REF!</v>
      </c>
      <c r="C24" s="98" t="e">
        <f>AVERAGEIFS(Storage_Share_Detail!$G$2:$G$1025,Storage_Share_Detail!$A$2:$A$1025,"Init",Storage_Share_Detail!$C$2:$C$1025,$A24,Storage_Share_Detail!$D$2:$D$1025,2030)</f>
        <v>#REF!</v>
      </c>
      <c r="D24" s="98" t="e">
        <f>AVERAGEIFS(Storage_Share_Detail!$G$2:$G$1025,Storage_Share_Detail!$A$2:$A$1025,"Init",Storage_Share_Detail!$C$2:$C$1025,$A24,Storage_Share_Detail!$D$2:$D$1025,2040)</f>
        <v>#REF!</v>
      </c>
      <c r="E24" s="98" t="e">
        <f>AVERAGEIFS(Storage_Share_Detail!$G$2:$G$1025,Storage_Share_Detail!$A$2:$A$1025,"Init",Storage_Share_Detail!$C$2:$C$1025,$A24,Storage_Share_Detail!$D$2:$D$1025,2050)</f>
        <v>#REF!</v>
      </c>
      <c r="F24" s="99" t="e">
        <f>AVERAGEIFS(Storage_Share_Detail!$K$2:$K$1025,Storage_Share_Detail!$A$2:$A$1025,"Init",Storage_Share_Detail!$C$2:$C$1025,$A24)</f>
        <v>#REF!</v>
      </c>
      <c r="G24" s="98" t="e">
        <f>AVERAGEIFS(Storage_Share_Detail!$G$2:$G$1025,Storage_Share_Detail!$A$2:$A$1025,"Opti",Storage_Share_Detail!$C$2:$C$1025,$A24,Storage_Share_Detail!$D$2:$D$1025,2020)</f>
        <v>#REF!</v>
      </c>
      <c r="H24" s="98" t="e">
        <f>AVERAGEIFS(Storage_Share_Detail!$G$2:$G$1025,Storage_Share_Detail!$A$2:$A$1025,"Opti",Storage_Share_Detail!$C$2:$C$1025,$A24,Storage_Share_Detail!$D$2:$D$1025,2030)</f>
        <v>#REF!</v>
      </c>
      <c r="I24" s="98" t="e">
        <f>AVERAGEIFS(Storage_Share_Detail!$G$2:$G$1025,Storage_Share_Detail!$A$2:$A$1025,"Opti",Storage_Share_Detail!$C$2:$C$1025,$A24,Storage_Share_Detail!$D$2:$D$1025,2040)</f>
        <v>#REF!</v>
      </c>
      <c r="J24" s="98" t="e">
        <f>AVERAGEIFS(Storage_Share_Detail!$G$2:$G$1025,Storage_Share_Detail!$A$2:$A$1025,"Opti",Storage_Share_Detail!$C$2:$C$1025,$A24,Storage_Share_Detail!$D$2:$D$1025,2050)</f>
        <v>#REF!</v>
      </c>
      <c r="K24" s="99" t="e">
        <f>AVERAGEIFS(Storage_Share_Detail!$K$2:$K$1025,Storage_Share_Detail!$A$2:$A$1025,"Opti",Storage_Share_Detail!$C$2:$C$1025,$A24)</f>
        <v>#REF!</v>
      </c>
      <c r="L24" s="98" t="e">
        <f t="shared" si="0"/>
        <v>#REF!</v>
      </c>
    </row>
    <row r="25" spans="1:12" ht="15" customHeight="1" x14ac:dyDescent="0.2">
      <c r="A25" s="97" t="s">
        <v>64</v>
      </c>
      <c r="B25" s="98" t="e">
        <f>AVERAGEIFS(Storage_Share_Detail!$G$2:$G$1025,Storage_Share_Detail!$A$2:$A$1025,"Init",Storage_Share_Detail!$C$2:$C$1025,$A25,Storage_Share_Detail!$D$2:$D$1025,2020)</f>
        <v>#REF!</v>
      </c>
      <c r="C25" s="98" t="e">
        <f>AVERAGEIFS(Storage_Share_Detail!$G$2:$G$1025,Storage_Share_Detail!$A$2:$A$1025,"Init",Storage_Share_Detail!$C$2:$C$1025,$A25,Storage_Share_Detail!$D$2:$D$1025,2030)</f>
        <v>#REF!</v>
      </c>
      <c r="D25" s="98" t="e">
        <f>AVERAGEIFS(Storage_Share_Detail!$G$2:$G$1025,Storage_Share_Detail!$A$2:$A$1025,"Init",Storage_Share_Detail!$C$2:$C$1025,$A25,Storage_Share_Detail!$D$2:$D$1025,2040)</f>
        <v>#REF!</v>
      </c>
      <c r="E25" s="98" t="e">
        <f>AVERAGEIFS(Storage_Share_Detail!$G$2:$G$1025,Storage_Share_Detail!$A$2:$A$1025,"Init",Storage_Share_Detail!$C$2:$C$1025,$A25,Storage_Share_Detail!$D$2:$D$1025,2050)</f>
        <v>#REF!</v>
      </c>
      <c r="F25" s="99" t="e">
        <f>AVERAGEIFS(Storage_Share_Detail!$K$2:$K$1025,Storage_Share_Detail!$A$2:$A$1025,"Init",Storage_Share_Detail!$C$2:$C$1025,$A25)</f>
        <v>#REF!</v>
      </c>
      <c r="G25" s="98" t="e">
        <f>AVERAGEIFS(Storage_Share_Detail!$G$2:$G$1025,Storage_Share_Detail!$A$2:$A$1025,"Opti",Storage_Share_Detail!$C$2:$C$1025,$A25,Storage_Share_Detail!$D$2:$D$1025,2020)</f>
        <v>#REF!</v>
      </c>
      <c r="H25" s="98" t="e">
        <f>AVERAGEIFS(Storage_Share_Detail!$G$2:$G$1025,Storage_Share_Detail!$A$2:$A$1025,"Opti",Storage_Share_Detail!$C$2:$C$1025,$A25,Storage_Share_Detail!$D$2:$D$1025,2030)</f>
        <v>#REF!</v>
      </c>
      <c r="I25" s="98" t="e">
        <f>AVERAGEIFS(Storage_Share_Detail!$G$2:$G$1025,Storage_Share_Detail!$A$2:$A$1025,"Opti",Storage_Share_Detail!$C$2:$C$1025,$A25,Storage_Share_Detail!$D$2:$D$1025,2040)</f>
        <v>#REF!</v>
      </c>
      <c r="J25" s="98" t="e">
        <f>AVERAGEIFS(Storage_Share_Detail!$G$2:$G$1025,Storage_Share_Detail!$A$2:$A$1025,"Opti",Storage_Share_Detail!$C$2:$C$1025,$A25,Storage_Share_Detail!$D$2:$D$1025,2050)</f>
        <v>#REF!</v>
      </c>
      <c r="K25" s="99" t="e">
        <f>AVERAGEIFS(Storage_Share_Detail!$K$2:$K$1025,Storage_Share_Detail!$A$2:$A$1025,"Opti",Storage_Share_Detail!$C$2:$C$1025,$A25)</f>
        <v>#REF!</v>
      </c>
      <c r="L25" s="98" t="e">
        <f t="shared" si="0"/>
        <v>#REF!</v>
      </c>
    </row>
    <row r="26" spans="1:12" ht="15" customHeight="1" x14ac:dyDescent="0.2">
      <c r="A26" s="97" t="s">
        <v>66</v>
      </c>
      <c r="B26" s="98" t="e">
        <f>AVERAGEIFS(Storage_Share_Detail!$G$2:$G$1025,Storage_Share_Detail!$A$2:$A$1025,"Init",Storage_Share_Detail!$C$2:$C$1025,$A26,Storage_Share_Detail!$D$2:$D$1025,2020)</f>
        <v>#REF!</v>
      </c>
      <c r="C26" s="98" t="e">
        <f>AVERAGEIFS(Storage_Share_Detail!$G$2:$G$1025,Storage_Share_Detail!$A$2:$A$1025,"Init",Storage_Share_Detail!$C$2:$C$1025,$A26,Storage_Share_Detail!$D$2:$D$1025,2030)</f>
        <v>#REF!</v>
      </c>
      <c r="D26" s="98" t="e">
        <f>AVERAGEIFS(Storage_Share_Detail!$G$2:$G$1025,Storage_Share_Detail!$A$2:$A$1025,"Init",Storage_Share_Detail!$C$2:$C$1025,$A26,Storage_Share_Detail!$D$2:$D$1025,2040)</f>
        <v>#REF!</v>
      </c>
      <c r="E26" s="98" t="e">
        <f>AVERAGEIFS(Storage_Share_Detail!$G$2:$G$1025,Storage_Share_Detail!$A$2:$A$1025,"Init",Storage_Share_Detail!$C$2:$C$1025,$A26,Storage_Share_Detail!$D$2:$D$1025,2050)</f>
        <v>#REF!</v>
      </c>
      <c r="F26" s="99" t="e">
        <f>AVERAGEIFS(Storage_Share_Detail!$K$2:$K$1025,Storage_Share_Detail!$A$2:$A$1025,"Init",Storage_Share_Detail!$C$2:$C$1025,$A26)</f>
        <v>#REF!</v>
      </c>
      <c r="G26" s="98" t="e">
        <f>AVERAGEIFS(Storage_Share_Detail!$G$2:$G$1025,Storage_Share_Detail!$A$2:$A$1025,"Opti",Storage_Share_Detail!$C$2:$C$1025,$A26,Storage_Share_Detail!$D$2:$D$1025,2020)</f>
        <v>#REF!</v>
      </c>
      <c r="H26" s="98" t="e">
        <f>AVERAGEIFS(Storage_Share_Detail!$G$2:$G$1025,Storage_Share_Detail!$A$2:$A$1025,"Opti",Storage_Share_Detail!$C$2:$C$1025,$A26,Storage_Share_Detail!$D$2:$D$1025,2030)</f>
        <v>#REF!</v>
      </c>
      <c r="I26" s="98" t="e">
        <f>AVERAGEIFS(Storage_Share_Detail!$G$2:$G$1025,Storage_Share_Detail!$A$2:$A$1025,"Opti",Storage_Share_Detail!$C$2:$C$1025,$A26,Storage_Share_Detail!$D$2:$D$1025,2040)</f>
        <v>#REF!</v>
      </c>
      <c r="J26" s="98" t="e">
        <f>AVERAGEIFS(Storage_Share_Detail!$G$2:$G$1025,Storage_Share_Detail!$A$2:$A$1025,"Opti",Storage_Share_Detail!$C$2:$C$1025,$A26,Storage_Share_Detail!$D$2:$D$1025,2050)</f>
        <v>#REF!</v>
      </c>
      <c r="K26" s="99" t="e">
        <f>AVERAGEIFS(Storage_Share_Detail!$K$2:$K$1025,Storage_Share_Detail!$A$2:$A$1025,"Opti",Storage_Share_Detail!$C$2:$C$1025,$A26)</f>
        <v>#REF!</v>
      </c>
      <c r="L26" s="98" t="e">
        <f t="shared" si="0"/>
        <v>#REF!</v>
      </c>
    </row>
    <row r="27" spans="1:12" ht="15" customHeight="1" x14ac:dyDescent="0.2">
      <c r="A27" s="97" t="s">
        <v>67</v>
      </c>
      <c r="B27" s="98" t="e">
        <f>AVERAGEIFS(Storage_Share_Detail!$G$2:$G$1025,Storage_Share_Detail!$A$2:$A$1025,"Init",Storage_Share_Detail!$C$2:$C$1025,$A27,Storage_Share_Detail!$D$2:$D$1025,2020)</f>
        <v>#REF!</v>
      </c>
      <c r="C27" s="98" t="e">
        <f>AVERAGEIFS(Storage_Share_Detail!$G$2:$G$1025,Storage_Share_Detail!$A$2:$A$1025,"Init",Storage_Share_Detail!$C$2:$C$1025,$A27,Storage_Share_Detail!$D$2:$D$1025,2030)</f>
        <v>#REF!</v>
      </c>
      <c r="D27" s="98" t="e">
        <f>AVERAGEIFS(Storage_Share_Detail!$G$2:$G$1025,Storage_Share_Detail!$A$2:$A$1025,"Init",Storage_Share_Detail!$C$2:$C$1025,$A27,Storage_Share_Detail!$D$2:$D$1025,2040)</f>
        <v>#REF!</v>
      </c>
      <c r="E27" s="98" t="e">
        <f>AVERAGEIFS(Storage_Share_Detail!$G$2:$G$1025,Storage_Share_Detail!$A$2:$A$1025,"Init",Storage_Share_Detail!$C$2:$C$1025,$A27,Storage_Share_Detail!$D$2:$D$1025,2050)</f>
        <v>#REF!</v>
      </c>
      <c r="F27" s="99" t="e">
        <f>AVERAGEIFS(Storage_Share_Detail!$K$2:$K$1025,Storage_Share_Detail!$A$2:$A$1025,"Init",Storage_Share_Detail!$C$2:$C$1025,$A27)</f>
        <v>#REF!</v>
      </c>
      <c r="G27" s="98" t="e">
        <f>AVERAGEIFS(Storage_Share_Detail!$G$2:$G$1025,Storage_Share_Detail!$A$2:$A$1025,"Opti",Storage_Share_Detail!$C$2:$C$1025,$A27,Storage_Share_Detail!$D$2:$D$1025,2020)</f>
        <v>#REF!</v>
      </c>
      <c r="H27" s="98" t="e">
        <f>AVERAGEIFS(Storage_Share_Detail!$G$2:$G$1025,Storage_Share_Detail!$A$2:$A$1025,"Opti",Storage_Share_Detail!$C$2:$C$1025,$A27,Storage_Share_Detail!$D$2:$D$1025,2030)</f>
        <v>#REF!</v>
      </c>
      <c r="I27" s="98" t="e">
        <f>AVERAGEIFS(Storage_Share_Detail!$G$2:$G$1025,Storage_Share_Detail!$A$2:$A$1025,"Opti",Storage_Share_Detail!$C$2:$C$1025,$A27,Storage_Share_Detail!$D$2:$D$1025,2040)</f>
        <v>#REF!</v>
      </c>
      <c r="J27" s="98" t="e">
        <f>AVERAGEIFS(Storage_Share_Detail!$G$2:$G$1025,Storage_Share_Detail!$A$2:$A$1025,"Opti",Storage_Share_Detail!$C$2:$C$1025,$A27,Storage_Share_Detail!$D$2:$D$1025,2050)</f>
        <v>#REF!</v>
      </c>
      <c r="K27" s="99" t="e">
        <f>AVERAGEIFS(Storage_Share_Detail!$K$2:$K$1025,Storage_Share_Detail!$A$2:$A$1025,"Opti",Storage_Share_Detail!$C$2:$C$1025,$A27)</f>
        <v>#REF!</v>
      </c>
      <c r="L27" s="98" t="e">
        <f t="shared" si="0"/>
        <v>#REF!</v>
      </c>
    </row>
    <row r="28" spans="1:12" ht="15" customHeight="1" x14ac:dyDescent="0.2">
      <c r="A28" s="97" t="s">
        <v>68</v>
      </c>
      <c r="B28" s="98" t="e">
        <f>AVERAGEIFS(Storage_Share_Detail!$G$2:$G$1025,Storage_Share_Detail!$A$2:$A$1025,"Init",Storage_Share_Detail!$C$2:$C$1025,$A28,Storage_Share_Detail!$D$2:$D$1025,2020)</f>
        <v>#REF!</v>
      </c>
      <c r="C28" s="98" t="e">
        <f>AVERAGEIFS(Storage_Share_Detail!$G$2:$G$1025,Storage_Share_Detail!$A$2:$A$1025,"Init",Storage_Share_Detail!$C$2:$C$1025,$A28,Storage_Share_Detail!$D$2:$D$1025,2030)</f>
        <v>#REF!</v>
      </c>
      <c r="D28" s="98" t="e">
        <f>AVERAGEIFS(Storage_Share_Detail!$G$2:$G$1025,Storage_Share_Detail!$A$2:$A$1025,"Init",Storage_Share_Detail!$C$2:$C$1025,$A28,Storage_Share_Detail!$D$2:$D$1025,2040)</f>
        <v>#REF!</v>
      </c>
      <c r="E28" s="98" t="e">
        <f>AVERAGEIFS(Storage_Share_Detail!$G$2:$G$1025,Storage_Share_Detail!$A$2:$A$1025,"Init",Storage_Share_Detail!$C$2:$C$1025,$A28,Storage_Share_Detail!$D$2:$D$1025,2050)</f>
        <v>#REF!</v>
      </c>
      <c r="F28" s="99" t="e">
        <f>AVERAGEIFS(Storage_Share_Detail!$K$2:$K$1025,Storage_Share_Detail!$A$2:$A$1025,"Init",Storage_Share_Detail!$C$2:$C$1025,$A28)</f>
        <v>#REF!</v>
      </c>
      <c r="G28" s="98" t="e">
        <f>AVERAGEIFS(Storage_Share_Detail!$G$2:$G$1025,Storage_Share_Detail!$A$2:$A$1025,"Opti",Storage_Share_Detail!$C$2:$C$1025,$A28,Storage_Share_Detail!$D$2:$D$1025,2020)</f>
        <v>#REF!</v>
      </c>
      <c r="H28" s="98" t="e">
        <f>AVERAGEIFS(Storage_Share_Detail!$G$2:$G$1025,Storage_Share_Detail!$A$2:$A$1025,"Opti",Storage_Share_Detail!$C$2:$C$1025,$A28,Storage_Share_Detail!$D$2:$D$1025,2030)</f>
        <v>#REF!</v>
      </c>
      <c r="I28" s="98" t="e">
        <f>AVERAGEIFS(Storage_Share_Detail!$G$2:$G$1025,Storage_Share_Detail!$A$2:$A$1025,"Opti",Storage_Share_Detail!$C$2:$C$1025,$A28,Storage_Share_Detail!$D$2:$D$1025,2040)</f>
        <v>#REF!</v>
      </c>
      <c r="J28" s="98" t="e">
        <f>AVERAGEIFS(Storage_Share_Detail!$G$2:$G$1025,Storage_Share_Detail!$A$2:$A$1025,"Opti",Storage_Share_Detail!$C$2:$C$1025,$A28,Storage_Share_Detail!$D$2:$D$1025,2050)</f>
        <v>#REF!</v>
      </c>
      <c r="K28" s="99" t="e">
        <f>AVERAGEIFS(Storage_Share_Detail!$K$2:$K$1025,Storage_Share_Detail!$A$2:$A$1025,"Opti",Storage_Share_Detail!$C$2:$C$1025,$A28)</f>
        <v>#REF!</v>
      </c>
      <c r="L28" s="98" t="e">
        <f t="shared" si="0"/>
        <v>#REF!</v>
      </c>
    </row>
    <row r="29" spans="1:12" ht="15" customHeight="1" x14ac:dyDescent="0.2">
      <c r="A29" s="97" t="s">
        <v>69</v>
      </c>
      <c r="B29" s="98" t="e">
        <f>AVERAGEIFS(Storage_Share_Detail!$G$2:$G$1025,Storage_Share_Detail!$A$2:$A$1025,"Init",Storage_Share_Detail!$C$2:$C$1025,$A29,Storage_Share_Detail!$D$2:$D$1025,2020)</f>
        <v>#REF!</v>
      </c>
      <c r="C29" s="98" t="e">
        <f>AVERAGEIFS(Storage_Share_Detail!$G$2:$G$1025,Storage_Share_Detail!$A$2:$A$1025,"Init",Storage_Share_Detail!$C$2:$C$1025,$A29,Storage_Share_Detail!$D$2:$D$1025,2030)</f>
        <v>#REF!</v>
      </c>
      <c r="D29" s="98" t="e">
        <f>AVERAGEIFS(Storage_Share_Detail!$G$2:$G$1025,Storage_Share_Detail!$A$2:$A$1025,"Init",Storage_Share_Detail!$C$2:$C$1025,$A29,Storage_Share_Detail!$D$2:$D$1025,2040)</f>
        <v>#REF!</v>
      </c>
      <c r="E29" s="98" t="e">
        <f>AVERAGEIFS(Storage_Share_Detail!$G$2:$G$1025,Storage_Share_Detail!$A$2:$A$1025,"Init",Storage_Share_Detail!$C$2:$C$1025,$A29,Storage_Share_Detail!$D$2:$D$1025,2050)</f>
        <v>#REF!</v>
      </c>
      <c r="F29" s="99" t="e">
        <f>AVERAGEIFS(Storage_Share_Detail!$K$2:$K$1025,Storage_Share_Detail!$A$2:$A$1025,"Init",Storage_Share_Detail!$C$2:$C$1025,$A29)</f>
        <v>#REF!</v>
      </c>
      <c r="G29" s="98" t="e">
        <f>AVERAGEIFS(Storage_Share_Detail!$G$2:$G$1025,Storage_Share_Detail!$A$2:$A$1025,"Opti",Storage_Share_Detail!$C$2:$C$1025,$A29,Storage_Share_Detail!$D$2:$D$1025,2020)</f>
        <v>#REF!</v>
      </c>
      <c r="H29" s="98" t="e">
        <f>AVERAGEIFS(Storage_Share_Detail!$G$2:$G$1025,Storage_Share_Detail!$A$2:$A$1025,"Opti",Storage_Share_Detail!$C$2:$C$1025,$A29,Storage_Share_Detail!$D$2:$D$1025,2030)</f>
        <v>#REF!</v>
      </c>
      <c r="I29" s="98" t="e">
        <f>AVERAGEIFS(Storage_Share_Detail!$G$2:$G$1025,Storage_Share_Detail!$A$2:$A$1025,"Opti",Storage_Share_Detail!$C$2:$C$1025,$A29,Storage_Share_Detail!$D$2:$D$1025,2040)</f>
        <v>#REF!</v>
      </c>
      <c r="J29" s="98" t="e">
        <f>AVERAGEIFS(Storage_Share_Detail!$G$2:$G$1025,Storage_Share_Detail!$A$2:$A$1025,"Opti",Storage_Share_Detail!$C$2:$C$1025,$A29,Storage_Share_Detail!$D$2:$D$1025,2050)</f>
        <v>#REF!</v>
      </c>
      <c r="K29" s="99" t="e">
        <f>AVERAGEIFS(Storage_Share_Detail!$K$2:$K$1025,Storage_Share_Detail!$A$2:$A$1025,"Opti",Storage_Share_Detail!$C$2:$C$1025,$A29)</f>
        <v>#REF!</v>
      </c>
      <c r="L29" s="98" t="e">
        <f t="shared" si="0"/>
        <v>#REF!</v>
      </c>
    </row>
    <row r="30" spans="1:12" ht="15" customHeight="1" x14ac:dyDescent="0.2">
      <c r="A30" s="97" t="s">
        <v>70</v>
      </c>
      <c r="B30" s="98" t="e">
        <f>AVERAGEIFS(Storage_Share_Detail!$G$2:$G$1025,Storage_Share_Detail!$A$2:$A$1025,"Init",Storage_Share_Detail!$C$2:$C$1025,$A30,Storage_Share_Detail!$D$2:$D$1025,2020)</f>
        <v>#REF!</v>
      </c>
      <c r="C30" s="98" t="e">
        <f>AVERAGEIFS(Storage_Share_Detail!$G$2:$G$1025,Storage_Share_Detail!$A$2:$A$1025,"Init",Storage_Share_Detail!$C$2:$C$1025,$A30,Storage_Share_Detail!$D$2:$D$1025,2030)</f>
        <v>#REF!</v>
      </c>
      <c r="D30" s="98" t="e">
        <f>AVERAGEIFS(Storage_Share_Detail!$G$2:$G$1025,Storage_Share_Detail!$A$2:$A$1025,"Init",Storage_Share_Detail!$C$2:$C$1025,$A30,Storage_Share_Detail!$D$2:$D$1025,2040)</f>
        <v>#REF!</v>
      </c>
      <c r="E30" s="98" t="e">
        <f>AVERAGEIFS(Storage_Share_Detail!$G$2:$G$1025,Storage_Share_Detail!$A$2:$A$1025,"Init",Storage_Share_Detail!$C$2:$C$1025,$A30,Storage_Share_Detail!$D$2:$D$1025,2050)</f>
        <v>#REF!</v>
      </c>
      <c r="F30" s="99" t="e">
        <f>AVERAGEIFS(Storage_Share_Detail!$K$2:$K$1025,Storage_Share_Detail!$A$2:$A$1025,"Init",Storage_Share_Detail!$C$2:$C$1025,$A30)</f>
        <v>#REF!</v>
      </c>
      <c r="G30" s="98" t="e">
        <f>AVERAGEIFS(Storage_Share_Detail!$G$2:$G$1025,Storage_Share_Detail!$A$2:$A$1025,"Opti",Storage_Share_Detail!$C$2:$C$1025,$A30,Storage_Share_Detail!$D$2:$D$1025,2020)</f>
        <v>#REF!</v>
      </c>
      <c r="H30" s="98" t="e">
        <f>AVERAGEIFS(Storage_Share_Detail!$G$2:$G$1025,Storage_Share_Detail!$A$2:$A$1025,"Opti",Storage_Share_Detail!$C$2:$C$1025,$A30,Storage_Share_Detail!$D$2:$D$1025,2030)</f>
        <v>#REF!</v>
      </c>
      <c r="I30" s="98" t="e">
        <f>AVERAGEIFS(Storage_Share_Detail!$G$2:$G$1025,Storage_Share_Detail!$A$2:$A$1025,"Opti",Storage_Share_Detail!$C$2:$C$1025,$A30,Storage_Share_Detail!$D$2:$D$1025,2040)</f>
        <v>#REF!</v>
      </c>
      <c r="J30" s="98" t="e">
        <f>AVERAGEIFS(Storage_Share_Detail!$G$2:$G$1025,Storage_Share_Detail!$A$2:$A$1025,"Opti",Storage_Share_Detail!$C$2:$C$1025,$A30,Storage_Share_Detail!$D$2:$D$1025,2050)</f>
        <v>#REF!</v>
      </c>
      <c r="K30" s="99" t="e">
        <f>AVERAGEIFS(Storage_Share_Detail!$K$2:$K$1025,Storage_Share_Detail!$A$2:$A$1025,"Opti",Storage_Share_Detail!$C$2:$C$1025,$A30)</f>
        <v>#REF!</v>
      </c>
      <c r="L30" s="98" t="e">
        <f t="shared" si="0"/>
        <v>#REF!</v>
      </c>
    </row>
    <row r="31" spans="1:12" ht="15" customHeight="1" x14ac:dyDescent="0.2">
      <c r="A31" s="97" t="s">
        <v>71</v>
      </c>
      <c r="B31" s="98" t="e">
        <f>AVERAGEIFS(Storage_Share_Detail!$G$2:$G$1025,Storage_Share_Detail!$A$2:$A$1025,"Init",Storage_Share_Detail!$C$2:$C$1025,$A31,Storage_Share_Detail!$D$2:$D$1025,2020)</f>
        <v>#REF!</v>
      </c>
      <c r="C31" s="98" t="e">
        <f>AVERAGEIFS(Storage_Share_Detail!$G$2:$G$1025,Storage_Share_Detail!$A$2:$A$1025,"Init",Storage_Share_Detail!$C$2:$C$1025,$A31,Storage_Share_Detail!$D$2:$D$1025,2030)</f>
        <v>#REF!</v>
      </c>
      <c r="D31" s="98" t="e">
        <f>AVERAGEIFS(Storage_Share_Detail!$G$2:$G$1025,Storage_Share_Detail!$A$2:$A$1025,"Init",Storage_Share_Detail!$C$2:$C$1025,$A31,Storage_Share_Detail!$D$2:$D$1025,2040)</f>
        <v>#REF!</v>
      </c>
      <c r="E31" s="98" t="e">
        <f>AVERAGEIFS(Storage_Share_Detail!$G$2:$G$1025,Storage_Share_Detail!$A$2:$A$1025,"Init",Storage_Share_Detail!$C$2:$C$1025,$A31,Storage_Share_Detail!$D$2:$D$1025,2050)</f>
        <v>#REF!</v>
      </c>
      <c r="F31" s="99" t="e">
        <f>AVERAGEIFS(Storage_Share_Detail!$K$2:$K$1025,Storage_Share_Detail!$A$2:$A$1025,"Init",Storage_Share_Detail!$C$2:$C$1025,$A31)</f>
        <v>#REF!</v>
      </c>
      <c r="G31" s="98" t="e">
        <f>AVERAGEIFS(Storage_Share_Detail!$G$2:$G$1025,Storage_Share_Detail!$A$2:$A$1025,"Opti",Storage_Share_Detail!$C$2:$C$1025,$A31,Storage_Share_Detail!$D$2:$D$1025,2020)</f>
        <v>#REF!</v>
      </c>
      <c r="H31" s="98" t="e">
        <f>AVERAGEIFS(Storage_Share_Detail!$G$2:$G$1025,Storage_Share_Detail!$A$2:$A$1025,"Opti",Storage_Share_Detail!$C$2:$C$1025,$A31,Storage_Share_Detail!$D$2:$D$1025,2030)</f>
        <v>#REF!</v>
      </c>
      <c r="I31" s="98" t="e">
        <f>AVERAGEIFS(Storage_Share_Detail!$G$2:$G$1025,Storage_Share_Detail!$A$2:$A$1025,"Opti",Storage_Share_Detail!$C$2:$C$1025,$A31,Storage_Share_Detail!$D$2:$D$1025,2040)</f>
        <v>#REF!</v>
      </c>
      <c r="J31" s="98" t="e">
        <f>AVERAGEIFS(Storage_Share_Detail!$G$2:$G$1025,Storage_Share_Detail!$A$2:$A$1025,"Opti",Storage_Share_Detail!$C$2:$C$1025,$A31,Storage_Share_Detail!$D$2:$D$1025,2050)</f>
        <v>#REF!</v>
      </c>
      <c r="K31" s="99" t="e">
        <f>AVERAGEIFS(Storage_Share_Detail!$K$2:$K$1025,Storage_Share_Detail!$A$2:$A$1025,"Opti",Storage_Share_Detail!$C$2:$C$1025,$A31)</f>
        <v>#REF!</v>
      </c>
      <c r="L31" s="98" t="e">
        <f t="shared" si="0"/>
        <v>#REF!</v>
      </c>
    </row>
    <row r="32" spans="1:12" ht="15" customHeight="1" x14ac:dyDescent="0.2">
      <c r="A32" s="97" t="s">
        <v>73</v>
      </c>
      <c r="B32" s="98" t="e">
        <f>AVERAGEIFS(Storage_Share_Detail!$G$2:$G$1025,Storage_Share_Detail!$A$2:$A$1025,"Init",Storage_Share_Detail!$C$2:$C$1025,$A32,Storage_Share_Detail!$D$2:$D$1025,2020)</f>
        <v>#REF!</v>
      </c>
      <c r="C32" s="98" t="e">
        <f>AVERAGEIFS(Storage_Share_Detail!$G$2:$G$1025,Storage_Share_Detail!$A$2:$A$1025,"Init",Storage_Share_Detail!$C$2:$C$1025,$A32,Storage_Share_Detail!$D$2:$D$1025,2030)</f>
        <v>#REF!</v>
      </c>
      <c r="D32" s="98" t="e">
        <f>AVERAGEIFS(Storage_Share_Detail!$G$2:$G$1025,Storage_Share_Detail!$A$2:$A$1025,"Init",Storage_Share_Detail!$C$2:$C$1025,$A32,Storage_Share_Detail!$D$2:$D$1025,2040)</f>
        <v>#REF!</v>
      </c>
      <c r="E32" s="98" t="e">
        <f>AVERAGEIFS(Storage_Share_Detail!$G$2:$G$1025,Storage_Share_Detail!$A$2:$A$1025,"Init",Storage_Share_Detail!$C$2:$C$1025,$A32,Storage_Share_Detail!$D$2:$D$1025,2050)</f>
        <v>#REF!</v>
      </c>
      <c r="F32" s="99" t="e">
        <f>AVERAGEIFS(Storage_Share_Detail!$K$2:$K$1025,Storage_Share_Detail!$A$2:$A$1025,"Init",Storage_Share_Detail!$C$2:$C$1025,$A32)</f>
        <v>#REF!</v>
      </c>
      <c r="G32" s="98" t="e">
        <f>AVERAGEIFS(Storage_Share_Detail!$G$2:$G$1025,Storage_Share_Detail!$A$2:$A$1025,"Opti",Storage_Share_Detail!$C$2:$C$1025,$A32,Storage_Share_Detail!$D$2:$D$1025,2020)</f>
        <v>#REF!</v>
      </c>
      <c r="H32" s="98" t="e">
        <f>AVERAGEIFS(Storage_Share_Detail!$G$2:$G$1025,Storage_Share_Detail!$A$2:$A$1025,"Opti",Storage_Share_Detail!$C$2:$C$1025,$A32,Storage_Share_Detail!$D$2:$D$1025,2030)</f>
        <v>#REF!</v>
      </c>
      <c r="I32" s="98" t="e">
        <f>AVERAGEIFS(Storage_Share_Detail!$G$2:$G$1025,Storage_Share_Detail!$A$2:$A$1025,"Opti",Storage_Share_Detail!$C$2:$C$1025,$A32,Storage_Share_Detail!$D$2:$D$1025,2040)</f>
        <v>#REF!</v>
      </c>
      <c r="J32" s="98" t="e">
        <f>AVERAGEIFS(Storage_Share_Detail!$G$2:$G$1025,Storage_Share_Detail!$A$2:$A$1025,"Opti",Storage_Share_Detail!$C$2:$C$1025,$A32,Storage_Share_Detail!$D$2:$D$1025,2050)</f>
        <v>#REF!</v>
      </c>
      <c r="K32" s="99" t="e">
        <f>AVERAGEIFS(Storage_Share_Detail!$K$2:$K$1025,Storage_Share_Detail!$A$2:$A$1025,"Opti",Storage_Share_Detail!$C$2:$C$1025,$A32)</f>
        <v>#REF!</v>
      </c>
      <c r="L32" s="98" t="e">
        <f t="shared" si="0"/>
        <v>#REF!</v>
      </c>
    </row>
    <row r="33" spans="1:12" ht="15" customHeight="1" x14ac:dyDescent="0.2">
      <c r="A33" s="97" t="s">
        <v>74</v>
      </c>
      <c r="B33" s="98" t="e">
        <f>AVERAGEIFS(Storage_Share_Detail!$G$2:$G$1025,Storage_Share_Detail!$A$2:$A$1025,"Init",Storage_Share_Detail!$C$2:$C$1025,$A33,Storage_Share_Detail!$D$2:$D$1025,2020)</f>
        <v>#REF!</v>
      </c>
      <c r="C33" s="98" t="e">
        <f>AVERAGEIFS(Storage_Share_Detail!$G$2:$G$1025,Storage_Share_Detail!$A$2:$A$1025,"Init",Storage_Share_Detail!$C$2:$C$1025,$A33,Storage_Share_Detail!$D$2:$D$1025,2030)</f>
        <v>#REF!</v>
      </c>
      <c r="D33" s="98" t="e">
        <f>AVERAGEIFS(Storage_Share_Detail!$G$2:$G$1025,Storage_Share_Detail!$A$2:$A$1025,"Init",Storage_Share_Detail!$C$2:$C$1025,$A33,Storage_Share_Detail!$D$2:$D$1025,2040)</f>
        <v>#REF!</v>
      </c>
      <c r="E33" s="98" t="e">
        <f>AVERAGEIFS(Storage_Share_Detail!$G$2:$G$1025,Storage_Share_Detail!$A$2:$A$1025,"Init",Storage_Share_Detail!$C$2:$C$1025,$A33,Storage_Share_Detail!$D$2:$D$1025,2050)</f>
        <v>#REF!</v>
      </c>
      <c r="F33" s="99" t="e">
        <f>AVERAGEIFS(Storage_Share_Detail!$K$2:$K$1025,Storage_Share_Detail!$A$2:$A$1025,"Init",Storage_Share_Detail!$C$2:$C$1025,$A33)</f>
        <v>#REF!</v>
      </c>
      <c r="G33" s="98" t="e">
        <f>AVERAGEIFS(Storage_Share_Detail!$G$2:$G$1025,Storage_Share_Detail!$A$2:$A$1025,"Opti",Storage_Share_Detail!$C$2:$C$1025,$A33,Storage_Share_Detail!$D$2:$D$1025,2020)</f>
        <v>#REF!</v>
      </c>
      <c r="H33" s="98" t="e">
        <f>AVERAGEIFS(Storage_Share_Detail!$G$2:$G$1025,Storage_Share_Detail!$A$2:$A$1025,"Opti",Storage_Share_Detail!$C$2:$C$1025,$A33,Storage_Share_Detail!$D$2:$D$1025,2030)</f>
        <v>#REF!</v>
      </c>
      <c r="I33" s="98" t="e">
        <f>AVERAGEIFS(Storage_Share_Detail!$G$2:$G$1025,Storage_Share_Detail!$A$2:$A$1025,"Opti",Storage_Share_Detail!$C$2:$C$1025,$A33,Storage_Share_Detail!$D$2:$D$1025,2040)</f>
        <v>#REF!</v>
      </c>
      <c r="J33" s="98" t="e">
        <f>AVERAGEIFS(Storage_Share_Detail!$G$2:$G$1025,Storage_Share_Detail!$A$2:$A$1025,"Opti",Storage_Share_Detail!$C$2:$C$1025,$A33,Storage_Share_Detail!$D$2:$D$1025,2050)</f>
        <v>#REF!</v>
      </c>
      <c r="K33" s="99" t="e">
        <f>AVERAGEIFS(Storage_Share_Detail!$K$2:$K$1025,Storage_Share_Detail!$A$2:$A$1025,"Opti",Storage_Share_Detail!$C$2:$C$1025,$A33)</f>
        <v>#REF!</v>
      </c>
      <c r="L33" s="98" t="e">
        <f t="shared" si="0"/>
        <v>#REF!</v>
      </c>
    </row>
    <row r="34" spans="1:12" ht="15" customHeight="1" x14ac:dyDescent="0.2">
      <c r="A34" s="97" t="s">
        <v>75</v>
      </c>
      <c r="B34" s="98" t="e">
        <f>AVERAGEIFS(Storage_Share_Detail!$G$2:$G$1025,Storage_Share_Detail!$A$2:$A$1025,"Init",Storage_Share_Detail!$C$2:$C$1025,$A34,Storage_Share_Detail!$D$2:$D$1025,2020)</f>
        <v>#REF!</v>
      </c>
      <c r="C34" s="98" t="e">
        <f>AVERAGEIFS(Storage_Share_Detail!$G$2:$G$1025,Storage_Share_Detail!$A$2:$A$1025,"Init",Storage_Share_Detail!$C$2:$C$1025,$A34,Storage_Share_Detail!$D$2:$D$1025,2030)</f>
        <v>#REF!</v>
      </c>
      <c r="D34" s="98" t="e">
        <f>AVERAGEIFS(Storage_Share_Detail!$G$2:$G$1025,Storage_Share_Detail!$A$2:$A$1025,"Init",Storage_Share_Detail!$C$2:$C$1025,$A34,Storage_Share_Detail!$D$2:$D$1025,2040)</f>
        <v>#REF!</v>
      </c>
      <c r="E34" s="98" t="e">
        <f>AVERAGEIFS(Storage_Share_Detail!$G$2:$G$1025,Storage_Share_Detail!$A$2:$A$1025,"Init",Storage_Share_Detail!$C$2:$C$1025,$A34,Storage_Share_Detail!$D$2:$D$1025,2050)</f>
        <v>#REF!</v>
      </c>
      <c r="F34" s="99" t="e">
        <f>AVERAGEIFS(Storage_Share_Detail!$K$2:$K$1025,Storage_Share_Detail!$A$2:$A$1025,"Init",Storage_Share_Detail!$C$2:$C$1025,$A34)</f>
        <v>#REF!</v>
      </c>
      <c r="G34" s="98" t="e">
        <f>AVERAGEIFS(Storage_Share_Detail!$G$2:$G$1025,Storage_Share_Detail!$A$2:$A$1025,"Opti",Storage_Share_Detail!$C$2:$C$1025,$A34,Storage_Share_Detail!$D$2:$D$1025,2020)</f>
        <v>#REF!</v>
      </c>
      <c r="H34" s="98" t="e">
        <f>AVERAGEIFS(Storage_Share_Detail!$G$2:$G$1025,Storage_Share_Detail!$A$2:$A$1025,"Opti",Storage_Share_Detail!$C$2:$C$1025,$A34,Storage_Share_Detail!$D$2:$D$1025,2030)</f>
        <v>#REF!</v>
      </c>
      <c r="I34" s="98" t="e">
        <f>AVERAGEIFS(Storage_Share_Detail!$G$2:$G$1025,Storage_Share_Detail!$A$2:$A$1025,"Opti",Storage_Share_Detail!$C$2:$C$1025,$A34,Storage_Share_Detail!$D$2:$D$1025,2040)</f>
        <v>#REF!</v>
      </c>
      <c r="J34" s="98" t="e">
        <f>AVERAGEIFS(Storage_Share_Detail!$G$2:$G$1025,Storage_Share_Detail!$A$2:$A$1025,"Opti",Storage_Share_Detail!$C$2:$C$1025,$A34,Storage_Share_Detail!$D$2:$D$1025,2050)</f>
        <v>#REF!</v>
      </c>
      <c r="K34" s="99" t="e">
        <f>AVERAGEIFS(Storage_Share_Detail!$K$2:$K$1025,Storage_Share_Detail!$A$2:$A$1025,"Opti",Storage_Share_Detail!$C$2:$C$1025,$A34)</f>
        <v>#REF!</v>
      </c>
      <c r="L34" s="98" t="e">
        <f t="shared" si="0"/>
        <v>#REF!</v>
      </c>
    </row>
    <row r="35" spans="1:12" ht="15" customHeight="1" x14ac:dyDescent="0.2">
      <c r="A35" s="97" t="s">
        <v>76</v>
      </c>
      <c r="B35" s="98" t="e">
        <f>AVERAGEIFS(Storage_Share_Detail!$G$2:$G$1025,Storage_Share_Detail!$A$2:$A$1025,"Init",Storage_Share_Detail!$C$2:$C$1025,$A35,Storage_Share_Detail!$D$2:$D$1025,2020)</f>
        <v>#REF!</v>
      </c>
      <c r="C35" s="98" t="e">
        <f>AVERAGEIFS(Storage_Share_Detail!$G$2:$G$1025,Storage_Share_Detail!$A$2:$A$1025,"Init",Storage_Share_Detail!$C$2:$C$1025,$A35,Storage_Share_Detail!$D$2:$D$1025,2030)</f>
        <v>#REF!</v>
      </c>
      <c r="D35" s="98" t="e">
        <f>AVERAGEIFS(Storage_Share_Detail!$G$2:$G$1025,Storage_Share_Detail!$A$2:$A$1025,"Init",Storage_Share_Detail!$C$2:$C$1025,$A35,Storage_Share_Detail!$D$2:$D$1025,2040)</f>
        <v>#REF!</v>
      </c>
      <c r="E35" s="98" t="e">
        <f>AVERAGEIFS(Storage_Share_Detail!$G$2:$G$1025,Storage_Share_Detail!$A$2:$A$1025,"Init",Storage_Share_Detail!$C$2:$C$1025,$A35,Storage_Share_Detail!$D$2:$D$1025,2050)</f>
        <v>#REF!</v>
      </c>
      <c r="F35" s="99" t="e">
        <f>AVERAGEIFS(Storage_Share_Detail!$K$2:$K$1025,Storage_Share_Detail!$A$2:$A$1025,"Init",Storage_Share_Detail!$C$2:$C$1025,$A35)</f>
        <v>#REF!</v>
      </c>
      <c r="G35" s="98" t="e">
        <f>AVERAGEIFS(Storage_Share_Detail!$G$2:$G$1025,Storage_Share_Detail!$A$2:$A$1025,"Opti",Storage_Share_Detail!$C$2:$C$1025,$A35,Storage_Share_Detail!$D$2:$D$1025,2020)</f>
        <v>#REF!</v>
      </c>
      <c r="H35" s="98" t="e">
        <f>AVERAGEIFS(Storage_Share_Detail!$G$2:$G$1025,Storage_Share_Detail!$A$2:$A$1025,"Opti",Storage_Share_Detail!$C$2:$C$1025,$A35,Storage_Share_Detail!$D$2:$D$1025,2030)</f>
        <v>#REF!</v>
      </c>
      <c r="I35" s="98" t="e">
        <f>AVERAGEIFS(Storage_Share_Detail!$G$2:$G$1025,Storage_Share_Detail!$A$2:$A$1025,"Opti",Storage_Share_Detail!$C$2:$C$1025,$A35,Storage_Share_Detail!$D$2:$D$1025,2040)</f>
        <v>#REF!</v>
      </c>
      <c r="J35" s="98" t="e">
        <f>AVERAGEIFS(Storage_Share_Detail!$G$2:$G$1025,Storage_Share_Detail!$A$2:$A$1025,"Opti",Storage_Share_Detail!$C$2:$C$1025,$A35,Storage_Share_Detail!$D$2:$D$1025,2050)</f>
        <v>#REF!</v>
      </c>
      <c r="K35" s="99" t="e">
        <f>AVERAGEIFS(Storage_Share_Detail!$K$2:$K$1025,Storage_Share_Detail!$A$2:$A$1025,"Opti",Storage_Share_Detail!$C$2:$C$1025,$A35)</f>
        <v>#REF!</v>
      </c>
      <c r="L35" s="98" t="e">
        <f t="shared" si="0"/>
        <v>#REF!</v>
      </c>
    </row>
    <row r="36" spans="1:12" ht="15" customHeight="1" x14ac:dyDescent="0.2">
      <c r="A36" s="97" t="s">
        <v>77</v>
      </c>
      <c r="B36" s="98" t="e">
        <f>AVERAGEIFS(Storage_Share_Detail!$G$2:$G$1025,Storage_Share_Detail!$A$2:$A$1025,"Init",Storage_Share_Detail!$C$2:$C$1025,$A36,Storage_Share_Detail!$D$2:$D$1025,2020)</f>
        <v>#REF!</v>
      </c>
      <c r="C36" s="98" t="e">
        <f>AVERAGEIFS(Storage_Share_Detail!$G$2:$G$1025,Storage_Share_Detail!$A$2:$A$1025,"Init",Storage_Share_Detail!$C$2:$C$1025,$A36,Storage_Share_Detail!$D$2:$D$1025,2030)</f>
        <v>#REF!</v>
      </c>
      <c r="D36" s="98" t="e">
        <f>AVERAGEIFS(Storage_Share_Detail!$G$2:$G$1025,Storage_Share_Detail!$A$2:$A$1025,"Init",Storage_Share_Detail!$C$2:$C$1025,$A36,Storage_Share_Detail!$D$2:$D$1025,2040)</f>
        <v>#REF!</v>
      </c>
      <c r="E36" s="98" t="e">
        <f>AVERAGEIFS(Storage_Share_Detail!$G$2:$G$1025,Storage_Share_Detail!$A$2:$A$1025,"Init",Storage_Share_Detail!$C$2:$C$1025,$A36,Storage_Share_Detail!$D$2:$D$1025,2050)</f>
        <v>#REF!</v>
      </c>
      <c r="F36" s="99" t="e">
        <f>AVERAGEIFS(Storage_Share_Detail!$K$2:$K$1025,Storage_Share_Detail!$A$2:$A$1025,"Init",Storage_Share_Detail!$C$2:$C$1025,$A36)</f>
        <v>#REF!</v>
      </c>
      <c r="G36" s="98" t="e">
        <f>AVERAGEIFS(Storage_Share_Detail!$G$2:$G$1025,Storage_Share_Detail!$A$2:$A$1025,"Opti",Storage_Share_Detail!$C$2:$C$1025,$A36,Storage_Share_Detail!$D$2:$D$1025,2020)</f>
        <v>#REF!</v>
      </c>
      <c r="H36" s="98" t="e">
        <f>AVERAGEIFS(Storage_Share_Detail!$G$2:$G$1025,Storage_Share_Detail!$A$2:$A$1025,"Opti",Storage_Share_Detail!$C$2:$C$1025,$A36,Storage_Share_Detail!$D$2:$D$1025,2030)</f>
        <v>#REF!</v>
      </c>
      <c r="I36" s="98" t="e">
        <f>AVERAGEIFS(Storage_Share_Detail!$G$2:$G$1025,Storage_Share_Detail!$A$2:$A$1025,"Opti",Storage_Share_Detail!$C$2:$C$1025,$A36,Storage_Share_Detail!$D$2:$D$1025,2040)</f>
        <v>#REF!</v>
      </c>
      <c r="J36" s="98" t="e">
        <f>AVERAGEIFS(Storage_Share_Detail!$G$2:$G$1025,Storage_Share_Detail!$A$2:$A$1025,"Opti",Storage_Share_Detail!$C$2:$C$1025,$A36,Storage_Share_Detail!$D$2:$D$1025,2050)</f>
        <v>#REF!</v>
      </c>
      <c r="K36" s="99" t="e">
        <f>AVERAGEIFS(Storage_Share_Detail!$K$2:$K$1025,Storage_Share_Detail!$A$2:$A$1025,"Opti",Storage_Share_Detail!$C$2:$C$1025,$A36)</f>
        <v>#REF!</v>
      </c>
      <c r="L36" s="98" t="e">
        <f t="shared" si="0"/>
        <v>#REF!</v>
      </c>
    </row>
    <row r="37" spans="1:12" ht="15" customHeight="1" x14ac:dyDescent="0.2">
      <c r="A37" s="97" t="s">
        <v>78</v>
      </c>
      <c r="B37" s="98" t="e">
        <f>AVERAGEIFS(Storage_Share_Detail!$G$2:$G$1025,Storage_Share_Detail!$A$2:$A$1025,"Init",Storage_Share_Detail!$C$2:$C$1025,$A37,Storage_Share_Detail!$D$2:$D$1025,2020)</f>
        <v>#REF!</v>
      </c>
      <c r="C37" s="98" t="e">
        <f>AVERAGEIFS(Storage_Share_Detail!$G$2:$G$1025,Storage_Share_Detail!$A$2:$A$1025,"Init",Storage_Share_Detail!$C$2:$C$1025,$A37,Storage_Share_Detail!$D$2:$D$1025,2030)</f>
        <v>#REF!</v>
      </c>
      <c r="D37" s="98" t="e">
        <f>AVERAGEIFS(Storage_Share_Detail!$G$2:$G$1025,Storage_Share_Detail!$A$2:$A$1025,"Init",Storage_Share_Detail!$C$2:$C$1025,$A37,Storage_Share_Detail!$D$2:$D$1025,2040)</f>
        <v>#REF!</v>
      </c>
      <c r="E37" s="98" t="e">
        <f>AVERAGEIFS(Storage_Share_Detail!$G$2:$G$1025,Storage_Share_Detail!$A$2:$A$1025,"Init",Storage_Share_Detail!$C$2:$C$1025,$A37,Storage_Share_Detail!$D$2:$D$1025,2050)</f>
        <v>#REF!</v>
      </c>
      <c r="F37" s="99" t="e">
        <f>AVERAGEIFS(Storage_Share_Detail!$K$2:$K$1025,Storage_Share_Detail!$A$2:$A$1025,"Init",Storage_Share_Detail!$C$2:$C$1025,$A37)</f>
        <v>#REF!</v>
      </c>
      <c r="G37" s="98" t="e">
        <f>AVERAGEIFS(Storage_Share_Detail!$G$2:$G$1025,Storage_Share_Detail!$A$2:$A$1025,"Opti",Storage_Share_Detail!$C$2:$C$1025,$A37,Storage_Share_Detail!$D$2:$D$1025,2020)</f>
        <v>#REF!</v>
      </c>
      <c r="H37" s="98" t="e">
        <f>AVERAGEIFS(Storage_Share_Detail!$G$2:$G$1025,Storage_Share_Detail!$A$2:$A$1025,"Opti",Storage_Share_Detail!$C$2:$C$1025,$A37,Storage_Share_Detail!$D$2:$D$1025,2030)</f>
        <v>#REF!</v>
      </c>
      <c r="I37" s="98" t="e">
        <f>AVERAGEIFS(Storage_Share_Detail!$G$2:$G$1025,Storage_Share_Detail!$A$2:$A$1025,"Opti",Storage_Share_Detail!$C$2:$C$1025,$A37,Storage_Share_Detail!$D$2:$D$1025,2040)</f>
        <v>#REF!</v>
      </c>
      <c r="J37" s="98" t="e">
        <f>AVERAGEIFS(Storage_Share_Detail!$G$2:$G$1025,Storage_Share_Detail!$A$2:$A$1025,"Opti",Storage_Share_Detail!$C$2:$C$1025,$A37,Storage_Share_Detail!$D$2:$D$1025,2050)</f>
        <v>#REF!</v>
      </c>
      <c r="K37" s="99" t="e">
        <f>AVERAGEIFS(Storage_Share_Detail!$K$2:$K$1025,Storage_Share_Detail!$A$2:$A$1025,"Opti",Storage_Share_Detail!$C$2:$C$1025,$A37)</f>
        <v>#REF!</v>
      </c>
      <c r="L37" s="98" t="e">
        <f t="shared" si="0"/>
        <v>#REF!</v>
      </c>
    </row>
  </sheetData>
  <mergeCells count="3">
    <mergeCell ref="A4:A5"/>
    <mergeCell ref="G4:J4"/>
    <mergeCell ref="B4:E4"/>
  </mergeCells>
  <conditionalFormatting sqref="B6:J37">
    <cfRule type="colorScale" priority="2">
      <colorScale>
        <cfvo type="min"/>
        <cfvo type="max"/>
        <color rgb="FFFFFFFF"/>
        <color rgb="FFF8696B"/>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O38"/>
  <sheetViews>
    <sheetView zoomScaleNormal="100" workbookViewId="0">
      <pane xSplit="1" ySplit="6" topLeftCell="U7" activePane="bottomRight" state="frozen"/>
      <selection pane="topRight" activeCell="B1" sqref="B1"/>
      <selection pane="bottomLeft" activeCell="A7" sqref="A7"/>
      <selection pane="bottomRight" activeCell="AO11" sqref="AO11"/>
    </sheetView>
  </sheetViews>
  <sheetFormatPr baseColWidth="10" defaultColWidth="8.6640625" defaultRowHeight="15" x14ac:dyDescent="0.2"/>
  <cols>
    <col min="1" max="1" width="16" customWidth="1"/>
    <col min="2" max="41" width="9" customWidth="1"/>
  </cols>
  <sheetData>
    <row r="1" spans="1:41" ht="17" customHeight="1" x14ac:dyDescent="0.2">
      <c r="A1" s="100" t="s">
        <v>221</v>
      </c>
    </row>
    <row r="2" spans="1:41" ht="93" customHeight="1" x14ac:dyDescent="0.2">
      <c r="A2" s="101" t="s">
        <v>222</v>
      </c>
    </row>
    <row r="4" spans="1:41" ht="15" customHeight="1" x14ac:dyDescent="0.2">
      <c r="A4" s="237" t="s">
        <v>119</v>
      </c>
      <c r="B4" s="241" t="s">
        <v>206</v>
      </c>
      <c r="C4" s="238"/>
      <c r="D4" s="238"/>
      <c r="E4" s="238"/>
      <c r="F4" s="238"/>
      <c r="G4" s="238"/>
      <c r="H4" s="238"/>
      <c r="I4" s="238"/>
      <c r="J4" s="238"/>
      <c r="K4" s="238"/>
      <c r="L4" s="241" t="s">
        <v>208</v>
      </c>
      <c r="M4" s="238"/>
      <c r="N4" s="238"/>
      <c r="O4" s="238"/>
      <c r="P4" s="238"/>
      <c r="Q4" s="238"/>
      <c r="R4" s="238"/>
      <c r="S4" s="238"/>
      <c r="T4" s="238"/>
      <c r="U4" s="238"/>
      <c r="V4" s="241" t="s">
        <v>209</v>
      </c>
      <c r="W4" s="238"/>
      <c r="X4" s="238"/>
      <c r="Y4" s="238"/>
      <c r="Z4" s="238"/>
      <c r="AA4" s="238"/>
      <c r="AB4" s="238"/>
      <c r="AC4" s="238"/>
      <c r="AD4" s="238"/>
      <c r="AE4" s="238"/>
      <c r="AF4" s="241" t="s">
        <v>210</v>
      </c>
      <c r="AG4" s="238"/>
      <c r="AH4" s="238"/>
      <c r="AI4" s="238"/>
      <c r="AJ4" s="238"/>
      <c r="AK4" s="238"/>
      <c r="AL4" s="238"/>
      <c r="AM4" s="238"/>
      <c r="AN4" s="238"/>
      <c r="AO4" s="238"/>
    </row>
    <row r="5" spans="1:41" ht="15" customHeight="1" x14ac:dyDescent="0.2">
      <c r="A5" s="238"/>
      <c r="B5" s="240" t="s">
        <v>205</v>
      </c>
      <c r="C5" s="238"/>
      <c r="D5" s="238"/>
      <c r="E5" s="238"/>
      <c r="F5" s="238"/>
      <c r="G5" s="240" t="s">
        <v>207</v>
      </c>
      <c r="H5" s="238"/>
      <c r="I5" s="238"/>
      <c r="J5" s="238"/>
      <c r="K5" s="238"/>
      <c r="L5" s="240" t="s">
        <v>205</v>
      </c>
      <c r="M5" s="238"/>
      <c r="N5" s="238"/>
      <c r="O5" s="238"/>
      <c r="P5" s="238"/>
      <c r="Q5" s="240" t="s">
        <v>207</v>
      </c>
      <c r="R5" s="238"/>
      <c r="S5" s="238"/>
      <c r="T5" s="238"/>
      <c r="U5" s="238"/>
      <c r="V5" s="240" t="s">
        <v>205</v>
      </c>
      <c r="W5" s="238"/>
      <c r="X5" s="238"/>
      <c r="Y5" s="238"/>
      <c r="Z5" s="238"/>
      <c r="AA5" s="240" t="s">
        <v>207</v>
      </c>
      <c r="AB5" s="238"/>
      <c r="AC5" s="238"/>
      <c r="AD5" s="238"/>
      <c r="AE5" s="238"/>
      <c r="AF5" s="240" t="s">
        <v>205</v>
      </c>
      <c r="AG5" s="238"/>
      <c r="AH5" s="238"/>
      <c r="AI5" s="238"/>
      <c r="AJ5" s="238"/>
      <c r="AK5" s="240" t="s">
        <v>207</v>
      </c>
      <c r="AL5" s="238"/>
      <c r="AM5" s="238"/>
      <c r="AN5" s="238"/>
      <c r="AO5" s="238"/>
    </row>
    <row r="6" spans="1:41" ht="30" customHeight="1" x14ac:dyDescent="0.2">
      <c r="A6" s="238"/>
      <c r="B6" s="1">
        <v>2020</v>
      </c>
      <c r="C6" s="1">
        <v>2030</v>
      </c>
      <c r="D6" s="1">
        <v>2040</v>
      </c>
      <c r="E6" s="1">
        <v>2050</v>
      </c>
      <c r="F6" s="95" t="s">
        <v>219</v>
      </c>
      <c r="G6" s="1">
        <v>2020</v>
      </c>
      <c r="H6" s="1">
        <v>2030</v>
      </c>
      <c r="I6" s="1">
        <v>2040</v>
      </c>
      <c r="J6" s="1">
        <v>2050</v>
      </c>
      <c r="K6" s="95" t="s">
        <v>219</v>
      </c>
      <c r="L6" s="1">
        <v>2020</v>
      </c>
      <c r="M6" s="1">
        <v>2030</v>
      </c>
      <c r="N6" s="1">
        <v>2040</v>
      </c>
      <c r="O6" s="1">
        <v>2050</v>
      </c>
      <c r="P6" s="95" t="s">
        <v>219</v>
      </c>
      <c r="Q6" s="1">
        <v>2020</v>
      </c>
      <c r="R6" s="1">
        <v>2030</v>
      </c>
      <c r="S6" s="1">
        <v>2040</v>
      </c>
      <c r="T6" s="1">
        <v>2050</v>
      </c>
      <c r="U6" s="95" t="s">
        <v>219</v>
      </c>
      <c r="V6" s="1">
        <v>2020</v>
      </c>
      <c r="W6" s="1">
        <v>2030</v>
      </c>
      <c r="X6" s="1">
        <v>2040</v>
      </c>
      <c r="Y6" s="1">
        <v>2050</v>
      </c>
      <c r="Z6" s="95" t="s">
        <v>219</v>
      </c>
      <c r="AA6" s="1">
        <v>2020</v>
      </c>
      <c r="AB6" s="1">
        <v>2030</v>
      </c>
      <c r="AC6" s="1">
        <v>2040</v>
      </c>
      <c r="AD6" s="1">
        <v>2050</v>
      </c>
      <c r="AE6" s="95" t="s">
        <v>219</v>
      </c>
      <c r="AF6" s="1">
        <v>2020</v>
      </c>
      <c r="AG6" s="1">
        <v>2030</v>
      </c>
      <c r="AH6" s="1">
        <v>2040</v>
      </c>
      <c r="AI6" s="1">
        <v>2050</v>
      </c>
      <c r="AJ6" s="95" t="s">
        <v>219</v>
      </c>
      <c r="AK6" s="1">
        <v>2020</v>
      </c>
      <c r="AL6" s="1">
        <v>2030</v>
      </c>
      <c r="AM6" s="1">
        <v>2040</v>
      </c>
      <c r="AN6" s="1">
        <v>2050</v>
      </c>
      <c r="AO6" s="95" t="s">
        <v>219</v>
      </c>
    </row>
    <row r="7" spans="1:41" x14ac:dyDescent="0.2">
      <c r="A7" s="102" t="s">
        <v>38</v>
      </c>
      <c r="B7" s="98">
        <f>IFERROR(AVERAGEIFS(Storage_Share_Detail!$G$2:$G$1025,Storage_Share_Detail!$A$2:$A$1025,"Init",Storage_Share_Detail!$B$2:$B$1025,"IMAGE_SSP1-26",Storage_Share_Detail!$C$2:$C$1025,$A7,Storage_Share_Detail!$D$2:$D$1025,2020),0)</f>
        <v>0</v>
      </c>
      <c r="C7" s="98">
        <f>IFERROR(AVERAGEIFS(Storage_Share_Detail!$G$2:$G$1025,Storage_Share_Detail!$A$2:$A$1025,"Init",Storage_Share_Detail!$B$2:$B$1025,"IMAGE_SSP1-26",Storage_Share_Detail!$C$2:$C$1025,$A7,Storage_Share_Detail!$D$2:$D$1025,2030),0)</f>
        <v>0</v>
      </c>
      <c r="D7" s="98">
        <f>IFERROR(AVERAGEIFS(Storage_Share_Detail!$G$2:$G$1025,Storage_Share_Detail!$A$2:$A$1025,"Init",Storage_Share_Detail!$B$2:$B$1025,"IMAGE_SSP1-26",Storage_Share_Detail!$C$2:$C$1025,$A7,Storage_Share_Detail!$D$2:$D$1025,2040),0)</f>
        <v>0</v>
      </c>
      <c r="E7" s="98">
        <f>IFERROR(AVERAGEIFS(Storage_Share_Detail!$G$2:$G$1025,Storage_Share_Detail!$A$2:$A$1025,"Init",Storage_Share_Detail!$B$2:$B$1025,"IMAGE_SSP1-26",Storage_Share_Detail!$C$2:$C$1025,$A7,Storage_Share_Detail!$D$2:$D$1025,2050),0)</f>
        <v>0</v>
      </c>
      <c r="F7" s="99">
        <f>IFERROR(AVERAGEIFS(Storage_Share_Detail!$K$2:$K$1025,Storage_Share_Detail!$A$2:$A$1025,"Init",Storage_Share_Detail!$B$2:$B$1025,"IMAGE_SSP1-26",Storage_Share_Detail!$C$2:$C$1025,$A7),0)</f>
        <v>0</v>
      </c>
      <c r="G7" s="98">
        <f>IFERROR(AVERAGEIFS(Storage_Share_Detail!$G$2:$G$1025,Storage_Share_Detail!$A$2:$A$1025,"Opti",Storage_Share_Detail!$B$2:$B$1025,"IMAGE_SSP1-26",Storage_Share_Detail!$C$2:$C$1025,$A7,Storage_Share_Detail!$D$2:$D$1025,2020),0)</f>
        <v>0</v>
      </c>
      <c r="H7" s="98">
        <f>IFERROR(AVERAGEIFS(Storage_Share_Detail!$G$2:$G$1025,Storage_Share_Detail!$A$2:$A$1025,"Opti",Storage_Share_Detail!$B$2:$B$1025,"IMAGE_SSP1-26",Storage_Share_Detail!$C$2:$C$1025,$A7,Storage_Share_Detail!$D$2:$D$1025,2030),0)</f>
        <v>0</v>
      </c>
      <c r="I7" s="98">
        <f>IFERROR(AVERAGEIFS(Storage_Share_Detail!$G$2:$G$1025,Storage_Share_Detail!$A$2:$A$1025,"Opti",Storage_Share_Detail!$B$2:$B$1025,"IMAGE_SSP1-26",Storage_Share_Detail!$C$2:$C$1025,$A7,Storage_Share_Detail!$D$2:$D$1025,2040),0)</f>
        <v>0</v>
      </c>
      <c r="J7" s="98">
        <f>IFERROR(AVERAGEIFS(Storage_Share_Detail!$G$2:$G$1025,Storage_Share_Detail!$A$2:$A$1025,"Opti",Storage_Share_Detail!$B$2:$B$1025,"IMAGE_SSP1-26",Storage_Share_Detail!$C$2:$C$1025,$A7,Storage_Share_Detail!$D$2:$D$1025,2050),0)</f>
        <v>0</v>
      </c>
      <c r="K7" s="99">
        <f>IFERROR(AVERAGEIFS(Storage_Share_Detail!$K$2:$K$1025,Storage_Share_Detail!$A$2:$A$1025,"Opti",Storage_Share_Detail!$B$2:$B$1025,"IMAGE_SSP1-26",Storage_Share_Detail!$C$2:$C$1025,$A7),0)</f>
        <v>0</v>
      </c>
      <c r="L7" s="98">
        <f>IFERROR(AVERAGEIFS(Storage_Share_Detail!$G$2:$G$1025,Storage_Share_Detail!$A$2:$A$1025,"Init",Storage_Share_Detail!$B$2:$B$1025,"MESSAGE-GLOBIOM_SSP2-26",Storage_Share_Detail!$C$2:$C$1025,$A7,Storage_Share_Detail!$D$2:$D$1025,2020),0)</f>
        <v>0</v>
      </c>
      <c r="M7" s="98">
        <f>IFERROR(AVERAGEIFS(Storage_Share_Detail!$G$2:$G$1025,Storage_Share_Detail!$A$2:$A$1025,"Init",Storage_Share_Detail!$B$2:$B$1025,"MESSAGE-GLOBIOM_SSP2-26",Storage_Share_Detail!$C$2:$C$1025,$A7,Storage_Share_Detail!$D$2:$D$1025,2030),0)</f>
        <v>0</v>
      </c>
      <c r="N7" s="98">
        <f>IFERROR(AVERAGEIFS(Storage_Share_Detail!$G$2:$G$1025,Storage_Share_Detail!$A$2:$A$1025,"Init",Storage_Share_Detail!$B$2:$B$1025,"MESSAGE-GLOBIOM_SSP2-26",Storage_Share_Detail!$C$2:$C$1025,$A7,Storage_Share_Detail!$D$2:$D$1025,2040),0)</f>
        <v>0</v>
      </c>
      <c r="O7" s="98">
        <f>IFERROR(AVERAGEIFS(Storage_Share_Detail!$G$2:$G$1025,Storage_Share_Detail!$A$2:$A$1025,"Init",Storage_Share_Detail!$B$2:$B$1025,"MESSAGE-GLOBIOM_SSP2-26",Storage_Share_Detail!$C$2:$C$1025,$A7,Storage_Share_Detail!$D$2:$D$1025,2050),0)</f>
        <v>0</v>
      </c>
      <c r="P7" s="99">
        <f>IFERROR(AVERAGEIFS(Storage_Share_Detail!$K$2:$K$1025,Storage_Share_Detail!$A$2:$A$1025,"Init",Storage_Share_Detail!$B$2:$B$1025,"MESSAGE-GLOBIOM_SSP2-26",Storage_Share_Detail!$C$2:$C$1025,$A7),0)</f>
        <v>0</v>
      </c>
      <c r="Q7" s="98">
        <f>IFERROR(AVERAGEIFS(Storage_Share_Detail!$G$2:$G$1025,Storage_Share_Detail!$A$2:$A$1025,"Opti",Storage_Share_Detail!$B$2:$B$1025,"MESSAGE-GLOBIOM_SSP2-26",Storage_Share_Detail!$C$2:$C$1025,$A7,Storage_Share_Detail!$D$2:$D$1025,2020),0)</f>
        <v>0</v>
      </c>
      <c r="R7" s="98">
        <f>IFERROR(AVERAGEIFS(Storage_Share_Detail!$G$2:$G$1025,Storage_Share_Detail!$A$2:$A$1025,"Opti",Storage_Share_Detail!$B$2:$B$1025,"MESSAGE-GLOBIOM_SSP2-26",Storage_Share_Detail!$C$2:$C$1025,$A7,Storage_Share_Detail!$D$2:$D$1025,2030),0)</f>
        <v>0</v>
      </c>
      <c r="S7" s="98">
        <f>IFERROR(AVERAGEIFS(Storage_Share_Detail!$G$2:$G$1025,Storage_Share_Detail!$A$2:$A$1025,"Opti",Storage_Share_Detail!$B$2:$B$1025,"MESSAGE-GLOBIOM_SSP2-26",Storage_Share_Detail!$C$2:$C$1025,$A7,Storage_Share_Detail!$D$2:$D$1025,2040),0)</f>
        <v>0</v>
      </c>
      <c r="T7" s="98">
        <f>IFERROR(AVERAGEIFS(Storage_Share_Detail!$G$2:$G$1025,Storage_Share_Detail!$A$2:$A$1025,"Opti",Storage_Share_Detail!$B$2:$B$1025,"MESSAGE-GLOBIOM_SSP2-26",Storage_Share_Detail!$C$2:$C$1025,$A7,Storage_Share_Detail!$D$2:$D$1025,2050),0)</f>
        <v>0</v>
      </c>
      <c r="U7" s="99">
        <f>IFERROR(AVERAGEIFS(Storage_Share_Detail!$K$2:$K$1025,Storage_Share_Detail!$A$2:$A$1025,"Opti",Storage_Share_Detail!$B$2:$B$1025,"MESSAGE-GLOBIOM_SSP2-26",Storage_Share_Detail!$C$2:$C$1025,$A7),0)</f>
        <v>0</v>
      </c>
      <c r="V7" s="98">
        <f>IFERROR(AVERAGEIFS(Storage_Share_Detail!$G$2:$G$1025,Storage_Share_Detail!$A$2:$A$1025,"Init",Storage_Share_Detail!$B$2:$B$1025,"GCAM4_SSP4-26",Storage_Share_Detail!$C$2:$C$1025,$A7,Storage_Share_Detail!$D$2:$D$1025,2020),0)</f>
        <v>0</v>
      </c>
      <c r="W7" s="98">
        <f>IFERROR(AVERAGEIFS(Storage_Share_Detail!$G$2:$G$1025,Storage_Share_Detail!$A$2:$A$1025,"Init",Storage_Share_Detail!$B$2:$B$1025,"GCAM4_SSP4-26",Storage_Share_Detail!$C$2:$C$1025,$A7,Storage_Share_Detail!$D$2:$D$1025,2030),0)</f>
        <v>0</v>
      </c>
      <c r="X7" s="98">
        <f>IFERROR(AVERAGEIFS(Storage_Share_Detail!$G$2:$G$1025,Storage_Share_Detail!$A$2:$A$1025,"Init",Storage_Share_Detail!$B$2:$B$1025,"GCAM4_SSP4-26",Storage_Share_Detail!$C$2:$C$1025,$A7,Storage_Share_Detail!$D$2:$D$1025,2040),0)</f>
        <v>0</v>
      </c>
      <c r="Y7" s="98">
        <f>IFERROR(AVERAGEIFS(Storage_Share_Detail!$G$2:$G$1025,Storage_Share_Detail!$A$2:$A$1025,"Init",Storage_Share_Detail!$B$2:$B$1025,"GCAM4_SSP4-26",Storage_Share_Detail!$C$2:$C$1025,$A7,Storage_Share_Detail!$D$2:$D$1025,2050),0)</f>
        <v>0</v>
      </c>
      <c r="Z7" s="99">
        <f>IFERROR(AVERAGEIFS(Storage_Share_Detail!$K$2:$K$1025,Storage_Share_Detail!$A$2:$A$1025,"Init",Storage_Share_Detail!$B$2:$B$1025,"GCAM4_SSP4-26",Storage_Share_Detail!$C$2:$C$1025,$A7),0)</f>
        <v>0</v>
      </c>
      <c r="AA7" s="98">
        <f>IFERROR(AVERAGEIFS(Storage_Share_Detail!$G$2:$G$1025,Storage_Share_Detail!$A$2:$A$1025,"Opti",Storage_Share_Detail!$B$2:$B$1025,"GCAM4_SSP4-26",Storage_Share_Detail!$C$2:$C$1025,$A7,Storage_Share_Detail!$D$2:$D$1025,2020),0)</f>
        <v>0</v>
      </c>
      <c r="AB7" s="98">
        <f>IFERROR(AVERAGEIFS(Storage_Share_Detail!$G$2:$G$1025,Storage_Share_Detail!$A$2:$A$1025,"Opti",Storage_Share_Detail!$B$2:$B$1025,"GCAM4_SSP4-26",Storage_Share_Detail!$C$2:$C$1025,$A7,Storage_Share_Detail!$D$2:$D$1025,2030),0)</f>
        <v>0</v>
      </c>
      <c r="AC7" s="98">
        <f>IFERROR(AVERAGEIFS(Storage_Share_Detail!$G$2:$G$1025,Storage_Share_Detail!$A$2:$A$1025,"Opti",Storage_Share_Detail!$B$2:$B$1025,"GCAM4_SSP4-26",Storage_Share_Detail!$C$2:$C$1025,$A7,Storage_Share_Detail!$D$2:$D$1025,2040),0)</f>
        <v>0</v>
      </c>
      <c r="AD7" s="98">
        <f>IFERROR(AVERAGEIFS(Storage_Share_Detail!$G$2:$G$1025,Storage_Share_Detail!$A$2:$A$1025,"Opti",Storage_Share_Detail!$B$2:$B$1025,"GCAM4_SSP4-26",Storage_Share_Detail!$C$2:$C$1025,$A7,Storage_Share_Detail!$D$2:$D$1025,2050),0)</f>
        <v>0</v>
      </c>
      <c r="AE7" s="99">
        <f>IFERROR(AVERAGEIFS(Storage_Share_Detail!$K$2:$K$1025,Storage_Share_Detail!$A$2:$A$1025,"Opti",Storage_Share_Detail!$B$2:$B$1025,"GCAM4_SSP4-26",Storage_Share_Detail!$C$2:$C$1025,$A7),0)</f>
        <v>0</v>
      </c>
      <c r="AF7" s="98">
        <f>IFERROR(AVERAGEIFS(Storage_Share_Detail!$G$2:$G$1025,Storage_Share_Detail!$A$2:$A$1025,"Init",Storage_Share_Detail!$B$2:$B$1025,"REMIND-MAGPIE_SSP5-26",Storage_Share_Detail!$C$2:$C$1025,$A7,Storage_Share_Detail!$D$2:$D$1025,2020),0)</f>
        <v>0</v>
      </c>
      <c r="AG7" s="98">
        <f>IFERROR(AVERAGEIFS(Storage_Share_Detail!$G$2:$G$1025,Storage_Share_Detail!$A$2:$A$1025,"Init",Storage_Share_Detail!$B$2:$B$1025,"REMIND-MAGPIE_SSP5-26",Storage_Share_Detail!$C$2:$C$1025,$A7,Storage_Share_Detail!$D$2:$D$1025,2030),0)</f>
        <v>0</v>
      </c>
      <c r="AH7" s="98">
        <f>IFERROR(AVERAGEIFS(Storage_Share_Detail!$G$2:$G$1025,Storage_Share_Detail!$A$2:$A$1025,"Init",Storage_Share_Detail!$B$2:$B$1025,"REMIND-MAGPIE_SSP5-26",Storage_Share_Detail!$C$2:$C$1025,$A7,Storage_Share_Detail!$D$2:$D$1025,2040),0)</f>
        <v>0</v>
      </c>
      <c r="AI7" s="98">
        <f>IFERROR(AVERAGEIFS(Storage_Share_Detail!$G$2:$G$1025,Storage_Share_Detail!$A$2:$A$1025,"Init",Storage_Share_Detail!$B$2:$B$1025,"REMIND-MAGPIE_SSP5-26",Storage_Share_Detail!$C$2:$C$1025,$A7,Storage_Share_Detail!$D$2:$D$1025,2050),0)</f>
        <v>0</v>
      </c>
      <c r="AJ7" s="99">
        <f>IFERROR(AVERAGEIFS(Storage_Share_Detail!$K$2:$K$1025,Storage_Share_Detail!$A$2:$A$1025,"Init",Storage_Share_Detail!$B$2:$B$1025,"REMIND-MAGPIE_SSP5-26",Storage_Share_Detail!$C$2:$C$1025,$A7),0)</f>
        <v>0</v>
      </c>
      <c r="AK7" s="98">
        <f>IFERROR(AVERAGEIFS(Storage_Share_Detail!$G$2:$G$1025,Storage_Share_Detail!$A$2:$A$1025,"Opti",Storage_Share_Detail!$B$2:$B$1025,"REMIND-MAGPIE_SSP5-26",Storage_Share_Detail!$C$2:$C$1025,$A7,Storage_Share_Detail!$D$2:$D$1025,2020),0)</f>
        <v>0</v>
      </c>
      <c r="AL7" s="98">
        <f>IFERROR(AVERAGEIFS(Storage_Share_Detail!$G$2:$G$1025,Storage_Share_Detail!$A$2:$A$1025,"Opti",Storage_Share_Detail!$B$2:$B$1025,"REMIND-MAGPIE_SSP5-26",Storage_Share_Detail!$C$2:$C$1025,$A7,Storage_Share_Detail!$D$2:$D$1025,2030),0)</f>
        <v>0</v>
      </c>
      <c r="AM7" s="98">
        <f>IFERROR(AVERAGEIFS(Storage_Share_Detail!$G$2:$G$1025,Storage_Share_Detail!$A$2:$A$1025,"Opti",Storage_Share_Detail!$B$2:$B$1025,"REMIND-MAGPIE_SSP5-26",Storage_Share_Detail!$C$2:$C$1025,$A7,Storage_Share_Detail!$D$2:$D$1025,2040),0)</f>
        <v>0</v>
      </c>
      <c r="AN7" s="98">
        <f>IFERROR(AVERAGEIFS(Storage_Share_Detail!$G$2:$G$1025,Storage_Share_Detail!$A$2:$A$1025,"Opti",Storage_Share_Detail!$B$2:$B$1025,"REMIND-MAGPIE_SSP5-26",Storage_Share_Detail!$C$2:$C$1025,$A7,Storage_Share_Detail!$D$2:$D$1025,2050),0)</f>
        <v>0</v>
      </c>
      <c r="AO7" s="99">
        <f>IFERROR(AVERAGEIFS(Storage_Share_Detail!$K$2:$K$1025,Storage_Share_Detail!$A$2:$A$1025,"Opti",Storage_Share_Detail!$B$2:$B$1025,"REMIND-MAGPIE_SSP5-26",Storage_Share_Detail!$C$2:$C$1025,$A7),0)</f>
        <v>0</v>
      </c>
    </row>
    <row r="8" spans="1:41" x14ac:dyDescent="0.2">
      <c r="A8" s="102" t="s">
        <v>39</v>
      </c>
      <c r="B8" s="98">
        <f>IFERROR(AVERAGEIFS(Storage_Share_Detail!$G$2:$G$1025,Storage_Share_Detail!$A$2:$A$1025,"Init",Storage_Share_Detail!$B$2:$B$1025,"IMAGE_SSP1-26",Storage_Share_Detail!$C$2:$C$1025,$A8,Storage_Share_Detail!$D$2:$D$1025,2020),0)</f>
        <v>0</v>
      </c>
      <c r="C8" s="98">
        <f>IFERROR(AVERAGEIFS(Storage_Share_Detail!$G$2:$G$1025,Storage_Share_Detail!$A$2:$A$1025,"Init",Storage_Share_Detail!$B$2:$B$1025,"IMAGE_SSP1-26",Storage_Share_Detail!$C$2:$C$1025,$A8,Storage_Share_Detail!$D$2:$D$1025,2030),0)</f>
        <v>0</v>
      </c>
      <c r="D8" s="98">
        <f>IFERROR(AVERAGEIFS(Storage_Share_Detail!$G$2:$G$1025,Storage_Share_Detail!$A$2:$A$1025,"Init",Storage_Share_Detail!$B$2:$B$1025,"IMAGE_SSP1-26",Storage_Share_Detail!$C$2:$C$1025,$A8,Storage_Share_Detail!$D$2:$D$1025,2040),0)</f>
        <v>0</v>
      </c>
      <c r="E8" s="98">
        <f>IFERROR(AVERAGEIFS(Storage_Share_Detail!$G$2:$G$1025,Storage_Share_Detail!$A$2:$A$1025,"Init",Storage_Share_Detail!$B$2:$B$1025,"IMAGE_SSP1-26",Storage_Share_Detail!$C$2:$C$1025,$A8,Storage_Share_Detail!$D$2:$D$1025,2050),0)</f>
        <v>0</v>
      </c>
      <c r="F8" s="99">
        <f>IFERROR(AVERAGEIFS(Storage_Share_Detail!$K$2:$K$1025,Storage_Share_Detail!$A$2:$A$1025,"Init",Storage_Share_Detail!$B$2:$B$1025,"IMAGE_SSP1-26",Storage_Share_Detail!$C$2:$C$1025,$A8),0)</f>
        <v>0</v>
      </c>
      <c r="G8" s="98">
        <f>IFERROR(AVERAGEIFS(Storage_Share_Detail!$G$2:$G$1025,Storage_Share_Detail!$A$2:$A$1025,"Opti",Storage_Share_Detail!$B$2:$B$1025,"IMAGE_SSP1-26",Storage_Share_Detail!$C$2:$C$1025,$A8,Storage_Share_Detail!$D$2:$D$1025,2020),0)</f>
        <v>0</v>
      </c>
      <c r="H8" s="98">
        <f>IFERROR(AVERAGEIFS(Storage_Share_Detail!$G$2:$G$1025,Storage_Share_Detail!$A$2:$A$1025,"Opti",Storage_Share_Detail!$B$2:$B$1025,"IMAGE_SSP1-26",Storage_Share_Detail!$C$2:$C$1025,$A8,Storage_Share_Detail!$D$2:$D$1025,2030),0)</f>
        <v>0</v>
      </c>
      <c r="I8" s="98">
        <f>IFERROR(AVERAGEIFS(Storage_Share_Detail!$G$2:$G$1025,Storage_Share_Detail!$A$2:$A$1025,"Opti",Storage_Share_Detail!$B$2:$B$1025,"IMAGE_SSP1-26",Storage_Share_Detail!$C$2:$C$1025,$A8,Storage_Share_Detail!$D$2:$D$1025,2040),0)</f>
        <v>0</v>
      </c>
      <c r="J8" s="98">
        <f>IFERROR(AVERAGEIFS(Storage_Share_Detail!$G$2:$G$1025,Storage_Share_Detail!$A$2:$A$1025,"Opti",Storage_Share_Detail!$B$2:$B$1025,"IMAGE_SSP1-26",Storage_Share_Detail!$C$2:$C$1025,$A8,Storage_Share_Detail!$D$2:$D$1025,2050),0)</f>
        <v>0</v>
      </c>
      <c r="K8" s="99">
        <f>IFERROR(AVERAGEIFS(Storage_Share_Detail!$K$2:$K$1025,Storage_Share_Detail!$A$2:$A$1025,"Opti",Storage_Share_Detail!$B$2:$B$1025,"IMAGE_SSP1-26",Storage_Share_Detail!$C$2:$C$1025,$A8),0)</f>
        <v>0</v>
      </c>
      <c r="L8" s="98">
        <f>IFERROR(AVERAGEIFS(Storage_Share_Detail!$G$2:$G$1025,Storage_Share_Detail!$A$2:$A$1025,"Init",Storage_Share_Detail!$B$2:$B$1025,"MESSAGE-GLOBIOM_SSP2-26",Storage_Share_Detail!$C$2:$C$1025,$A8,Storage_Share_Detail!$D$2:$D$1025,2020),0)</f>
        <v>0</v>
      </c>
      <c r="M8" s="98">
        <f>IFERROR(AVERAGEIFS(Storage_Share_Detail!$G$2:$G$1025,Storage_Share_Detail!$A$2:$A$1025,"Init",Storage_Share_Detail!$B$2:$B$1025,"MESSAGE-GLOBIOM_SSP2-26",Storage_Share_Detail!$C$2:$C$1025,$A8,Storage_Share_Detail!$D$2:$D$1025,2030),0)</f>
        <v>0</v>
      </c>
      <c r="N8" s="98">
        <f>IFERROR(AVERAGEIFS(Storage_Share_Detail!$G$2:$G$1025,Storage_Share_Detail!$A$2:$A$1025,"Init",Storage_Share_Detail!$B$2:$B$1025,"MESSAGE-GLOBIOM_SSP2-26",Storage_Share_Detail!$C$2:$C$1025,$A8,Storage_Share_Detail!$D$2:$D$1025,2040),0)</f>
        <v>0</v>
      </c>
      <c r="O8" s="98">
        <f>IFERROR(AVERAGEIFS(Storage_Share_Detail!$G$2:$G$1025,Storage_Share_Detail!$A$2:$A$1025,"Init",Storage_Share_Detail!$B$2:$B$1025,"MESSAGE-GLOBIOM_SSP2-26",Storage_Share_Detail!$C$2:$C$1025,$A8,Storage_Share_Detail!$D$2:$D$1025,2050),0)</f>
        <v>0</v>
      </c>
      <c r="P8" s="99">
        <f>IFERROR(AVERAGEIFS(Storage_Share_Detail!$K$2:$K$1025,Storage_Share_Detail!$A$2:$A$1025,"Init",Storage_Share_Detail!$B$2:$B$1025,"MESSAGE-GLOBIOM_SSP2-26",Storage_Share_Detail!$C$2:$C$1025,$A8),0)</f>
        <v>0</v>
      </c>
      <c r="Q8" s="98">
        <f>IFERROR(AVERAGEIFS(Storage_Share_Detail!$G$2:$G$1025,Storage_Share_Detail!$A$2:$A$1025,"Opti",Storage_Share_Detail!$B$2:$B$1025,"MESSAGE-GLOBIOM_SSP2-26",Storage_Share_Detail!$C$2:$C$1025,$A8,Storage_Share_Detail!$D$2:$D$1025,2020),0)</f>
        <v>0</v>
      </c>
      <c r="R8" s="98">
        <f>IFERROR(AVERAGEIFS(Storage_Share_Detail!$G$2:$G$1025,Storage_Share_Detail!$A$2:$A$1025,"Opti",Storage_Share_Detail!$B$2:$B$1025,"MESSAGE-GLOBIOM_SSP2-26",Storage_Share_Detail!$C$2:$C$1025,$A8,Storage_Share_Detail!$D$2:$D$1025,2030),0)</f>
        <v>0</v>
      </c>
      <c r="S8" s="98">
        <f>IFERROR(AVERAGEIFS(Storage_Share_Detail!$G$2:$G$1025,Storage_Share_Detail!$A$2:$A$1025,"Opti",Storage_Share_Detail!$B$2:$B$1025,"MESSAGE-GLOBIOM_SSP2-26",Storage_Share_Detail!$C$2:$C$1025,$A8,Storage_Share_Detail!$D$2:$D$1025,2040),0)</f>
        <v>0</v>
      </c>
      <c r="T8" s="98">
        <f>IFERROR(AVERAGEIFS(Storage_Share_Detail!$G$2:$G$1025,Storage_Share_Detail!$A$2:$A$1025,"Opti",Storage_Share_Detail!$B$2:$B$1025,"MESSAGE-GLOBIOM_SSP2-26",Storage_Share_Detail!$C$2:$C$1025,$A8,Storage_Share_Detail!$D$2:$D$1025,2050),0)</f>
        <v>0</v>
      </c>
      <c r="U8" s="99">
        <f>IFERROR(AVERAGEIFS(Storage_Share_Detail!$K$2:$K$1025,Storage_Share_Detail!$A$2:$A$1025,"Opti",Storage_Share_Detail!$B$2:$B$1025,"MESSAGE-GLOBIOM_SSP2-26",Storage_Share_Detail!$C$2:$C$1025,$A8),0)</f>
        <v>0</v>
      </c>
      <c r="V8" s="98">
        <f>IFERROR(AVERAGEIFS(Storage_Share_Detail!$G$2:$G$1025,Storage_Share_Detail!$A$2:$A$1025,"Init",Storage_Share_Detail!$B$2:$B$1025,"GCAM4_SSP4-26",Storage_Share_Detail!$C$2:$C$1025,$A8,Storage_Share_Detail!$D$2:$D$1025,2020),0)</f>
        <v>0</v>
      </c>
      <c r="W8" s="98">
        <f>IFERROR(AVERAGEIFS(Storage_Share_Detail!$G$2:$G$1025,Storage_Share_Detail!$A$2:$A$1025,"Init",Storage_Share_Detail!$B$2:$B$1025,"GCAM4_SSP4-26",Storage_Share_Detail!$C$2:$C$1025,$A8,Storage_Share_Detail!$D$2:$D$1025,2030),0)</f>
        <v>0</v>
      </c>
      <c r="X8" s="98">
        <f>IFERROR(AVERAGEIFS(Storage_Share_Detail!$G$2:$G$1025,Storage_Share_Detail!$A$2:$A$1025,"Init",Storage_Share_Detail!$B$2:$B$1025,"GCAM4_SSP4-26",Storage_Share_Detail!$C$2:$C$1025,$A8,Storage_Share_Detail!$D$2:$D$1025,2040),0)</f>
        <v>0</v>
      </c>
      <c r="Y8" s="98">
        <f>IFERROR(AVERAGEIFS(Storage_Share_Detail!$G$2:$G$1025,Storage_Share_Detail!$A$2:$A$1025,"Init",Storage_Share_Detail!$B$2:$B$1025,"GCAM4_SSP4-26",Storage_Share_Detail!$C$2:$C$1025,$A8,Storage_Share_Detail!$D$2:$D$1025,2050),0)</f>
        <v>0</v>
      </c>
      <c r="Z8" s="99">
        <f>IFERROR(AVERAGEIFS(Storage_Share_Detail!$K$2:$K$1025,Storage_Share_Detail!$A$2:$A$1025,"Init",Storage_Share_Detail!$B$2:$B$1025,"GCAM4_SSP4-26",Storage_Share_Detail!$C$2:$C$1025,$A8),0)</f>
        <v>0</v>
      </c>
      <c r="AA8" s="98">
        <f>IFERROR(AVERAGEIFS(Storage_Share_Detail!$G$2:$G$1025,Storage_Share_Detail!$A$2:$A$1025,"Opti",Storage_Share_Detail!$B$2:$B$1025,"GCAM4_SSP4-26",Storage_Share_Detail!$C$2:$C$1025,$A8,Storage_Share_Detail!$D$2:$D$1025,2020),0)</f>
        <v>0</v>
      </c>
      <c r="AB8" s="98">
        <f>IFERROR(AVERAGEIFS(Storage_Share_Detail!$G$2:$G$1025,Storage_Share_Detail!$A$2:$A$1025,"Opti",Storage_Share_Detail!$B$2:$B$1025,"GCAM4_SSP4-26",Storage_Share_Detail!$C$2:$C$1025,$A8,Storage_Share_Detail!$D$2:$D$1025,2030),0)</f>
        <v>0</v>
      </c>
      <c r="AC8" s="98">
        <f>IFERROR(AVERAGEIFS(Storage_Share_Detail!$G$2:$G$1025,Storage_Share_Detail!$A$2:$A$1025,"Opti",Storage_Share_Detail!$B$2:$B$1025,"GCAM4_SSP4-26",Storage_Share_Detail!$C$2:$C$1025,$A8,Storage_Share_Detail!$D$2:$D$1025,2040),0)</f>
        <v>0</v>
      </c>
      <c r="AD8" s="98">
        <f>IFERROR(AVERAGEIFS(Storage_Share_Detail!$G$2:$G$1025,Storage_Share_Detail!$A$2:$A$1025,"Opti",Storage_Share_Detail!$B$2:$B$1025,"GCAM4_SSP4-26",Storage_Share_Detail!$C$2:$C$1025,$A8,Storage_Share_Detail!$D$2:$D$1025,2050),0)</f>
        <v>0</v>
      </c>
      <c r="AE8" s="99">
        <f>IFERROR(AVERAGEIFS(Storage_Share_Detail!$K$2:$K$1025,Storage_Share_Detail!$A$2:$A$1025,"Opti",Storage_Share_Detail!$B$2:$B$1025,"GCAM4_SSP4-26",Storage_Share_Detail!$C$2:$C$1025,$A8),0)</f>
        <v>0</v>
      </c>
      <c r="AF8" s="98">
        <f>IFERROR(AVERAGEIFS(Storage_Share_Detail!$G$2:$G$1025,Storage_Share_Detail!$A$2:$A$1025,"Init",Storage_Share_Detail!$B$2:$B$1025,"REMIND-MAGPIE_SSP5-26",Storage_Share_Detail!$C$2:$C$1025,$A8,Storage_Share_Detail!$D$2:$D$1025,2020),0)</f>
        <v>0</v>
      </c>
      <c r="AG8" s="98">
        <f>IFERROR(AVERAGEIFS(Storage_Share_Detail!$G$2:$G$1025,Storage_Share_Detail!$A$2:$A$1025,"Init",Storage_Share_Detail!$B$2:$B$1025,"REMIND-MAGPIE_SSP5-26",Storage_Share_Detail!$C$2:$C$1025,$A8,Storage_Share_Detail!$D$2:$D$1025,2030),0)</f>
        <v>0</v>
      </c>
      <c r="AH8" s="98">
        <f>IFERROR(AVERAGEIFS(Storage_Share_Detail!$G$2:$G$1025,Storage_Share_Detail!$A$2:$A$1025,"Init",Storage_Share_Detail!$B$2:$B$1025,"REMIND-MAGPIE_SSP5-26",Storage_Share_Detail!$C$2:$C$1025,$A8,Storage_Share_Detail!$D$2:$D$1025,2040),0)</f>
        <v>0</v>
      </c>
      <c r="AI8" s="98">
        <f>IFERROR(AVERAGEIFS(Storage_Share_Detail!$G$2:$G$1025,Storage_Share_Detail!$A$2:$A$1025,"Init",Storage_Share_Detail!$B$2:$B$1025,"REMIND-MAGPIE_SSP5-26",Storage_Share_Detail!$C$2:$C$1025,$A8,Storage_Share_Detail!$D$2:$D$1025,2050),0)</f>
        <v>0</v>
      </c>
      <c r="AJ8" s="99">
        <f>IFERROR(AVERAGEIFS(Storage_Share_Detail!$K$2:$K$1025,Storage_Share_Detail!$A$2:$A$1025,"Init",Storage_Share_Detail!$B$2:$B$1025,"REMIND-MAGPIE_SSP5-26",Storage_Share_Detail!$C$2:$C$1025,$A8),0)</f>
        <v>0</v>
      </c>
      <c r="AK8" s="98">
        <f>IFERROR(AVERAGEIFS(Storage_Share_Detail!$G$2:$G$1025,Storage_Share_Detail!$A$2:$A$1025,"Opti",Storage_Share_Detail!$B$2:$B$1025,"REMIND-MAGPIE_SSP5-26",Storage_Share_Detail!$C$2:$C$1025,$A8,Storage_Share_Detail!$D$2:$D$1025,2020),0)</f>
        <v>0</v>
      </c>
      <c r="AL8" s="98">
        <f>IFERROR(AVERAGEIFS(Storage_Share_Detail!$G$2:$G$1025,Storage_Share_Detail!$A$2:$A$1025,"Opti",Storage_Share_Detail!$B$2:$B$1025,"REMIND-MAGPIE_SSP5-26",Storage_Share_Detail!$C$2:$C$1025,$A8,Storage_Share_Detail!$D$2:$D$1025,2030),0)</f>
        <v>0</v>
      </c>
      <c r="AM8" s="98">
        <f>IFERROR(AVERAGEIFS(Storage_Share_Detail!$G$2:$G$1025,Storage_Share_Detail!$A$2:$A$1025,"Opti",Storage_Share_Detail!$B$2:$B$1025,"REMIND-MAGPIE_SSP5-26",Storage_Share_Detail!$C$2:$C$1025,$A8,Storage_Share_Detail!$D$2:$D$1025,2040),0)</f>
        <v>0</v>
      </c>
      <c r="AN8" s="98">
        <f>IFERROR(AVERAGEIFS(Storage_Share_Detail!$G$2:$G$1025,Storage_Share_Detail!$A$2:$A$1025,"Opti",Storage_Share_Detail!$B$2:$B$1025,"REMIND-MAGPIE_SSP5-26",Storage_Share_Detail!$C$2:$C$1025,$A8,Storage_Share_Detail!$D$2:$D$1025,2050),0)</f>
        <v>0</v>
      </c>
      <c r="AO8" s="99">
        <f>IFERROR(AVERAGEIFS(Storage_Share_Detail!$K$2:$K$1025,Storage_Share_Detail!$A$2:$A$1025,"Opti",Storage_Share_Detail!$B$2:$B$1025,"REMIND-MAGPIE_SSP5-26",Storage_Share_Detail!$C$2:$C$1025,$A8),0)</f>
        <v>0</v>
      </c>
    </row>
    <row r="9" spans="1:41" x14ac:dyDescent="0.2">
      <c r="A9" s="102" t="s">
        <v>40</v>
      </c>
      <c r="B9" s="98">
        <f>IFERROR(AVERAGEIFS(Storage_Share_Detail!$G$2:$G$1025,Storage_Share_Detail!$A$2:$A$1025,"Init",Storage_Share_Detail!$B$2:$B$1025,"IMAGE_SSP1-26",Storage_Share_Detail!$C$2:$C$1025,$A9,Storage_Share_Detail!$D$2:$D$1025,2020),0)</f>
        <v>0</v>
      </c>
      <c r="C9" s="98">
        <f>IFERROR(AVERAGEIFS(Storage_Share_Detail!$G$2:$G$1025,Storage_Share_Detail!$A$2:$A$1025,"Init",Storage_Share_Detail!$B$2:$B$1025,"IMAGE_SSP1-26",Storage_Share_Detail!$C$2:$C$1025,$A9,Storage_Share_Detail!$D$2:$D$1025,2030),0)</f>
        <v>0</v>
      </c>
      <c r="D9" s="98">
        <f>IFERROR(AVERAGEIFS(Storage_Share_Detail!$G$2:$G$1025,Storage_Share_Detail!$A$2:$A$1025,"Init",Storage_Share_Detail!$B$2:$B$1025,"IMAGE_SSP1-26",Storage_Share_Detail!$C$2:$C$1025,$A9,Storage_Share_Detail!$D$2:$D$1025,2040),0)</f>
        <v>0</v>
      </c>
      <c r="E9" s="98">
        <f>IFERROR(AVERAGEIFS(Storage_Share_Detail!$G$2:$G$1025,Storage_Share_Detail!$A$2:$A$1025,"Init",Storage_Share_Detail!$B$2:$B$1025,"IMAGE_SSP1-26",Storage_Share_Detail!$C$2:$C$1025,$A9,Storage_Share_Detail!$D$2:$D$1025,2050),0)</f>
        <v>0</v>
      </c>
      <c r="F9" s="99">
        <f>IFERROR(AVERAGEIFS(Storage_Share_Detail!$K$2:$K$1025,Storage_Share_Detail!$A$2:$A$1025,"Init",Storage_Share_Detail!$B$2:$B$1025,"IMAGE_SSP1-26",Storage_Share_Detail!$C$2:$C$1025,$A9),0)</f>
        <v>0</v>
      </c>
      <c r="G9" s="98">
        <f>IFERROR(AVERAGEIFS(Storage_Share_Detail!$G$2:$G$1025,Storage_Share_Detail!$A$2:$A$1025,"Opti",Storage_Share_Detail!$B$2:$B$1025,"IMAGE_SSP1-26",Storage_Share_Detail!$C$2:$C$1025,$A9,Storage_Share_Detail!$D$2:$D$1025,2020),0)</f>
        <v>0</v>
      </c>
      <c r="H9" s="98">
        <f>IFERROR(AVERAGEIFS(Storage_Share_Detail!$G$2:$G$1025,Storage_Share_Detail!$A$2:$A$1025,"Opti",Storage_Share_Detail!$B$2:$B$1025,"IMAGE_SSP1-26",Storage_Share_Detail!$C$2:$C$1025,$A9,Storage_Share_Detail!$D$2:$D$1025,2030),0)</f>
        <v>0</v>
      </c>
      <c r="I9" s="98">
        <f>IFERROR(AVERAGEIFS(Storage_Share_Detail!$G$2:$G$1025,Storage_Share_Detail!$A$2:$A$1025,"Opti",Storage_Share_Detail!$B$2:$B$1025,"IMAGE_SSP1-26",Storage_Share_Detail!$C$2:$C$1025,$A9,Storage_Share_Detail!$D$2:$D$1025,2040),0)</f>
        <v>0</v>
      </c>
      <c r="J9" s="98">
        <f>IFERROR(AVERAGEIFS(Storage_Share_Detail!$G$2:$G$1025,Storage_Share_Detail!$A$2:$A$1025,"Opti",Storage_Share_Detail!$B$2:$B$1025,"IMAGE_SSP1-26",Storage_Share_Detail!$C$2:$C$1025,$A9,Storage_Share_Detail!$D$2:$D$1025,2050),0)</f>
        <v>0</v>
      </c>
      <c r="K9" s="99">
        <f>IFERROR(AVERAGEIFS(Storage_Share_Detail!$K$2:$K$1025,Storage_Share_Detail!$A$2:$A$1025,"Opti",Storage_Share_Detail!$B$2:$B$1025,"IMAGE_SSP1-26",Storage_Share_Detail!$C$2:$C$1025,$A9),0)</f>
        <v>0</v>
      </c>
      <c r="L9" s="98">
        <f>IFERROR(AVERAGEIFS(Storage_Share_Detail!$G$2:$G$1025,Storage_Share_Detail!$A$2:$A$1025,"Init",Storage_Share_Detail!$B$2:$B$1025,"MESSAGE-GLOBIOM_SSP2-26",Storage_Share_Detail!$C$2:$C$1025,$A9,Storage_Share_Detail!$D$2:$D$1025,2020),0)</f>
        <v>0</v>
      </c>
      <c r="M9" s="98">
        <f>IFERROR(AVERAGEIFS(Storage_Share_Detail!$G$2:$G$1025,Storage_Share_Detail!$A$2:$A$1025,"Init",Storage_Share_Detail!$B$2:$B$1025,"MESSAGE-GLOBIOM_SSP2-26",Storage_Share_Detail!$C$2:$C$1025,$A9,Storage_Share_Detail!$D$2:$D$1025,2030),0)</f>
        <v>0</v>
      </c>
      <c r="N9" s="98">
        <f>IFERROR(AVERAGEIFS(Storage_Share_Detail!$G$2:$G$1025,Storage_Share_Detail!$A$2:$A$1025,"Init",Storage_Share_Detail!$B$2:$B$1025,"MESSAGE-GLOBIOM_SSP2-26",Storage_Share_Detail!$C$2:$C$1025,$A9,Storage_Share_Detail!$D$2:$D$1025,2040),0)</f>
        <v>0</v>
      </c>
      <c r="O9" s="98">
        <f>IFERROR(AVERAGEIFS(Storage_Share_Detail!$G$2:$G$1025,Storage_Share_Detail!$A$2:$A$1025,"Init",Storage_Share_Detail!$B$2:$B$1025,"MESSAGE-GLOBIOM_SSP2-26",Storage_Share_Detail!$C$2:$C$1025,$A9,Storage_Share_Detail!$D$2:$D$1025,2050),0)</f>
        <v>0</v>
      </c>
      <c r="P9" s="99">
        <f>IFERROR(AVERAGEIFS(Storage_Share_Detail!$K$2:$K$1025,Storage_Share_Detail!$A$2:$A$1025,"Init",Storage_Share_Detail!$B$2:$B$1025,"MESSAGE-GLOBIOM_SSP2-26",Storage_Share_Detail!$C$2:$C$1025,$A9),0)</f>
        <v>0</v>
      </c>
      <c r="Q9" s="98">
        <f>IFERROR(AVERAGEIFS(Storage_Share_Detail!$G$2:$G$1025,Storage_Share_Detail!$A$2:$A$1025,"Opti",Storage_Share_Detail!$B$2:$B$1025,"MESSAGE-GLOBIOM_SSP2-26",Storage_Share_Detail!$C$2:$C$1025,$A9,Storage_Share_Detail!$D$2:$D$1025,2020),0)</f>
        <v>0</v>
      </c>
      <c r="R9" s="98">
        <f>IFERROR(AVERAGEIFS(Storage_Share_Detail!$G$2:$G$1025,Storage_Share_Detail!$A$2:$A$1025,"Opti",Storage_Share_Detail!$B$2:$B$1025,"MESSAGE-GLOBIOM_SSP2-26",Storage_Share_Detail!$C$2:$C$1025,$A9,Storage_Share_Detail!$D$2:$D$1025,2030),0)</f>
        <v>0</v>
      </c>
      <c r="S9" s="98">
        <f>IFERROR(AVERAGEIFS(Storage_Share_Detail!$G$2:$G$1025,Storage_Share_Detail!$A$2:$A$1025,"Opti",Storage_Share_Detail!$B$2:$B$1025,"MESSAGE-GLOBIOM_SSP2-26",Storage_Share_Detail!$C$2:$C$1025,$A9,Storage_Share_Detail!$D$2:$D$1025,2040),0)</f>
        <v>0</v>
      </c>
      <c r="T9" s="98">
        <f>IFERROR(AVERAGEIFS(Storage_Share_Detail!$G$2:$G$1025,Storage_Share_Detail!$A$2:$A$1025,"Opti",Storage_Share_Detail!$B$2:$B$1025,"MESSAGE-GLOBIOM_SSP2-26",Storage_Share_Detail!$C$2:$C$1025,$A9,Storage_Share_Detail!$D$2:$D$1025,2050),0)</f>
        <v>0</v>
      </c>
      <c r="U9" s="99">
        <f>IFERROR(AVERAGEIFS(Storage_Share_Detail!$K$2:$K$1025,Storage_Share_Detail!$A$2:$A$1025,"Opti",Storage_Share_Detail!$B$2:$B$1025,"MESSAGE-GLOBIOM_SSP2-26",Storage_Share_Detail!$C$2:$C$1025,$A9),0)</f>
        <v>0</v>
      </c>
      <c r="V9" s="98">
        <f>IFERROR(AVERAGEIFS(Storage_Share_Detail!$G$2:$G$1025,Storage_Share_Detail!$A$2:$A$1025,"Init",Storage_Share_Detail!$B$2:$B$1025,"GCAM4_SSP4-26",Storage_Share_Detail!$C$2:$C$1025,$A9,Storage_Share_Detail!$D$2:$D$1025,2020),0)</f>
        <v>0</v>
      </c>
      <c r="W9" s="98">
        <f>IFERROR(AVERAGEIFS(Storage_Share_Detail!$G$2:$G$1025,Storage_Share_Detail!$A$2:$A$1025,"Init",Storage_Share_Detail!$B$2:$B$1025,"GCAM4_SSP4-26",Storage_Share_Detail!$C$2:$C$1025,$A9,Storage_Share_Detail!$D$2:$D$1025,2030),0)</f>
        <v>0</v>
      </c>
      <c r="X9" s="98">
        <f>IFERROR(AVERAGEIFS(Storage_Share_Detail!$G$2:$G$1025,Storage_Share_Detail!$A$2:$A$1025,"Init",Storage_Share_Detail!$B$2:$B$1025,"GCAM4_SSP4-26",Storage_Share_Detail!$C$2:$C$1025,$A9,Storage_Share_Detail!$D$2:$D$1025,2040),0)</f>
        <v>0</v>
      </c>
      <c r="Y9" s="98">
        <f>IFERROR(AVERAGEIFS(Storage_Share_Detail!$G$2:$G$1025,Storage_Share_Detail!$A$2:$A$1025,"Init",Storage_Share_Detail!$B$2:$B$1025,"GCAM4_SSP4-26",Storage_Share_Detail!$C$2:$C$1025,$A9,Storage_Share_Detail!$D$2:$D$1025,2050),0)</f>
        <v>0</v>
      </c>
      <c r="Z9" s="99">
        <f>IFERROR(AVERAGEIFS(Storage_Share_Detail!$K$2:$K$1025,Storage_Share_Detail!$A$2:$A$1025,"Init",Storage_Share_Detail!$B$2:$B$1025,"GCAM4_SSP4-26",Storage_Share_Detail!$C$2:$C$1025,$A9),0)</f>
        <v>0</v>
      </c>
      <c r="AA9" s="98">
        <f>IFERROR(AVERAGEIFS(Storage_Share_Detail!$G$2:$G$1025,Storage_Share_Detail!$A$2:$A$1025,"Opti",Storage_Share_Detail!$B$2:$B$1025,"GCAM4_SSP4-26",Storage_Share_Detail!$C$2:$C$1025,$A9,Storage_Share_Detail!$D$2:$D$1025,2020),0)</f>
        <v>0</v>
      </c>
      <c r="AB9" s="98">
        <f>IFERROR(AVERAGEIFS(Storage_Share_Detail!$G$2:$G$1025,Storage_Share_Detail!$A$2:$A$1025,"Opti",Storage_Share_Detail!$B$2:$B$1025,"GCAM4_SSP4-26",Storage_Share_Detail!$C$2:$C$1025,$A9,Storage_Share_Detail!$D$2:$D$1025,2030),0)</f>
        <v>0</v>
      </c>
      <c r="AC9" s="98">
        <f>IFERROR(AVERAGEIFS(Storage_Share_Detail!$G$2:$G$1025,Storage_Share_Detail!$A$2:$A$1025,"Opti",Storage_Share_Detail!$B$2:$B$1025,"GCAM4_SSP4-26",Storage_Share_Detail!$C$2:$C$1025,$A9,Storage_Share_Detail!$D$2:$D$1025,2040),0)</f>
        <v>0</v>
      </c>
      <c r="AD9" s="98">
        <f>IFERROR(AVERAGEIFS(Storage_Share_Detail!$G$2:$G$1025,Storage_Share_Detail!$A$2:$A$1025,"Opti",Storage_Share_Detail!$B$2:$B$1025,"GCAM4_SSP4-26",Storage_Share_Detail!$C$2:$C$1025,$A9,Storage_Share_Detail!$D$2:$D$1025,2050),0)</f>
        <v>0</v>
      </c>
      <c r="AE9" s="99">
        <f>IFERROR(AVERAGEIFS(Storage_Share_Detail!$K$2:$K$1025,Storage_Share_Detail!$A$2:$A$1025,"Opti",Storage_Share_Detail!$B$2:$B$1025,"GCAM4_SSP4-26",Storage_Share_Detail!$C$2:$C$1025,$A9),0)</f>
        <v>0</v>
      </c>
      <c r="AF9" s="98">
        <f>IFERROR(AVERAGEIFS(Storage_Share_Detail!$G$2:$G$1025,Storage_Share_Detail!$A$2:$A$1025,"Init",Storage_Share_Detail!$B$2:$B$1025,"REMIND-MAGPIE_SSP5-26",Storage_Share_Detail!$C$2:$C$1025,$A9,Storage_Share_Detail!$D$2:$D$1025,2020),0)</f>
        <v>0</v>
      </c>
      <c r="AG9" s="98">
        <f>IFERROR(AVERAGEIFS(Storage_Share_Detail!$G$2:$G$1025,Storage_Share_Detail!$A$2:$A$1025,"Init",Storage_Share_Detail!$B$2:$B$1025,"REMIND-MAGPIE_SSP5-26",Storage_Share_Detail!$C$2:$C$1025,$A9,Storage_Share_Detail!$D$2:$D$1025,2030),0)</f>
        <v>0</v>
      </c>
      <c r="AH9" s="98">
        <f>IFERROR(AVERAGEIFS(Storage_Share_Detail!$G$2:$G$1025,Storage_Share_Detail!$A$2:$A$1025,"Init",Storage_Share_Detail!$B$2:$B$1025,"REMIND-MAGPIE_SSP5-26",Storage_Share_Detail!$C$2:$C$1025,$A9,Storage_Share_Detail!$D$2:$D$1025,2040),0)</f>
        <v>0</v>
      </c>
      <c r="AI9" s="98">
        <f>IFERROR(AVERAGEIFS(Storage_Share_Detail!$G$2:$G$1025,Storage_Share_Detail!$A$2:$A$1025,"Init",Storage_Share_Detail!$B$2:$B$1025,"REMIND-MAGPIE_SSP5-26",Storage_Share_Detail!$C$2:$C$1025,$A9,Storage_Share_Detail!$D$2:$D$1025,2050),0)</f>
        <v>0</v>
      </c>
      <c r="AJ9" s="99">
        <f>IFERROR(AVERAGEIFS(Storage_Share_Detail!$K$2:$K$1025,Storage_Share_Detail!$A$2:$A$1025,"Init",Storage_Share_Detail!$B$2:$B$1025,"REMIND-MAGPIE_SSP5-26",Storage_Share_Detail!$C$2:$C$1025,$A9),0)</f>
        <v>0</v>
      </c>
      <c r="AK9" s="98">
        <f>IFERROR(AVERAGEIFS(Storage_Share_Detail!$G$2:$G$1025,Storage_Share_Detail!$A$2:$A$1025,"Opti",Storage_Share_Detail!$B$2:$B$1025,"REMIND-MAGPIE_SSP5-26",Storage_Share_Detail!$C$2:$C$1025,$A9,Storage_Share_Detail!$D$2:$D$1025,2020),0)</f>
        <v>0</v>
      </c>
      <c r="AL9" s="98">
        <f>IFERROR(AVERAGEIFS(Storage_Share_Detail!$G$2:$G$1025,Storage_Share_Detail!$A$2:$A$1025,"Opti",Storage_Share_Detail!$B$2:$B$1025,"REMIND-MAGPIE_SSP5-26",Storage_Share_Detail!$C$2:$C$1025,$A9,Storage_Share_Detail!$D$2:$D$1025,2030),0)</f>
        <v>0</v>
      </c>
      <c r="AM9" s="98">
        <f>IFERROR(AVERAGEIFS(Storage_Share_Detail!$G$2:$G$1025,Storage_Share_Detail!$A$2:$A$1025,"Opti",Storage_Share_Detail!$B$2:$B$1025,"REMIND-MAGPIE_SSP5-26",Storage_Share_Detail!$C$2:$C$1025,$A9,Storage_Share_Detail!$D$2:$D$1025,2040),0)</f>
        <v>0</v>
      </c>
      <c r="AN9" s="98">
        <f>IFERROR(AVERAGEIFS(Storage_Share_Detail!$G$2:$G$1025,Storage_Share_Detail!$A$2:$A$1025,"Opti",Storage_Share_Detail!$B$2:$B$1025,"REMIND-MAGPIE_SSP5-26",Storage_Share_Detail!$C$2:$C$1025,$A9,Storage_Share_Detail!$D$2:$D$1025,2050),0)</f>
        <v>0</v>
      </c>
      <c r="AO9" s="99">
        <f>IFERROR(AVERAGEIFS(Storage_Share_Detail!$K$2:$K$1025,Storage_Share_Detail!$A$2:$A$1025,"Opti",Storage_Share_Detail!$B$2:$B$1025,"REMIND-MAGPIE_SSP5-26",Storage_Share_Detail!$C$2:$C$1025,$A9),0)</f>
        <v>0</v>
      </c>
    </row>
    <row r="10" spans="1:41" x14ac:dyDescent="0.2">
      <c r="A10" s="102" t="s">
        <v>41</v>
      </c>
      <c r="B10" s="98">
        <f>IFERROR(AVERAGEIFS(Storage_Share_Detail!$G$2:$G$1025,Storage_Share_Detail!$A$2:$A$1025,"Init",Storage_Share_Detail!$B$2:$B$1025,"IMAGE_SSP1-26",Storage_Share_Detail!$C$2:$C$1025,$A10,Storage_Share_Detail!$D$2:$D$1025,2020),0)</f>
        <v>0</v>
      </c>
      <c r="C10" s="98">
        <f>IFERROR(AVERAGEIFS(Storage_Share_Detail!$G$2:$G$1025,Storage_Share_Detail!$A$2:$A$1025,"Init",Storage_Share_Detail!$B$2:$B$1025,"IMAGE_SSP1-26",Storage_Share_Detail!$C$2:$C$1025,$A10,Storage_Share_Detail!$D$2:$D$1025,2030),0)</f>
        <v>0</v>
      </c>
      <c r="D10" s="98">
        <f>IFERROR(AVERAGEIFS(Storage_Share_Detail!$G$2:$G$1025,Storage_Share_Detail!$A$2:$A$1025,"Init",Storage_Share_Detail!$B$2:$B$1025,"IMAGE_SSP1-26",Storage_Share_Detail!$C$2:$C$1025,$A10,Storage_Share_Detail!$D$2:$D$1025,2040),0)</f>
        <v>0</v>
      </c>
      <c r="E10" s="98">
        <f>IFERROR(AVERAGEIFS(Storage_Share_Detail!$G$2:$G$1025,Storage_Share_Detail!$A$2:$A$1025,"Init",Storage_Share_Detail!$B$2:$B$1025,"IMAGE_SSP1-26",Storage_Share_Detail!$C$2:$C$1025,$A10,Storage_Share_Detail!$D$2:$D$1025,2050),0)</f>
        <v>0</v>
      </c>
      <c r="F10" s="99">
        <f>IFERROR(AVERAGEIFS(Storage_Share_Detail!$K$2:$K$1025,Storage_Share_Detail!$A$2:$A$1025,"Init",Storage_Share_Detail!$B$2:$B$1025,"IMAGE_SSP1-26",Storage_Share_Detail!$C$2:$C$1025,$A10),0)</f>
        <v>0</v>
      </c>
      <c r="G10" s="98">
        <f>IFERROR(AVERAGEIFS(Storage_Share_Detail!$G$2:$G$1025,Storage_Share_Detail!$A$2:$A$1025,"Opti",Storage_Share_Detail!$B$2:$B$1025,"IMAGE_SSP1-26",Storage_Share_Detail!$C$2:$C$1025,$A10,Storage_Share_Detail!$D$2:$D$1025,2020),0)</f>
        <v>0</v>
      </c>
      <c r="H10" s="98">
        <f>IFERROR(AVERAGEIFS(Storage_Share_Detail!$G$2:$G$1025,Storage_Share_Detail!$A$2:$A$1025,"Opti",Storage_Share_Detail!$B$2:$B$1025,"IMAGE_SSP1-26",Storage_Share_Detail!$C$2:$C$1025,$A10,Storage_Share_Detail!$D$2:$D$1025,2030),0)</f>
        <v>0</v>
      </c>
      <c r="I10" s="98">
        <f>IFERROR(AVERAGEIFS(Storage_Share_Detail!$G$2:$G$1025,Storage_Share_Detail!$A$2:$A$1025,"Opti",Storage_Share_Detail!$B$2:$B$1025,"IMAGE_SSP1-26",Storage_Share_Detail!$C$2:$C$1025,$A10,Storage_Share_Detail!$D$2:$D$1025,2040),0)</f>
        <v>0</v>
      </c>
      <c r="J10" s="98">
        <f>IFERROR(AVERAGEIFS(Storage_Share_Detail!$G$2:$G$1025,Storage_Share_Detail!$A$2:$A$1025,"Opti",Storage_Share_Detail!$B$2:$B$1025,"IMAGE_SSP1-26",Storage_Share_Detail!$C$2:$C$1025,$A10,Storage_Share_Detail!$D$2:$D$1025,2050),0)</f>
        <v>0</v>
      </c>
      <c r="K10" s="99">
        <f>IFERROR(AVERAGEIFS(Storage_Share_Detail!$K$2:$K$1025,Storage_Share_Detail!$A$2:$A$1025,"Opti",Storage_Share_Detail!$B$2:$B$1025,"IMAGE_SSP1-26",Storage_Share_Detail!$C$2:$C$1025,$A10),0)</f>
        <v>0</v>
      </c>
      <c r="L10" s="98">
        <f>IFERROR(AVERAGEIFS(Storage_Share_Detail!$G$2:$G$1025,Storage_Share_Detail!$A$2:$A$1025,"Init",Storage_Share_Detail!$B$2:$B$1025,"MESSAGE-GLOBIOM_SSP2-26",Storage_Share_Detail!$C$2:$C$1025,$A10,Storage_Share_Detail!$D$2:$D$1025,2020),0)</f>
        <v>0</v>
      </c>
      <c r="M10" s="98">
        <f>IFERROR(AVERAGEIFS(Storage_Share_Detail!$G$2:$G$1025,Storage_Share_Detail!$A$2:$A$1025,"Init",Storage_Share_Detail!$B$2:$B$1025,"MESSAGE-GLOBIOM_SSP2-26",Storage_Share_Detail!$C$2:$C$1025,$A10,Storage_Share_Detail!$D$2:$D$1025,2030),0)</f>
        <v>0</v>
      </c>
      <c r="N10" s="98">
        <f>IFERROR(AVERAGEIFS(Storage_Share_Detail!$G$2:$G$1025,Storage_Share_Detail!$A$2:$A$1025,"Init",Storage_Share_Detail!$B$2:$B$1025,"MESSAGE-GLOBIOM_SSP2-26",Storage_Share_Detail!$C$2:$C$1025,$A10,Storage_Share_Detail!$D$2:$D$1025,2040),0)</f>
        <v>0</v>
      </c>
      <c r="O10" s="98">
        <f>IFERROR(AVERAGEIFS(Storage_Share_Detail!$G$2:$G$1025,Storage_Share_Detail!$A$2:$A$1025,"Init",Storage_Share_Detail!$B$2:$B$1025,"MESSAGE-GLOBIOM_SSP2-26",Storage_Share_Detail!$C$2:$C$1025,$A10,Storage_Share_Detail!$D$2:$D$1025,2050),0)</f>
        <v>0</v>
      </c>
      <c r="P10" s="99">
        <f>IFERROR(AVERAGEIFS(Storage_Share_Detail!$K$2:$K$1025,Storage_Share_Detail!$A$2:$A$1025,"Init",Storage_Share_Detail!$B$2:$B$1025,"MESSAGE-GLOBIOM_SSP2-26",Storage_Share_Detail!$C$2:$C$1025,$A10),0)</f>
        <v>0</v>
      </c>
      <c r="Q10" s="98">
        <f>IFERROR(AVERAGEIFS(Storage_Share_Detail!$G$2:$G$1025,Storage_Share_Detail!$A$2:$A$1025,"Opti",Storage_Share_Detail!$B$2:$B$1025,"MESSAGE-GLOBIOM_SSP2-26",Storage_Share_Detail!$C$2:$C$1025,$A10,Storage_Share_Detail!$D$2:$D$1025,2020),0)</f>
        <v>0</v>
      </c>
      <c r="R10" s="98">
        <f>IFERROR(AVERAGEIFS(Storage_Share_Detail!$G$2:$G$1025,Storage_Share_Detail!$A$2:$A$1025,"Opti",Storage_Share_Detail!$B$2:$B$1025,"MESSAGE-GLOBIOM_SSP2-26",Storage_Share_Detail!$C$2:$C$1025,$A10,Storage_Share_Detail!$D$2:$D$1025,2030),0)</f>
        <v>0</v>
      </c>
      <c r="S10" s="98">
        <f>IFERROR(AVERAGEIFS(Storage_Share_Detail!$G$2:$G$1025,Storage_Share_Detail!$A$2:$A$1025,"Opti",Storage_Share_Detail!$B$2:$B$1025,"MESSAGE-GLOBIOM_SSP2-26",Storage_Share_Detail!$C$2:$C$1025,$A10,Storage_Share_Detail!$D$2:$D$1025,2040),0)</f>
        <v>0</v>
      </c>
      <c r="T10" s="98">
        <f>IFERROR(AVERAGEIFS(Storage_Share_Detail!$G$2:$G$1025,Storage_Share_Detail!$A$2:$A$1025,"Opti",Storage_Share_Detail!$B$2:$B$1025,"MESSAGE-GLOBIOM_SSP2-26",Storage_Share_Detail!$C$2:$C$1025,$A10,Storage_Share_Detail!$D$2:$D$1025,2050),0)</f>
        <v>0</v>
      </c>
      <c r="U10" s="99">
        <f>IFERROR(AVERAGEIFS(Storage_Share_Detail!$K$2:$K$1025,Storage_Share_Detail!$A$2:$A$1025,"Opti",Storage_Share_Detail!$B$2:$B$1025,"MESSAGE-GLOBIOM_SSP2-26",Storage_Share_Detail!$C$2:$C$1025,$A10),0)</f>
        <v>0</v>
      </c>
      <c r="V10" s="98">
        <f>IFERROR(AVERAGEIFS(Storage_Share_Detail!$G$2:$G$1025,Storage_Share_Detail!$A$2:$A$1025,"Init",Storage_Share_Detail!$B$2:$B$1025,"GCAM4_SSP4-26",Storage_Share_Detail!$C$2:$C$1025,$A10,Storage_Share_Detail!$D$2:$D$1025,2020),0)</f>
        <v>0</v>
      </c>
      <c r="W10" s="98">
        <f>IFERROR(AVERAGEIFS(Storage_Share_Detail!$G$2:$G$1025,Storage_Share_Detail!$A$2:$A$1025,"Init",Storage_Share_Detail!$B$2:$B$1025,"GCAM4_SSP4-26",Storage_Share_Detail!$C$2:$C$1025,$A10,Storage_Share_Detail!$D$2:$D$1025,2030),0)</f>
        <v>0</v>
      </c>
      <c r="X10" s="98">
        <f>IFERROR(AVERAGEIFS(Storage_Share_Detail!$G$2:$G$1025,Storage_Share_Detail!$A$2:$A$1025,"Init",Storage_Share_Detail!$B$2:$B$1025,"GCAM4_SSP4-26",Storage_Share_Detail!$C$2:$C$1025,$A10,Storage_Share_Detail!$D$2:$D$1025,2040),0)</f>
        <v>0</v>
      </c>
      <c r="Y10" s="98">
        <f>IFERROR(AVERAGEIFS(Storage_Share_Detail!$G$2:$G$1025,Storage_Share_Detail!$A$2:$A$1025,"Init",Storage_Share_Detail!$B$2:$B$1025,"GCAM4_SSP4-26",Storage_Share_Detail!$C$2:$C$1025,$A10,Storage_Share_Detail!$D$2:$D$1025,2050),0)</f>
        <v>0</v>
      </c>
      <c r="Z10" s="99">
        <f>IFERROR(AVERAGEIFS(Storage_Share_Detail!$K$2:$K$1025,Storage_Share_Detail!$A$2:$A$1025,"Init",Storage_Share_Detail!$B$2:$B$1025,"GCAM4_SSP4-26",Storage_Share_Detail!$C$2:$C$1025,$A10),0)</f>
        <v>0</v>
      </c>
      <c r="AA10" s="98">
        <f>IFERROR(AVERAGEIFS(Storage_Share_Detail!$G$2:$G$1025,Storage_Share_Detail!$A$2:$A$1025,"Opti",Storage_Share_Detail!$B$2:$B$1025,"GCAM4_SSP4-26",Storage_Share_Detail!$C$2:$C$1025,$A10,Storage_Share_Detail!$D$2:$D$1025,2020),0)</f>
        <v>0</v>
      </c>
      <c r="AB10" s="98">
        <f>IFERROR(AVERAGEIFS(Storage_Share_Detail!$G$2:$G$1025,Storage_Share_Detail!$A$2:$A$1025,"Opti",Storage_Share_Detail!$B$2:$B$1025,"GCAM4_SSP4-26",Storage_Share_Detail!$C$2:$C$1025,$A10,Storage_Share_Detail!$D$2:$D$1025,2030),0)</f>
        <v>0</v>
      </c>
      <c r="AC10" s="98">
        <f>IFERROR(AVERAGEIFS(Storage_Share_Detail!$G$2:$G$1025,Storage_Share_Detail!$A$2:$A$1025,"Opti",Storage_Share_Detail!$B$2:$B$1025,"GCAM4_SSP4-26",Storage_Share_Detail!$C$2:$C$1025,$A10,Storage_Share_Detail!$D$2:$D$1025,2040),0)</f>
        <v>0</v>
      </c>
      <c r="AD10" s="98">
        <f>IFERROR(AVERAGEIFS(Storage_Share_Detail!$G$2:$G$1025,Storage_Share_Detail!$A$2:$A$1025,"Opti",Storage_Share_Detail!$B$2:$B$1025,"GCAM4_SSP4-26",Storage_Share_Detail!$C$2:$C$1025,$A10,Storage_Share_Detail!$D$2:$D$1025,2050),0)</f>
        <v>0</v>
      </c>
      <c r="AE10" s="99">
        <f>IFERROR(AVERAGEIFS(Storage_Share_Detail!$K$2:$K$1025,Storage_Share_Detail!$A$2:$A$1025,"Opti",Storage_Share_Detail!$B$2:$B$1025,"GCAM4_SSP4-26",Storage_Share_Detail!$C$2:$C$1025,$A10),0)</f>
        <v>0</v>
      </c>
      <c r="AF10" s="98">
        <f>IFERROR(AVERAGEIFS(Storage_Share_Detail!$G$2:$G$1025,Storage_Share_Detail!$A$2:$A$1025,"Init",Storage_Share_Detail!$B$2:$B$1025,"REMIND-MAGPIE_SSP5-26",Storage_Share_Detail!$C$2:$C$1025,$A10,Storage_Share_Detail!$D$2:$D$1025,2020),0)</f>
        <v>0</v>
      </c>
      <c r="AG10" s="98">
        <f>IFERROR(AVERAGEIFS(Storage_Share_Detail!$G$2:$G$1025,Storage_Share_Detail!$A$2:$A$1025,"Init",Storage_Share_Detail!$B$2:$B$1025,"REMIND-MAGPIE_SSP5-26",Storage_Share_Detail!$C$2:$C$1025,$A10,Storage_Share_Detail!$D$2:$D$1025,2030),0)</f>
        <v>0</v>
      </c>
      <c r="AH10" s="98">
        <f>IFERROR(AVERAGEIFS(Storage_Share_Detail!$G$2:$G$1025,Storage_Share_Detail!$A$2:$A$1025,"Init",Storage_Share_Detail!$B$2:$B$1025,"REMIND-MAGPIE_SSP5-26",Storage_Share_Detail!$C$2:$C$1025,$A10,Storage_Share_Detail!$D$2:$D$1025,2040),0)</f>
        <v>0</v>
      </c>
      <c r="AI10" s="98">
        <f>IFERROR(AVERAGEIFS(Storage_Share_Detail!$G$2:$G$1025,Storage_Share_Detail!$A$2:$A$1025,"Init",Storage_Share_Detail!$B$2:$B$1025,"REMIND-MAGPIE_SSP5-26",Storage_Share_Detail!$C$2:$C$1025,$A10,Storage_Share_Detail!$D$2:$D$1025,2050),0)</f>
        <v>0</v>
      </c>
      <c r="AJ10" s="99">
        <f>IFERROR(AVERAGEIFS(Storage_Share_Detail!$K$2:$K$1025,Storage_Share_Detail!$A$2:$A$1025,"Init",Storage_Share_Detail!$B$2:$B$1025,"REMIND-MAGPIE_SSP5-26",Storage_Share_Detail!$C$2:$C$1025,$A10),0)</f>
        <v>0</v>
      </c>
      <c r="AK10" s="98">
        <f>IFERROR(AVERAGEIFS(Storage_Share_Detail!$G$2:$G$1025,Storage_Share_Detail!$A$2:$A$1025,"Opti",Storage_Share_Detail!$B$2:$B$1025,"REMIND-MAGPIE_SSP5-26",Storage_Share_Detail!$C$2:$C$1025,$A10,Storage_Share_Detail!$D$2:$D$1025,2020),0)</f>
        <v>0</v>
      </c>
      <c r="AL10" s="98">
        <f>IFERROR(AVERAGEIFS(Storage_Share_Detail!$G$2:$G$1025,Storage_Share_Detail!$A$2:$A$1025,"Opti",Storage_Share_Detail!$B$2:$B$1025,"REMIND-MAGPIE_SSP5-26",Storage_Share_Detail!$C$2:$C$1025,$A10,Storage_Share_Detail!$D$2:$D$1025,2030),0)</f>
        <v>0</v>
      </c>
      <c r="AM10" s="98">
        <f>IFERROR(AVERAGEIFS(Storage_Share_Detail!$G$2:$G$1025,Storage_Share_Detail!$A$2:$A$1025,"Opti",Storage_Share_Detail!$B$2:$B$1025,"REMIND-MAGPIE_SSP5-26",Storage_Share_Detail!$C$2:$C$1025,$A10,Storage_Share_Detail!$D$2:$D$1025,2040),0)</f>
        <v>0</v>
      </c>
      <c r="AN10" s="98">
        <f>IFERROR(AVERAGEIFS(Storage_Share_Detail!$G$2:$G$1025,Storage_Share_Detail!$A$2:$A$1025,"Opti",Storage_Share_Detail!$B$2:$B$1025,"REMIND-MAGPIE_SSP5-26",Storage_Share_Detail!$C$2:$C$1025,$A10,Storage_Share_Detail!$D$2:$D$1025,2050),0)</f>
        <v>0</v>
      </c>
      <c r="AO10" s="99">
        <f>IFERROR(AVERAGEIFS(Storage_Share_Detail!$K$2:$K$1025,Storage_Share_Detail!$A$2:$A$1025,"Opti",Storage_Share_Detail!$B$2:$B$1025,"REMIND-MAGPIE_SSP5-26",Storage_Share_Detail!$C$2:$C$1025,$A10),0)</f>
        <v>0</v>
      </c>
    </row>
    <row r="11" spans="1:41" x14ac:dyDescent="0.2">
      <c r="A11" s="102" t="s">
        <v>42</v>
      </c>
      <c r="B11" s="98">
        <f>IFERROR(AVERAGEIFS(Storage_Share_Detail!$G$2:$G$1025,Storage_Share_Detail!$A$2:$A$1025,"Init",Storage_Share_Detail!$B$2:$B$1025,"IMAGE_SSP1-26",Storage_Share_Detail!$C$2:$C$1025,$A11,Storage_Share_Detail!$D$2:$D$1025,2020),0)</f>
        <v>0</v>
      </c>
      <c r="C11" s="98">
        <f>IFERROR(AVERAGEIFS(Storage_Share_Detail!$G$2:$G$1025,Storage_Share_Detail!$A$2:$A$1025,"Init",Storage_Share_Detail!$B$2:$B$1025,"IMAGE_SSP1-26",Storage_Share_Detail!$C$2:$C$1025,$A11,Storage_Share_Detail!$D$2:$D$1025,2030),0)</f>
        <v>0</v>
      </c>
      <c r="D11" s="98">
        <f>IFERROR(AVERAGEIFS(Storage_Share_Detail!$G$2:$G$1025,Storage_Share_Detail!$A$2:$A$1025,"Init",Storage_Share_Detail!$B$2:$B$1025,"IMAGE_SSP1-26",Storage_Share_Detail!$C$2:$C$1025,$A11,Storage_Share_Detail!$D$2:$D$1025,2040),0)</f>
        <v>0</v>
      </c>
      <c r="E11" s="98">
        <f>IFERROR(AVERAGEIFS(Storage_Share_Detail!$G$2:$G$1025,Storage_Share_Detail!$A$2:$A$1025,"Init",Storage_Share_Detail!$B$2:$B$1025,"IMAGE_SSP1-26",Storage_Share_Detail!$C$2:$C$1025,$A11,Storage_Share_Detail!$D$2:$D$1025,2050),0)</f>
        <v>0</v>
      </c>
      <c r="F11" s="99">
        <f>IFERROR(AVERAGEIFS(Storage_Share_Detail!$K$2:$K$1025,Storage_Share_Detail!$A$2:$A$1025,"Init",Storage_Share_Detail!$B$2:$B$1025,"IMAGE_SSP1-26",Storage_Share_Detail!$C$2:$C$1025,$A11),0)</f>
        <v>0</v>
      </c>
      <c r="G11" s="98">
        <f>IFERROR(AVERAGEIFS(Storage_Share_Detail!$G$2:$G$1025,Storage_Share_Detail!$A$2:$A$1025,"Opti",Storage_Share_Detail!$B$2:$B$1025,"IMAGE_SSP1-26",Storage_Share_Detail!$C$2:$C$1025,$A11,Storage_Share_Detail!$D$2:$D$1025,2020),0)</f>
        <v>0</v>
      </c>
      <c r="H11" s="98">
        <f>IFERROR(AVERAGEIFS(Storage_Share_Detail!$G$2:$G$1025,Storage_Share_Detail!$A$2:$A$1025,"Opti",Storage_Share_Detail!$B$2:$B$1025,"IMAGE_SSP1-26",Storage_Share_Detail!$C$2:$C$1025,$A11,Storage_Share_Detail!$D$2:$D$1025,2030),0)</f>
        <v>0</v>
      </c>
      <c r="I11" s="98">
        <f>IFERROR(AVERAGEIFS(Storage_Share_Detail!$G$2:$G$1025,Storage_Share_Detail!$A$2:$A$1025,"Opti",Storage_Share_Detail!$B$2:$B$1025,"IMAGE_SSP1-26",Storage_Share_Detail!$C$2:$C$1025,$A11,Storage_Share_Detail!$D$2:$D$1025,2040),0)</f>
        <v>0</v>
      </c>
      <c r="J11" s="98">
        <f>IFERROR(AVERAGEIFS(Storage_Share_Detail!$G$2:$G$1025,Storage_Share_Detail!$A$2:$A$1025,"Opti",Storage_Share_Detail!$B$2:$B$1025,"IMAGE_SSP1-26",Storage_Share_Detail!$C$2:$C$1025,$A11,Storage_Share_Detail!$D$2:$D$1025,2050),0)</f>
        <v>0</v>
      </c>
      <c r="K11" s="99">
        <f>IFERROR(AVERAGEIFS(Storage_Share_Detail!$K$2:$K$1025,Storage_Share_Detail!$A$2:$A$1025,"Opti",Storage_Share_Detail!$B$2:$B$1025,"IMAGE_SSP1-26",Storage_Share_Detail!$C$2:$C$1025,$A11),0)</f>
        <v>0</v>
      </c>
      <c r="L11" s="98">
        <f>IFERROR(AVERAGEIFS(Storage_Share_Detail!$G$2:$G$1025,Storage_Share_Detail!$A$2:$A$1025,"Init",Storage_Share_Detail!$B$2:$B$1025,"MESSAGE-GLOBIOM_SSP2-26",Storage_Share_Detail!$C$2:$C$1025,$A11,Storage_Share_Detail!$D$2:$D$1025,2020),0)</f>
        <v>0</v>
      </c>
      <c r="M11" s="98">
        <f>IFERROR(AVERAGEIFS(Storage_Share_Detail!$G$2:$G$1025,Storage_Share_Detail!$A$2:$A$1025,"Init",Storage_Share_Detail!$B$2:$B$1025,"MESSAGE-GLOBIOM_SSP2-26",Storage_Share_Detail!$C$2:$C$1025,$A11,Storage_Share_Detail!$D$2:$D$1025,2030),0)</f>
        <v>0</v>
      </c>
      <c r="N11" s="98">
        <f>IFERROR(AVERAGEIFS(Storage_Share_Detail!$G$2:$G$1025,Storage_Share_Detail!$A$2:$A$1025,"Init",Storage_Share_Detail!$B$2:$B$1025,"MESSAGE-GLOBIOM_SSP2-26",Storage_Share_Detail!$C$2:$C$1025,$A11,Storage_Share_Detail!$D$2:$D$1025,2040),0)</f>
        <v>0</v>
      </c>
      <c r="O11" s="98">
        <f>IFERROR(AVERAGEIFS(Storage_Share_Detail!$G$2:$G$1025,Storage_Share_Detail!$A$2:$A$1025,"Init",Storage_Share_Detail!$B$2:$B$1025,"MESSAGE-GLOBIOM_SSP2-26",Storage_Share_Detail!$C$2:$C$1025,$A11,Storage_Share_Detail!$D$2:$D$1025,2050),0)</f>
        <v>0</v>
      </c>
      <c r="P11" s="99">
        <f>IFERROR(AVERAGEIFS(Storage_Share_Detail!$K$2:$K$1025,Storage_Share_Detail!$A$2:$A$1025,"Init",Storage_Share_Detail!$B$2:$B$1025,"MESSAGE-GLOBIOM_SSP2-26",Storage_Share_Detail!$C$2:$C$1025,$A11),0)</f>
        <v>0</v>
      </c>
      <c r="Q11" s="98">
        <f>IFERROR(AVERAGEIFS(Storage_Share_Detail!$G$2:$G$1025,Storage_Share_Detail!$A$2:$A$1025,"Opti",Storage_Share_Detail!$B$2:$B$1025,"MESSAGE-GLOBIOM_SSP2-26",Storage_Share_Detail!$C$2:$C$1025,$A11,Storage_Share_Detail!$D$2:$D$1025,2020),0)</f>
        <v>0</v>
      </c>
      <c r="R11" s="98">
        <f>IFERROR(AVERAGEIFS(Storage_Share_Detail!$G$2:$G$1025,Storage_Share_Detail!$A$2:$A$1025,"Opti",Storage_Share_Detail!$B$2:$B$1025,"MESSAGE-GLOBIOM_SSP2-26",Storage_Share_Detail!$C$2:$C$1025,$A11,Storage_Share_Detail!$D$2:$D$1025,2030),0)</f>
        <v>0</v>
      </c>
      <c r="S11" s="98">
        <f>IFERROR(AVERAGEIFS(Storage_Share_Detail!$G$2:$G$1025,Storage_Share_Detail!$A$2:$A$1025,"Opti",Storage_Share_Detail!$B$2:$B$1025,"MESSAGE-GLOBIOM_SSP2-26",Storage_Share_Detail!$C$2:$C$1025,$A11,Storage_Share_Detail!$D$2:$D$1025,2040),0)</f>
        <v>0</v>
      </c>
      <c r="T11" s="98">
        <f>IFERROR(AVERAGEIFS(Storage_Share_Detail!$G$2:$G$1025,Storage_Share_Detail!$A$2:$A$1025,"Opti",Storage_Share_Detail!$B$2:$B$1025,"MESSAGE-GLOBIOM_SSP2-26",Storage_Share_Detail!$C$2:$C$1025,$A11,Storage_Share_Detail!$D$2:$D$1025,2050),0)</f>
        <v>0</v>
      </c>
      <c r="U11" s="99">
        <f>IFERROR(AVERAGEIFS(Storage_Share_Detail!$K$2:$K$1025,Storage_Share_Detail!$A$2:$A$1025,"Opti",Storage_Share_Detail!$B$2:$B$1025,"MESSAGE-GLOBIOM_SSP2-26",Storage_Share_Detail!$C$2:$C$1025,$A11),0)</f>
        <v>0</v>
      </c>
      <c r="V11" s="98">
        <f>IFERROR(AVERAGEIFS(Storage_Share_Detail!$G$2:$G$1025,Storage_Share_Detail!$A$2:$A$1025,"Init",Storage_Share_Detail!$B$2:$B$1025,"GCAM4_SSP4-26",Storage_Share_Detail!$C$2:$C$1025,$A11,Storage_Share_Detail!$D$2:$D$1025,2020),0)</f>
        <v>0</v>
      </c>
      <c r="W11" s="98">
        <f>IFERROR(AVERAGEIFS(Storage_Share_Detail!$G$2:$G$1025,Storage_Share_Detail!$A$2:$A$1025,"Init",Storage_Share_Detail!$B$2:$B$1025,"GCAM4_SSP4-26",Storage_Share_Detail!$C$2:$C$1025,$A11,Storage_Share_Detail!$D$2:$D$1025,2030),0)</f>
        <v>0</v>
      </c>
      <c r="X11" s="98">
        <f>IFERROR(AVERAGEIFS(Storage_Share_Detail!$G$2:$G$1025,Storage_Share_Detail!$A$2:$A$1025,"Init",Storage_Share_Detail!$B$2:$B$1025,"GCAM4_SSP4-26",Storage_Share_Detail!$C$2:$C$1025,$A11,Storage_Share_Detail!$D$2:$D$1025,2040),0)</f>
        <v>0</v>
      </c>
      <c r="Y11" s="98">
        <f>IFERROR(AVERAGEIFS(Storage_Share_Detail!$G$2:$G$1025,Storage_Share_Detail!$A$2:$A$1025,"Init",Storage_Share_Detail!$B$2:$B$1025,"GCAM4_SSP4-26",Storage_Share_Detail!$C$2:$C$1025,$A11,Storage_Share_Detail!$D$2:$D$1025,2050),0)</f>
        <v>0</v>
      </c>
      <c r="Z11" s="99">
        <f>IFERROR(AVERAGEIFS(Storage_Share_Detail!$K$2:$K$1025,Storage_Share_Detail!$A$2:$A$1025,"Init",Storage_Share_Detail!$B$2:$B$1025,"GCAM4_SSP4-26",Storage_Share_Detail!$C$2:$C$1025,$A11),0)</f>
        <v>0</v>
      </c>
      <c r="AA11" s="98">
        <f>IFERROR(AVERAGEIFS(Storage_Share_Detail!$G$2:$G$1025,Storage_Share_Detail!$A$2:$A$1025,"Opti",Storage_Share_Detail!$B$2:$B$1025,"GCAM4_SSP4-26",Storage_Share_Detail!$C$2:$C$1025,$A11,Storage_Share_Detail!$D$2:$D$1025,2020),0)</f>
        <v>0</v>
      </c>
      <c r="AB11" s="98">
        <f>IFERROR(AVERAGEIFS(Storage_Share_Detail!$G$2:$G$1025,Storage_Share_Detail!$A$2:$A$1025,"Opti",Storage_Share_Detail!$B$2:$B$1025,"GCAM4_SSP4-26",Storage_Share_Detail!$C$2:$C$1025,$A11,Storage_Share_Detail!$D$2:$D$1025,2030),0)</f>
        <v>0</v>
      </c>
      <c r="AC11" s="98">
        <f>IFERROR(AVERAGEIFS(Storage_Share_Detail!$G$2:$G$1025,Storage_Share_Detail!$A$2:$A$1025,"Opti",Storage_Share_Detail!$B$2:$B$1025,"GCAM4_SSP4-26",Storage_Share_Detail!$C$2:$C$1025,$A11,Storage_Share_Detail!$D$2:$D$1025,2040),0)</f>
        <v>0</v>
      </c>
      <c r="AD11" s="98">
        <f>IFERROR(AVERAGEIFS(Storage_Share_Detail!$G$2:$G$1025,Storage_Share_Detail!$A$2:$A$1025,"Opti",Storage_Share_Detail!$B$2:$B$1025,"GCAM4_SSP4-26",Storage_Share_Detail!$C$2:$C$1025,$A11,Storage_Share_Detail!$D$2:$D$1025,2050),0)</f>
        <v>0</v>
      </c>
      <c r="AE11" s="99">
        <f>IFERROR(AVERAGEIFS(Storage_Share_Detail!$K$2:$K$1025,Storage_Share_Detail!$A$2:$A$1025,"Opti",Storage_Share_Detail!$B$2:$B$1025,"GCAM4_SSP4-26",Storage_Share_Detail!$C$2:$C$1025,$A11),0)</f>
        <v>0</v>
      </c>
      <c r="AF11" s="98">
        <f>IFERROR(AVERAGEIFS(Storage_Share_Detail!$G$2:$G$1025,Storage_Share_Detail!$A$2:$A$1025,"Init",Storage_Share_Detail!$B$2:$B$1025,"REMIND-MAGPIE_SSP5-26",Storage_Share_Detail!$C$2:$C$1025,$A11,Storage_Share_Detail!$D$2:$D$1025,2020),0)</f>
        <v>0</v>
      </c>
      <c r="AG11" s="98">
        <f>IFERROR(AVERAGEIFS(Storage_Share_Detail!$G$2:$G$1025,Storage_Share_Detail!$A$2:$A$1025,"Init",Storage_Share_Detail!$B$2:$B$1025,"REMIND-MAGPIE_SSP5-26",Storage_Share_Detail!$C$2:$C$1025,$A11,Storage_Share_Detail!$D$2:$D$1025,2030),0)</f>
        <v>0</v>
      </c>
      <c r="AH11" s="98">
        <f>IFERROR(AVERAGEIFS(Storage_Share_Detail!$G$2:$G$1025,Storage_Share_Detail!$A$2:$A$1025,"Init",Storage_Share_Detail!$B$2:$B$1025,"REMIND-MAGPIE_SSP5-26",Storage_Share_Detail!$C$2:$C$1025,$A11,Storage_Share_Detail!$D$2:$D$1025,2040),0)</f>
        <v>0</v>
      </c>
      <c r="AI11" s="98">
        <f>IFERROR(AVERAGEIFS(Storage_Share_Detail!$G$2:$G$1025,Storage_Share_Detail!$A$2:$A$1025,"Init",Storage_Share_Detail!$B$2:$B$1025,"REMIND-MAGPIE_SSP5-26",Storage_Share_Detail!$C$2:$C$1025,$A11,Storage_Share_Detail!$D$2:$D$1025,2050),0)</f>
        <v>0</v>
      </c>
      <c r="AJ11" s="99">
        <f>IFERROR(AVERAGEIFS(Storage_Share_Detail!$K$2:$K$1025,Storage_Share_Detail!$A$2:$A$1025,"Init",Storage_Share_Detail!$B$2:$B$1025,"REMIND-MAGPIE_SSP5-26",Storage_Share_Detail!$C$2:$C$1025,$A11),0)</f>
        <v>0</v>
      </c>
      <c r="AK11" s="98">
        <f>IFERROR(AVERAGEIFS(Storage_Share_Detail!$G$2:$G$1025,Storage_Share_Detail!$A$2:$A$1025,"Opti",Storage_Share_Detail!$B$2:$B$1025,"REMIND-MAGPIE_SSP5-26",Storage_Share_Detail!$C$2:$C$1025,$A11,Storage_Share_Detail!$D$2:$D$1025,2020),0)</f>
        <v>0</v>
      </c>
      <c r="AL11" s="98">
        <f>IFERROR(AVERAGEIFS(Storage_Share_Detail!$G$2:$G$1025,Storage_Share_Detail!$A$2:$A$1025,"Opti",Storage_Share_Detail!$B$2:$B$1025,"REMIND-MAGPIE_SSP5-26",Storage_Share_Detail!$C$2:$C$1025,$A11,Storage_Share_Detail!$D$2:$D$1025,2030),0)</f>
        <v>0</v>
      </c>
      <c r="AM11" s="98">
        <f>IFERROR(AVERAGEIFS(Storage_Share_Detail!$G$2:$G$1025,Storage_Share_Detail!$A$2:$A$1025,"Opti",Storage_Share_Detail!$B$2:$B$1025,"REMIND-MAGPIE_SSP5-26",Storage_Share_Detail!$C$2:$C$1025,$A11,Storage_Share_Detail!$D$2:$D$1025,2040),0)</f>
        <v>0</v>
      </c>
      <c r="AN11" s="98">
        <f>IFERROR(AVERAGEIFS(Storage_Share_Detail!$G$2:$G$1025,Storage_Share_Detail!$A$2:$A$1025,"Opti",Storage_Share_Detail!$B$2:$B$1025,"REMIND-MAGPIE_SSP5-26",Storage_Share_Detail!$C$2:$C$1025,$A11,Storage_Share_Detail!$D$2:$D$1025,2050),0)</f>
        <v>0</v>
      </c>
      <c r="AO11" s="99">
        <f>IFERROR(AVERAGEIFS(Storage_Share_Detail!$K$2:$K$1025,Storage_Share_Detail!$A$2:$A$1025,"Opti",Storage_Share_Detail!$B$2:$B$1025,"REMIND-MAGPIE_SSP5-26",Storage_Share_Detail!$C$2:$C$1025,$A11),0)</f>
        <v>0</v>
      </c>
    </row>
    <row r="12" spans="1:41" x14ac:dyDescent="0.2">
      <c r="A12" s="102" t="s">
        <v>44</v>
      </c>
      <c r="B12" s="98">
        <f>IFERROR(AVERAGEIFS(Storage_Share_Detail!$G$2:$G$1025,Storage_Share_Detail!$A$2:$A$1025,"Init",Storage_Share_Detail!$B$2:$B$1025,"IMAGE_SSP1-26",Storage_Share_Detail!$C$2:$C$1025,$A12,Storage_Share_Detail!$D$2:$D$1025,2020),0)</f>
        <v>0</v>
      </c>
      <c r="C12" s="98">
        <f>IFERROR(AVERAGEIFS(Storage_Share_Detail!$G$2:$G$1025,Storage_Share_Detail!$A$2:$A$1025,"Init",Storage_Share_Detail!$B$2:$B$1025,"IMAGE_SSP1-26",Storage_Share_Detail!$C$2:$C$1025,$A12,Storage_Share_Detail!$D$2:$D$1025,2030),0)</f>
        <v>0</v>
      </c>
      <c r="D12" s="98">
        <f>IFERROR(AVERAGEIFS(Storage_Share_Detail!$G$2:$G$1025,Storage_Share_Detail!$A$2:$A$1025,"Init",Storage_Share_Detail!$B$2:$B$1025,"IMAGE_SSP1-26",Storage_Share_Detail!$C$2:$C$1025,$A12,Storage_Share_Detail!$D$2:$D$1025,2040),0)</f>
        <v>0</v>
      </c>
      <c r="E12" s="98">
        <f>IFERROR(AVERAGEIFS(Storage_Share_Detail!$G$2:$G$1025,Storage_Share_Detail!$A$2:$A$1025,"Init",Storage_Share_Detail!$B$2:$B$1025,"IMAGE_SSP1-26",Storage_Share_Detail!$C$2:$C$1025,$A12,Storage_Share_Detail!$D$2:$D$1025,2050),0)</f>
        <v>0</v>
      </c>
      <c r="F12" s="99">
        <f>IFERROR(AVERAGEIFS(Storage_Share_Detail!$K$2:$K$1025,Storage_Share_Detail!$A$2:$A$1025,"Init",Storage_Share_Detail!$B$2:$B$1025,"IMAGE_SSP1-26",Storage_Share_Detail!$C$2:$C$1025,$A12),0)</f>
        <v>0</v>
      </c>
      <c r="G12" s="98">
        <f>IFERROR(AVERAGEIFS(Storage_Share_Detail!$G$2:$G$1025,Storage_Share_Detail!$A$2:$A$1025,"Opti",Storage_Share_Detail!$B$2:$B$1025,"IMAGE_SSP1-26",Storage_Share_Detail!$C$2:$C$1025,$A12,Storage_Share_Detail!$D$2:$D$1025,2020),0)</f>
        <v>0</v>
      </c>
      <c r="H12" s="98">
        <f>IFERROR(AVERAGEIFS(Storage_Share_Detail!$G$2:$G$1025,Storage_Share_Detail!$A$2:$A$1025,"Opti",Storage_Share_Detail!$B$2:$B$1025,"IMAGE_SSP1-26",Storage_Share_Detail!$C$2:$C$1025,$A12,Storage_Share_Detail!$D$2:$D$1025,2030),0)</f>
        <v>0</v>
      </c>
      <c r="I12" s="98">
        <f>IFERROR(AVERAGEIFS(Storage_Share_Detail!$G$2:$G$1025,Storage_Share_Detail!$A$2:$A$1025,"Opti",Storage_Share_Detail!$B$2:$B$1025,"IMAGE_SSP1-26",Storage_Share_Detail!$C$2:$C$1025,$A12,Storage_Share_Detail!$D$2:$D$1025,2040),0)</f>
        <v>0</v>
      </c>
      <c r="J12" s="98">
        <f>IFERROR(AVERAGEIFS(Storage_Share_Detail!$G$2:$G$1025,Storage_Share_Detail!$A$2:$A$1025,"Opti",Storage_Share_Detail!$B$2:$B$1025,"IMAGE_SSP1-26",Storage_Share_Detail!$C$2:$C$1025,$A12,Storage_Share_Detail!$D$2:$D$1025,2050),0)</f>
        <v>0</v>
      </c>
      <c r="K12" s="99">
        <f>IFERROR(AVERAGEIFS(Storage_Share_Detail!$K$2:$K$1025,Storage_Share_Detail!$A$2:$A$1025,"Opti",Storage_Share_Detail!$B$2:$B$1025,"IMAGE_SSP1-26",Storage_Share_Detail!$C$2:$C$1025,$A12),0)</f>
        <v>0</v>
      </c>
      <c r="L12" s="98">
        <f>IFERROR(AVERAGEIFS(Storage_Share_Detail!$G$2:$G$1025,Storage_Share_Detail!$A$2:$A$1025,"Init",Storage_Share_Detail!$B$2:$B$1025,"MESSAGE-GLOBIOM_SSP2-26",Storage_Share_Detail!$C$2:$C$1025,$A12,Storage_Share_Detail!$D$2:$D$1025,2020),0)</f>
        <v>0</v>
      </c>
      <c r="M12" s="98">
        <f>IFERROR(AVERAGEIFS(Storage_Share_Detail!$G$2:$G$1025,Storage_Share_Detail!$A$2:$A$1025,"Init",Storage_Share_Detail!$B$2:$B$1025,"MESSAGE-GLOBIOM_SSP2-26",Storage_Share_Detail!$C$2:$C$1025,$A12,Storage_Share_Detail!$D$2:$D$1025,2030),0)</f>
        <v>0</v>
      </c>
      <c r="N12" s="98">
        <f>IFERROR(AVERAGEIFS(Storage_Share_Detail!$G$2:$G$1025,Storage_Share_Detail!$A$2:$A$1025,"Init",Storage_Share_Detail!$B$2:$B$1025,"MESSAGE-GLOBIOM_SSP2-26",Storage_Share_Detail!$C$2:$C$1025,$A12,Storage_Share_Detail!$D$2:$D$1025,2040),0)</f>
        <v>0</v>
      </c>
      <c r="O12" s="98">
        <f>IFERROR(AVERAGEIFS(Storage_Share_Detail!$G$2:$G$1025,Storage_Share_Detail!$A$2:$A$1025,"Init",Storage_Share_Detail!$B$2:$B$1025,"MESSAGE-GLOBIOM_SSP2-26",Storage_Share_Detail!$C$2:$C$1025,$A12,Storage_Share_Detail!$D$2:$D$1025,2050),0)</f>
        <v>0</v>
      </c>
      <c r="P12" s="99">
        <f>IFERROR(AVERAGEIFS(Storage_Share_Detail!$K$2:$K$1025,Storage_Share_Detail!$A$2:$A$1025,"Init",Storage_Share_Detail!$B$2:$B$1025,"MESSAGE-GLOBIOM_SSP2-26",Storage_Share_Detail!$C$2:$C$1025,$A12),0)</f>
        <v>0</v>
      </c>
      <c r="Q12" s="98">
        <f>IFERROR(AVERAGEIFS(Storage_Share_Detail!$G$2:$G$1025,Storage_Share_Detail!$A$2:$A$1025,"Opti",Storage_Share_Detail!$B$2:$B$1025,"MESSAGE-GLOBIOM_SSP2-26",Storage_Share_Detail!$C$2:$C$1025,$A12,Storage_Share_Detail!$D$2:$D$1025,2020),0)</f>
        <v>0</v>
      </c>
      <c r="R12" s="98">
        <f>IFERROR(AVERAGEIFS(Storage_Share_Detail!$G$2:$G$1025,Storage_Share_Detail!$A$2:$A$1025,"Opti",Storage_Share_Detail!$B$2:$B$1025,"MESSAGE-GLOBIOM_SSP2-26",Storage_Share_Detail!$C$2:$C$1025,$A12,Storage_Share_Detail!$D$2:$D$1025,2030),0)</f>
        <v>0</v>
      </c>
      <c r="S12" s="98">
        <f>IFERROR(AVERAGEIFS(Storage_Share_Detail!$G$2:$G$1025,Storage_Share_Detail!$A$2:$A$1025,"Opti",Storage_Share_Detail!$B$2:$B$1025,"MESSAGE-GLOBIOM_SSP2-26",Storage_Share_Detail!$C$2:$C$1025,$A12,Storage_Share_Detail!$D$2:$D$1025,2040),0)</f>
        <v>0</v>
      </c>
      <c r="T12" s="98">
        <f>IFERROR(AVERAGEIFS(Storage_Share_Detail!$G$2:$G$1025,Storage_Share_Detail!$A$2:$A$1025,"Opti",Storage_Share_Detail!$B$2:$B$1025,"MESSAGE-GLOBIOM_SSP2-26",Storage_Share_Detail!$C$2:$C$1025,$A12,Storage_Share_Detail!$D$2:$D$1025,2050),0)</f>
        <v>0</v>
      </c>
      <c r="U12" s="99">
        <f>IFERROR(AVERAGEIFS(Storage_Share_Detail!$K$2:$K$1025,Storage_Share_Detail!$A$2:$A$1025,"Opti",Storage_Share_Detail!$B$2:$B$1025,"MESSAGE-GLOBIOM_SSP2-26",Storage_Share_Detail!$C$2:$C$1025,$A12),0)</f>
        <v>0</v>
      </c>
      <c r="V12" s="98">
        <f>IFERROR(AVERAGEIFS(Storage_Share_Detail!$G$2:$G$1025,Storage_Share_Detail!$A$2:$A$1025,"Init",Storage_Share_Detail!$B$2:$B$1025,"GCAM4_SSP4-26",Storage_Share_Detail!$C$2:$C$1025,$A12,Storage_Share_Detail!$D$2:$D$1025,2020),0)</f>
        <v>0</v>
      </c>
      <c r="W12" s="98">
        <f>IFERROR(AVERAGEIFS(Storage_Share_Detail!$G$2:$G$1025,Storage_Share_Detail!$A$2:$A$1025,"Init",Storage_Share_Detail!$B$2:$B$1025,"GCAM4_SSP4-26",Storage_Share_Detail!$C$2:$C$1025,$A12,Storage_Share_Detail!$D$2:$D$1025,2030),0)</f>
        <v>0</v>
      </c>
      <c r="X12" s="98">
        <f>IFERROR(AVERAGEIFS(Storage_Share_Detail!$G$2:$G$1025,Storage_Share_Detail!$A$2:$A$1025,"Init",Storage_Share_Detail!$B$2:$B$1025,"GCAM4_SSP4-26",Storage_Share_Detail!$C$2:$C$1025,$A12,Storage_Share_Detail!$D$2:$D$1025,2040),0)</f>
        <v>0</v>
      </c>
      <c r="Y12" s="98">
        <f>IFERROR(AVERAGEIFS(Storage_Share_Detail!$G$2:$G$1025,Storage_Share_Detail!$A$2:$A$1025,"Init",Storage_Share_Detail!$B$2:$B$1025,"GCAM4_SSP4-26",Storage_Share_Detail!$C$2:$C$1025,$A12,Storage_Share_Detail!$D$2:$D$1025,2050),0)</f>
        <v>0</v>
      </c>
      <c r="Z12" s="99">
        <f>IFERROR(AVERAGEIFS(Storage_Share_Detail!$K$2:$K$1025,Storage_Share_Detail!$A$2:$A$1025,"Init",Storage_Share_Detail!$B$2:$B$1025,"GCAM4_SSP4-26",Storage_Share_Detail!$C$2:$C$1025,$A12),0)</f>
        <v>0</v>
      </c>
      <c r="AA12" s="98">
        <f>IFERROR(AVERAGEIFS(Storage_Share_Detail!$G$2:$G$1025,Storage_Share_Detail!$A$2:$A$1025,"Opti",Storage_Share_Detail!$B$2:$B$1025,"GCAM4_SSP4-26",Storage_Share_Detail!$C$2:$C$1025,$A12,Storage_Share_Detail!$D$2:$D$1025,2020),0)</f>
        <v>0</v>
      </c>
      <c r="AB12" s="98">
        <f>IFERROR(AVERAGEIFS(Storage_Share_Detail!$G$2:$G$1025,Storage_Share_Detail!$A$2:$A$1025,"Opti",Storage_Share_Detail!$B$2:$B$1025,"GCAM4_SSP4-26",Storage_Share_Detail!$C$2:$C$1025,$A12,Storage_Share_Detail!$D$2:$D$1025,2030),0)</f>
        <v>0</v>
      </c>
      <c r="AC12" s="98">
        <f>IFERROR(AVERAGEIFS(Storage_Share_Detail!$G$2:$G$1025,Storage_Share_Detail!$A$2:$A$1025,"Opti",Storage_Share_Detail!$B$2:$B$1025,"GCAM4_SSP4-26",Storage_Share_Detail!$C$2:$C$1025,$A12,Storage_Share_Detail!$D$2:$D$1025,2040),0)</f>
        <v>0</v>
      </c>
      <c r="AD12" s="98">
        <f>IFERROR(AVERAGEIFS(Storage_Share_Detail!$G$2:$G$1025,Storage_Share_Detail!$A$2:$A$1025,"Opti",Storage_Share_Detail!$B$2:$B$1025,"GCAM4_SSP4-26",Storage_Share_Detail!$C$2:$C$1025,$A12,Storage_Share_Detail!$D$2:$D$1025,2050),0)</f>
        <v>0</v>
      </c>
      <c r="AE12" s="99">
        <f>IFERROR(AVERAGEIFS(Storage_Share_Detail!$K$2:$K$1025,Storage_Share_Detail!$A$2:$A$1025,"Opti",Storage_Share_Detail!$B$2:$B$1025,"GCAM4_SSP4-26",Storage_Share_Detail!$C$2:$C$1025,$A12),0)</f>
        <v>0</v>
      </c>
      <c r="AF12" s="98">
        <f>IFERROR(AVERAGEIFS(Storage_Share_Detail!$G$2:$G$1025,Storage_Share_Detail!$A$2:$A$1025,"Init",Storage_Share_Detail!$B$2:$B$1025,"REMIND-MAGPIE_SSP5-26",Storage_Share_Detail!$C$2:$C$1025,$A12,Storage_Share_Detail!$D$2:$D$1025,2020),0)</f>
        <v>0</v>
      </c>
      <c r="AG12" s="98">
        <f>IFERROR(AVERAGEIFS(Storage_Share_Detail!$G$2:$G$1025,Storage_Share_Detail!$A$2:$A$1025,"Init",Storage_Share_Detail!$B$2:$B$1025,"REMIND-MAGPIE_SSP5-26",Storage_Share_Detail!$C$2:$C$1025,$A12,Storage_Share_Detail!$D$2:$D$1025,2030),0)</f>
        <v>0</v>
      </c>
      <c r="AH12" s="98">
        <f>IFERROR(AVERAGEIFS(Storage_Share_Detail!$G$2:$G$1025,Storage_Share_Detail!$A$2:$A$1025,"Init",Storage_Share_Detail!$B$2:$B$1025,"REMIND-MAGPIE_SSP5-26",Storage_Share_Detail!$C$2:$C$1025,$A12,Storage_Share_Detail!$D$2:$D$1025,2040),0)</f>
        <v>0</v>
      </c>
      <c r="AI12" s="98">
        <f>IFERROR(AVERAGEIFS(Storage_Share_Detail!$G$2:$G$1025,Storage_Share_Detail!$A$2:$A$1025,"Init",Storage_Share_Detail!$B$2:$B$1025,"REMIND-MAGPIE_SSP5-26",Storage_Share_Detail!$C$2:$C$1025,$A12,Storage_Share_Detail!$D$2:$D$1025,2050),0)</f>
        <v>0</v>
      </c>
      <c r="AJ12" s="99">
        <f>IFERROR(AVERAGEIFS(Storage_Share_Detail!$K$2:$K$1025,Storage_Share_Detail!$A$2:$A$1025,"Init",Storage_Share_Detail!$B$2:$B$1025,"REMIND-MAGPIE_SSP5-26",Storage_Share_Detail!$C$2:$C$1025,$A12),0)</f>
        <v>0</v>
      </c>
      <c r="AK12" s="98">
        <f>IFERROR(AVERAGEIFS(Storage_Share_Detail!$G$2:$G$1025,Storage_Share_Detail!$A$2:$A$1025,"Opti",Storage_Share_Detail!$B$2:$B$1025,"REMIND-MAGPIE_SSP5-26",Storage_Share_Detail!$C$2:$C$1025,$A12,Storage_Share_Detail!$D$2:$D$1025,2020),0)</f>
        <v>0</v>
      </c>
      <c r="AL12" s="98">
        <f>IFERROR(AVERAGEIFS(Storage_Share_Detail!$G$2:$G$1025,Storage_Share_Detail!$A$2:$A$1025,"Opti",Storage_Share_Detail!$B$2:$B$1025,"REMIND-MAGPIE_SSP5-26",Storage_Share_Detail!$C$2:$C$1025,$A12,Storage_Share_Detail!$D$2:$D$1025,2030),0)</f>
        <v>0</v>
      </c>
      <c r="AM12" s="98">
        <f>IFERROR(AVERAGEIFS(Storage_Share_Detail!$G$2:$G$1025,Storage_Share_Detail!$A$2:$A$1025,"Opti",Storage_Share_Detail!$B$2:$B$1025,"REMIND-MAGPIE_SSP5-26",Storage_Share_Detail!$C$2:$C$1025,$A12,Storage_Share_Detail!$D$2:$D$1025,2040),0)</f>
        <v>0</v>
      </c>
      <c r="AN12" s="98">
        <f>IFERROR(AVERAGEIFS(Storage_Share_Detail!$G$2:$G$1025,Storage_Share_Detail!$A$2:$A$1025,"Opti",Storage_Share_Detail!$B$2:$B$1025,"REMIND-MAGPIE_SSP5-26",Storage_Share_Detail!$C$2:$C$1025,$A12,Storage_Share_Detail!$D$2:$D$1025,2050),0)</f>
        <v>0</v>
      </c>
      <c r="AO12" s="99">
        <f>IFERROR(AVERAGEIFS(Storage_Share_Detail!$K$2:$K$1025,Storage_Share_Detail!$A$2:$A$1025,"Opti",Storage_Share_Detail!$B$2:$B$1025,"REMIND-MAGPIE_SSP5-26",Storage_Share_Detail!$C$2:$C$1025,$A12),0)</f>
        <v>0</v>
      </c>
    </row>
    <row r="13" spans="1:41" x14ac:dyDescent="0.2">
      <c r="A13" s="102" t="s">
        <v>45</v>
      </c>
      <c r="B13" s="98">
        <f>IFERROR(AVERAGEIFS(Storage_Share_Detail!$G$2:$G$1025,Storage_Share_Detail!$A$2:$A$1025,"Init",Storage_Share_Detail!$B$2:$B$1025,"IMAGE_SSP1-26",Storage_Share_Detail!$C$2:$C$1025,$A13,Storage_Share_Detail!$D$2:$D$1025,2020),0)</f>
        <v>0</v>
      </c>
      <c r="C13" s="98">
        <f>IFERROR(AVERAGEIFS(Storage_Share_Detail!$G$2:$G$1025,Storage_Share_Detail!$A$2:$A$1025,"Init",Storage_Share_Detail!$B$2:$B$1025,"IMAGE_SSP1-26",Storage_Share_Detail!$C$2:$C$1025,$A13,Storage_Share_Detail!$D$2:$D$1025,2030),0)</f>
        <v>0</v>
      </c>
      <c r="D13" s="98">
        <f>IFERROR(AVERAGEIFS(Storage_Share_Detail!$G$2:$G$1025,Storage_Share_Detail!$A$2:$A$1025,"Init",Storage_Share_Detail!$B$2:$B$1025,"IMAGE_SSP1-26",Storage_Share_Detail!$C$2:$C$1025,$A13,Storage_Share_Detail!$D$2:$D$1025,2040),0)</f>
        <v>0</v>
      </c>
      <c r="E13" s="98">
        <f>IFERROR(AVERAGEIFS(Storage_Share_Detail!$G$2:$G$1025,Storage_Share_Detail!$A$2:$A$1025,"Init",Storage_Share_Detail!$B$2:$B$1025,"IMAGE_SSP1-26",Storage_Share_Detail!$C$2:$C$1025,$A13,Storage_Share_Detail!$D$2:$D$1025,2050),0)</f>
        <v>0</v>
      </c>
      <c r="F13" s="99">
        <f>IFERROR(AVERAGEIFS(Storage_Share_Detail!$K$2:$K$1025,Storage_Share_Detail!$A$2:$A$1025,"Init",Storage_Share_Detail!$B$2:$B$1025,"IMAGE_SSP1-26",Storage_Share_Detail!$C$2:$C$1025,$A13),0)</f>
        <v>0</v>
      </c>
      <c r="G13" s="98">
        <f>IFERROR(AVERAGEIFS(Storage_Share_Detail!$G$2:$G$1025,Storage_Share_Detail!$A$2:$A$1025,"Opti",Storage_Share_Detail!$B$2:$B$1025,"IMAGE_SSP1-26",Storage_Share_Detail!$C$2:$C$1025,$A13,Storage_Share_Detail!$D$2:$D$1025,2020),0)</f>
        <v>0</v>
      </c>
      <c r="H13" s="98">
        <f>IFERROR(AVERAGEIFS(Storage_Share_Detail!$G$2:$G$1025,Storage_Share_Detail!$A$2:$A$1025,"Opti",Storage_Share_Detail!$B$2:$B$1025,"IMAGE_SSP1-26",Storage_Share_Detail!$C$2:$C$1025,$A13,Storage_Share_Detail!$D$2:$D$1025,2030),0)</f>
        <v>0</v>
      </c>
      <c r="I13" s="98">
        <f>IFERROR(AVERAGEIFS(Storage_Share_Detail!$G$2:$G$1025,Storage_Share_Detail!$A$2:$A$1025,"Opti",Storage_Share_Detail!$B$2:$B$1025,"IMAGE_SSP1-26",Storage_Share_Detail!$C$2:$C$1025,$A13,Storage_Share_Detail!$D$2:$D$1025,2040),0)</f>
        <v>0</v>
      </c>
      <c r="J13" s="98">
        <f>IFERROR(AVERAGEIFS(Storage_Share_Detail!$G$2:$G$1025,Storage_Share_Detail!$A$2:$A$1025,"Opti",Storage_Share_Detail!$B$2:$B$1025,"IMAGE_SSP1-26",Storage_Share_Detail!$C$2:$C$1025,$A13,Storage_Share_Detail!$D$2:$D$1025,2050),0)</f>
        <v>0</v>
      </c>
      <c r="K13" s="99">
        <f>IFERROR(AVERAGEIFS(Storage_Share_Detail!$K$2:$K$1025,Storage_Share_Detail!$A$2:$A$1025,"Opti",Storage_Share_Detail!$B$2:$B$1025,"IMAGE_SSP1-26",Storage_Share_Detail!$C$2:$C$1025,$A13),0)</f>
        <v>0</v>
      </c>
      <c r="L13" s="98">
        <f>IFERROR(AVERAGEIFS(Storage_Share_Detail!$G$2:$G$1025,Storage_Share_Detail!$A$2:$A$1025,"Init",Storage_Share_Detail!$B$2:$B$1025,"MESSAGE-GLOBIOM_SSP2-26",Storage_Share_Detail!$C$2:$C$1025,$A13,Storage_Share_Detail!$D$2:$D$1025,2020),0)</f>
        <v>0</v>
      </c>
      <c r="M13" s="98">
        <f>IFERROR(AVERAGEIFS(Storage_Share_Detail!$G$2:$G$1025,Storage_Share_Detail!$A$2:$A$1025,"Init",Storage_Share_Detail!$B$2:$B$1025,"MESSAGE-GLOBIOM_SSP2-26",Storage_Share_Detail!$C$2:$C$1025,$A13,Storage_Share_Detail!$D$2:$D$1025,2030),0)</f>
        <v>0</v>
      </c>
      <c r="N13" s="98">
        <f>IFERROR(AVERAGEIFS(Storage_Share_Detail!$G$2:$G$1025,Storage_Share_Detail!$A$2:$A$1025,"Init",Storage_Share_Detail!$B$2:$B$1025,"MESSAGE-GLOBIOM_SSP2-26",Storage_Share_Detail!$C$2:$C$1025,$A13,Storage_Share_Detail!$D$2:$D$1025,2040),0)</f>
        <v>0</v>
      </c>
      <c r="O13" s="98">
        <f>IFERROR(AVERAGEIFS(Storage_Share_Detail!$G$2:$G$1025,Storage_Share_Detail!$A$2:$A$1025,"Init",Storage_Share_Detail!$B$2:$B$1025,"MESSAGE-GLOBIOM_SSP2-26",Storage_Share_Detail!$C$2:$C$1025,$A13,Storage_Share_Detail!$D$2:$D$1025,2050),0)</f>
        <v>0</v>
      </c>
      <c r="P13" s="99">
        <f>IFERROR(AVERAGEIFS(Storage_Share_Detail!$K$2:$K$1025,Storage_Share_Detail!$A$2:$A$1025,"Init",Storage_Share_Detail!$B$2:$B$1025,"MESSAGE-GLOBIOM_SSP2-26",Storage_Share_Detail!$C$2:$C$1025,$A13),0)</f>
        <v>0</v>
      </c>
      <c r="Q13" s="98">
        <f>IFERROR(AVERAGEIFS(Storage_Share_Detail!$G$2:$G$1025,Storage_Share_Detail!$A$2:$A$1025,"Opti",Storage_Share_Detail!$B$2:$B$1025,"MESSAGE-GLOBIOM_SSP2-26",Storage_Share_Detail!$C$2:$C$1025,$A13,Storage_Share_Detail!$D$2:$D$1025,2020),0)</f>
        <v>0</v>
      </c>
      <c r="R13" s="98">
        <f>IFERROR(AVERAGEIFS(Storage_Share_Detail!$G$2:$G$1025,Storage_Share_Detail!$A$2:$A$1025,"Opti",Storage_Share_Detail!$B$2:$B$1025,"MESSAGE-GLOBIOM_SSP2-26",Storage_Share_Detail!$C$2:$C$1025,$A13,Storage_Share_Detail!$D$2:$D$1025,2030),0)</f>
        <v>0</v>
      </c>
      <c r="S13" s="98">
        <f>IFERROR(AVERAGEIFS(Storage_Share_Detail!$G$2:$G$1025,Storage_Share_Detail!$A$2:$A$1025,"Opti",Storage_Share_Detail!$B$2:$B$1025,"MESSAGE-GLOBIOM_SSP2-26",Storage_Share_Detail!$C$2:$C$1025,$A13,Storage_Share_Detail!$D$2:$D$1025,2040),0)</f>
        <v>0</v>
      </c>
      <c r="T13" s="98">
        <f>IFERROR(AVERAGEIFS(Storage_Share_Detail!$G$2:$G$1025,Storage_Share_Detail!$A$2:$A$1025,"Opti",Storage_Share_Detail!$B$2:$B$1025,"MESSAGE-GLOBIOM_SSP2-26",Storage_Share_Detail!$C$2:$C$1025,$A13,Storage_Share_Detail!$D$2:$D$1025,2050),0)</f>
        <v>0</v>
      </c>
      <c r="U13" s="99">
        <f>IFERROR(AVERAGEIFS(Storage_Share_Detail!$K$2:$K$1025,Storage_Share_Detail!$A$2:$A$1025,"Opti",Storage_Share_Detail!$B$2:$B$1025,"MESSAGE-GLOBIOM_SSP2-26",Storage_Share_Detail!$C$2:$C$1025,$A13),0)</f>
        <v>0</v>
      </c>
      <c r="V13" s="98">
        <f>IFERROR(AVERAGEIFS(Storage_Share_Detail!$G$2:$G$1025,Storage_Share_Detail!$A$2:$A$1025,"Init",Storage_Share_Detail!$B$2:$B$1025,"GCAM4_SSP4-26",Storage_Share_Detail!$C$2:$C$1025,$A13,Storage_Share_Detail!$D$2:$D$1025,2020),0)</f>
        <v>0</v>
      </c>
      <c r="W13" s="98">
        <f>IFERROR(AVERAGEIFS(Storage_Share_Detail!$G$2:$G$1025,Storage_Share_Detail!$A$2:$A$1025,"Init",Storage_Share_Detail!$B$2:$B$1025,"GCAM4_SSP4-26",Storage_Share_Detail!$C$2:$C$1025,$A13,Storage_Share_Detail!$D$2:$D$1025,2030),0)</f>
        <v>0</v>
      </c>
      <c r="X13" s="98">
        <f>IFERROR(AVERAGEIFS(Storage_Share_Detail!$G$2:$G$1025,Storage_Share_Detail!$A$2:$A$1025,"Init",Storage_Share_Detail!$B$2:$B$1025,"GCAM4_SSP4-26",Storage_Share_Detail!$C$2:$C$1025,$A13,Storage_Share_Detail!$D$2:$D$1025,2040),0)</f>
        <v>0</v>
      </c>
      <c r="Y13" s="98">
        <f>IFERROR(AVERAGEIFS(Storage_Share_Detail!$G$2:$G$1025,Storage_Share_Detail!$A$2:$A$1025,"Init",Storage_Share_Detail!$B$2:$B$1025,"GCAM4_SSP4-26",Storage_Share_Detail!$C$2:$C$1025,$A13,Storage_Share_Detail!$D$2:$D$1025,2050),0)</f>
        <v>0</v>
      </c>
      <c r="Z13" s="99">
        <f>IFERROR(AVERAGEIFS(Storage_Share_Detail!$K$2:$K$1025,Storage_Share_Detail!$A$2:$A$1025,"Init",Storage_Share_Detail!$B$2:$B$1025,"GCAM4_SSP4-26",Storage_Share_Detail!$C$2:$C$1025,$A13),0)</f>
        <v>0</v>
      </c>
      <c r="AA13" s="98">
        <f>IFERROR(AVERAGEIFS(Storage_Share_Detail!$G$2:$G$1025,Storage_Share_Detail!$A$2:$A$1025,"Opti",Storage_Share_Detail!$B$2:$B$1025,"GCAM4_SSP4-26",Storage_Share_Detail!$C$2:$C$1025,$A13,Storage_Share_Detail!$D$2:$D$1025,2020),0)</f>
        <v>0</v>
      </c>
      <c r="AB13" s="98">
        <f>IFERROR(AVERAGEIFS(Storage_Share_Detail!$G$2:$G$1025,Storage_Share_Detail!$A$2:$A$1025,"Opti",Storage_Share_Detail!$B$2:$B$1025,"GCAM4_SSP4-26",Storage_Share_Detail!$C$2:$C$1025,$A13,Storage_Share_Detail!$D$2:$D$1025,2030),0)</f>
        <v>0</v>
      </c>
      <c r="AC13" s="98">
        <f>IFERROR(AVERAGEIFS(Storage_Share_Detail!$G$2:$G$1025,Storage_Share_Detail!$A$2:$A$1025,"Opti",Storage_Share_Detail!$B$2:$B$1025,"GCAM4_SSP4-26",Storage_Share_Detail!$C$2:$C$1025,$A13,Storage_Share_Detail!$D$2:$D$1025,2040),0)</f>
        <v>0</v>
      </c>
      <c r="AD13" s="98">
        <f>IFERROR(AVERAGEIFS(Storage_Share_Detail!$G$2:$G$1025,Storage_Share_Detail!$A$2:$A$1025,"Opti",Storage_Share_Detail!$B$2:$B$1025,"GCAM4_SSP4-26",Storage_Share_Detail!$C$2:$C$1025,$A13,Storage_Share_Detail!$D$2:$D$1025,2050),0)</f>
        <v>0</v>
      </c>
      <c r="AE13" s="99">
        <f>IFERROR(AVERAGEIFS(Storage_Share_Detail!$K$2:$K$1025,Storage_Share_Detail!$A$2:$A$1025,"Opti",Storage_Share_Detail!$B$2:$B$1025,"GCAM4_SSP4-26",Storage_Share_Detail!$C$2:$C$1025,$A13),0)</f>
        <v>0</v>
      </c>
      <c r="AF13" s="98">
        <f>IFERROR(AVERAGEIFS(Storage_Share_Detail!$G$2:$G$1025,Storage_Share_Detail!$A$2:$A$1025,"Init",Storage_Share_Detail!$B$2:$B$1025,"REMIND-MAGPIE_SSP5-26",Storage_Share_Detail!$C$2:$C$1025,$A13,Storage_Share_Detail!$D$2:$D$1025,2020),0)</f>
        <v>0</v>
      </c>
      <c r="AG13" s="98">
        <f>IFERROR(AVERAGEIFS(Storage_Share_Detail!$G$2:$G$1025,Storage_Share_Detail!$A$2:$A$1025,"Init",Storage_Share_Detail!$B$2:$B$1025,"REMIND-MAGPIE_SSP5-26",Storage_Share_Detail!$C$2:$C$1025,$A13,Storage_Share_Detail!$D$2:$D$1025,2030),0)</f>
        <v>0</v>
      </c>
      <c r="AH13" s="98">
        <f>IFERROR(AVERAGEIFS(Storage_Share_Detail!$G$2:$G$1025,Storage_Share_Detail!$A$2:$A$1025,"Init",Storage_Share_Detail!$B$2:$B$1025,"REMIND-MAGPIE_SSP5-26",Storage_Share_Detail!$C$2:$C$1025,$A13,Storage_Share_Detail!$D$2:$D$1025,2040),0)</f>
        <v>0</v>
      </c>
      <c r="AI13" s="98">
        <f>IFERROR(AVERAGEIFS(Storage_Share_Detail!$G$2:$G$1025,Storage_Share_Detail!$A$2:$A$1025,"Init",Storage_Share_Detail!$B$2:$B$1025,"REMIND-MAGPIE_SSP5-26",Storage_Share_Detail!$C$2:$C$1025,$A13,Storage_Share_Detail!$D$2:$D$1025,2050),0)</f>
        <v>0</v>
      </c>
      <c r="AJ13" s="99">
        <f>IFERROR(AVERAGEIFS(Storage_Share_Detail!$K$2:$K$1025,Storage_Share_Detail!$A$2:$A$1025,"Init",Storage_Share_Detail!$B$2:$B$1025,"REMIND-MAGPIE_SSP5-26",Storage_Share_Detail!$C$2:$C$1025,$A13),0)</f>
        <v>0</v>
      </c>
      <c r="AK13" s="98">
        <f>IFERROR(AVERAGEIFS(Storage_Share_Detail!$G$2:$G$1025,Storage_Share_Detail!$A$2:$A$1025,"Opti",Storage_Share_Detail!$B$2:$B$1025,"REMIND-MAGPIE_SSP5-26",Storage_Share_Detail!$C$2:$C$1025,$A13,Storage_Share_Detail!$D$2:$D$1025,2020),0)</f>
        <v>0</v>
      </c>
      <c r="AL13" s="98">
        <f>IFERROR(AVERAGEIFS(Storage_Share_Detail!$G$2:$G$1025,Storage_Share_Detail!$A$2:$A$1025,"Opti",Storage_Share_Detail!$B$2:$B$1025,"REMIND-MAGPIE_SSP5-26",Storage_Share_Detail!$C$2:$C$1025,$A13,Storage_Share_Detail!$D$2:$D$1025,2030),0)</f>
        <v>0</v>
      </c>
      <c r="AM13" s="98">
        <f>IFERROR(AVERAGEIFS(Storage_Share_Detail!$G$2:$G$1025,Storage_Share_Detail!$A$2:$A$1025,"Opti",Storage_Share_Detail!$B$2:$B$1025,"REMIND-MAGPIE_SSP5-26",Storage_Share_Detail!$C$2:$C$1025,$A13,Storage_Share_Detail!$D$2:$D$1025,2040),0)</f>
        <v>0</v>
      </c>
      <c r="AN13" s="98">
        <f>IFERROR(AVERAGEIFS(Storage_Share_Detail!$G$2:$G$1025,Storage_Share_Detail!$A$2:$A$1025,"Opti",Storage_Share_Detail!$B$2:$B$1025,"REMIND-MAGPIE_SSP5-26",Storage_Share_Detail!$C$2:$C$1025,$A13,Storage_Share_Detail!$D$2:$D$1025,2050),0)</f>
        <v>0</v>
      </c>
      <c r="AO13" s="99">
        <f>IFERROR(AVERAGEIFS(Storage_Share_Detail!$K$2:$K$1025,Storage_Share_Detail!$A$2:$A$1025,"Opti",Storage_Share_Detail!$B$2:$B$1025,"REMIND-MAGPIE_SSP5-26",Storage_Share_Detail!$C$2:$C$1025,$A13),0)</f>
        <v>0</v>
      </c>
    </row>
    <row r="14" spans="1:41" x14ac:dyDescent="0.2">
      <c r="A14" s="102" t="s">
        <v>46</v>
      </c>
      <c r="B14" s="98">
        <f>IFERROR(AVERAGEIFS(Storage_Share_Detail!$G$2:$G$1025,Storage_Share_Detail!$A$2:$A$1025,"Init",Storage_Share_Detail!$B$2:$B$1025,"IMAGE_SSP1-26",Storage_Share_Detail!$C$2:$C$1025,$A14,Storage_Share_Detail!$D$2:$D$1025,2020),0)</f>
        <v>0</v>
      </c>
      <c r="C14" s="98">
        <f>IFERROR(AVERAGEIFS(Storage_Share_Detail!$G$2:$G$1025,Storage_Share_Detail!$A$2:$A$1025,"Init",Storage_Share_Detail!$B$2:$B$1025,"IMAGE_SSP1-26",Storage_Share_Detail!$C$2:$C$1025,$A14,Storage_Share_Detail!$D$2:$D$1025,2030),0)</f>
        <v>0</v>
      </c>
      <c r="D14" s="98">
        <f>IFERROR(AVERAGEIFS(Storage_Share_Detail!$G$2:$G$1025,Storage_Share_Detail!$A$2:$A$1025,"Init",Storage_Share_Detail!$B$2:$B$1025,"IMAGE_SSP1-26",Storage_Share_Detail!$C$2:$C$1025,$A14,Storage_Share_Detail!$D$2:$D$1025,2040),0)</f>
        <v>0</v>
      </c>
      <c r="E14" s="98">
        <f>IFERROR(AVERAGEIFS(Storage_Share_Detail!$G$2:$G$1025,Storage_Share_Detail!$A$2:$A$1025,"Init",Storage_Share_Detail!$B$2:$B$1025,"IMAGE_SSP1-26",Storage_Share_Detail!$C$2:$C$1025,$A14,Storage_Share_Detail!$D$2:$D$1025,2050),0)</f>
        <v>0</v>
      </c>
      <c r="F14" s="99">
        <f>IFERROR(AVERAGEIFS(Storage_Share_Detail!$K$2:$K$1025,Storage_Share_Detail!$A$2:$A$1025,"Init",Storage_Share_Detail!$B$2:$B$1025,"IMAGE_SSP1-26",Storage_Share_Detail!$C$2:$C$1025,$A14),0)</f>
        <v>0</v>
      </c>
      <c r="G14" s="98">
        <f>IFERROR(AVERAGEIFS(Storage_Share_Detail!$G$2:$G$1025,Storage_Share_Detail!$A$2:$A$1025,"Opti",Storage_Share_Detail!$B$2:$B$1025,"IMAGE_SSP1-26",Storage_Share_Detail!$C$2:$C$1025,$A14,Storage_Share_Detail!$D$2:$D$1025,2020),0)</f>
        <v>0</v>
      </c>
      <c r="H14" s="98">
        <f>IFERROR(AVERAGEIFS(Storage_Share_Detail!$G$2:$G$1025,Storage_Share_Detail!$A$2:$A$1025,"Opti",Storage_Share_Detail!$B$2:$B$1025,"IMAGE_SSP1-26",Storage_Share_Detail!$C$2:$C$1025,$A14,Storage_Share_Detail!$D$2:$D$1025,2030),0)</f>
        <v>0</v>
      </c>
      <c r="I14" s="98">
        <f>IFERROR(AVERAGEIFS(Storage_Share_Detail!$G$2:$G$1025,Storage_Share_Detail!$A$2:$A$1025,"Opti",Storage_Share_Detail!$B$2:$B$1025,"IMAGE_SSP1-26",Storage_Share_Detail!$C$2:$C$1025,$A14,Storage_Share_Detail!$D$2:$D$1025,2040),0)</f>
        <v>0</v>
      </c>
      <c r="J14" s="98">
        <f>IFERROR(AVERAGEIFS(Storage_Share_Detail!$G$2:$G$1025,Storage_Share_Detail!$A$2:$A$1025,"Opti",Storage_Share_Detail!$B$2:$B$1025,"IMAGE_SSP1-26",Storage_Share_Detail!$C$2:$C$1025,$A14,Storage_Share_Detail!$D$2:$D$1025,2050),0)</f>
        <v>0</v>
      </c>
      <c r="K14" s="99">
        <f>IFERROR(AVERAGEIFS(Storage_Share_Detail!$K$2:$K$1025,Storage_Share_Detail!$A$2:$A$1025,"Opti",Storage_Share_Detail!$B$2:$B$1025,"IMAGE_SSP1-26",Storage_Share_Detail!$C$2:$C$1025,$A14),0)</f>
        <v>0</v>
      </c>
      <c r="L14" s="98">
        <f>IFERROR(AVERAGEIFS(Storage_Share_Detail!$G$2:$G$1025,Storage_Share_Detail!$A$2:$A$1025,"Init",Storage_Share_Detail!$B$2:$B$1025,"MESSAGE-GLOBIOM_SSP2-26",Storage_Share_Detail!$C$2:$C$1025,$A14,Storage_Share_Detail!$D$2:$D$1025,2020),0)</f>
        <v>0</v>
      </c>
      <c r="M14" s="98">
        <f>IFERROR(AVERAGEIFS(Storage_Share_Detail!$G$2:$G$1025,Storage_Share_Detail!$A$2:$A$1025,"Init",Storage_Share_Detail!$B$2:$B$1025,"MESSAGE-GLOBIOM_SSP2-26",Storage_Share_Detail!$C$2:$C$1025,$A14,Storage_Share_Detail!$D$2:$D$1025,2030),0)</f>
        <v>0</v>
      </c>
      <c r="N14" s="98">
        <f>IFERROR(AVERAGEIFS(Storage_Share_Detail!$G$2:$G$1025,Storage_Share_Detail!$A$2:$A$1025,"Init",Storage_Share_Detail!$B$2:$B$1025,"MESSAGE-GLOBIOM_SSP2-26",Storage_Share_Detail!$C$2:$C$1025,$A14,Storage_Share_Detail!$D$2:$D$1025,2040),0)</f>
        <v>0</v>
      </c>
      <c r="O14" s="98">
        <f>IFERROR(AVERAGEIFS(Storage_Share_Detail!$G$2:$G$1025,Storage_Share_Detail!$A$2:$A$1025,"Init",Storage_Share_Detail!$B$2:$B$1025,"MESSAGE-GLOBIOM_SSP2-26",Storage_Share_Detail!$C$2:$C$1025,$A14,Storage_Share_Detail!$D$2:$D$1025,2050),0)</f>
        <v>0</v>
      </c>
      <c r="P14" s="99">
        <f>IFERROR(AVERAGEIFS(Storage_Share_Detail!$K$2:$K$1025,Storage_Share_Detail!$A$2:$A$1025,"Init",Storage_Share_Detail!$B$2:$B$1025,"MESSAGE-GLOBIOM_SSP2-26",Storage_Share_Detail!$C$2:$C$1025,$A14),0)</f>
        <v>0</v>
      </c>
      <c r="Q14" s="98">
        <f>IFERROR(AVERAGEIFS(Storage_Share_Detail!$G$2:$G$1025,Storage_Share_Detail!$A$2:$A$1025,"Opti",Storage_Share_Detail!$B$2:$B$1025,"MESSAGE-GLOBIOM_SSP2-26",Storage_Share_Detail!$C$2:$C$1025,$A14,Storage_Share_Detail!$D$2:$D$1025,2020),0)</f>
        <v>0</v>
      </c>
      <c r="R14" s="98">
        <f>IFERROR(AVERAGEIFS(Storage_Share_Detail!$G$2:$G$1025,Storage_Share_Detail!$A$2:$A$1025,"Opti",Storage_Share_Detail!$B$2:$B$1025,"MESSAGE-GLOBIOM_SSP2-26",Storage_Share_Detail!$C$2:$C$1025,$A14,Storage_Share_Detail!$D$2:$D$1025,2030),0)</f>
        <v>0</v>
      </c>
      <c r="S14" s="98">
        <f>IFERROR(AVERAGEIFS(Storage_Share_Detail!$G$2:$G$1025,Storage_Share_Detail!$A$2:$A$1025,"Opti",Storage_Share_Detail!$B$2:$B$1025,"MESSAGE-GLOBIOM_SSP2-26",Storage_Share_Detail!$C$2:$C$1025,$A14,Storage_Share_Detail!$D$2:$D$1025,2040),0)</f>
        <v>0</v>
      </c>
      <c r="T14" s="98">
        <f>IFERROR(AVERAGEIFS(Storage_Share_Detail!$G$2:$G$1025,Storage_Share_Detail!$A$2:$A$1025,"Opti",Storage_Share_Detail!$B$2:$B$1025,"MESSAGE-GLOBIOM_SSP2-26",Storage_Share_Detail!$C$2:$C$1025,$A14,Storage_Share_Detail!$D$2:$D$1025,2050),0)</f>
        <v>0</v>
      </c>
      <c r="U14" s="99">
        <f>IFERROR(AVERAGEIFS(Storage_Share_Detail!$K$2:$K$1025,Storage_Share_Detail!$A$2:$A$1025,"Opti",Storage_Share_Detail!$B$2:$B$1025,"MESSAGE-GLOBIOM_SSP2-26",Storage_Share_Detail!$C$2:$C$1025,$A14),0)</f>
        <v>0</v>
      </c>
      <c r="V14" s="98">
        <f>IFERROR(AVERAGEIFS(Storage_Share_Detail!$G$2:$G$1025,Storage_Share_Detail!$A$2:$A$1025,"Init",Storage_Share_Detail!$B$2:$B$1025,"GCAM4_SSP4-26",Storage_Share_Detail!$C$2:$C$1025,$A14,Storage_Share_Detail!$D$2:$D$1025,2020),0)</f>
        <v>0</v>
      </c>
      <c r="W14" s="98">
        <f>IFERROR(AVERAGEIFS(Storage_Share_Detail!$G$2:$G$1025,Storage_Share_Detail!$A$2:$A$1025,"Init",Storage_Share_Detail!$B$2:$B$1025,"GCAM4_SSP4-26",Storage_Share_Detail!$C$2:$C$1025,$A14,Storage_Share_Detail!$D$2:$D$1025,2030),0)</f>
        <v>0</v>
      </c>
      <c r="X14" s="98">
        <f>IFERROR(AVERAGEIFS(Storage_Share_Detail!$G$2:$G$1025,Storage_Share_Detail!$A$2:$A$1025,"Init",Storage_Share_Detail!$B$2:$B$1025,"GCAM4_SSP4-26",Storage_Share_Detail!$C$2:$C$1025,$A14,Storage_Share_Detail!$D$2:$D$1025,2040),0)</f>
        <v>0</v>
      </c>
      <c r="Y14" s="98">
        <f>IFERROR(AVERAGEIFS(Storage_Share_Detail!$G$2:$G$1025,Storage_Share_Detail!$A$2:$A$1025,"Init",Storage_Share_Detail!$B$2:$B$1025,"GCAM4_SSP4-26",Storage_Share_Detail!$C$2:$C$1025,$A14,Storage_Share_Detail!$D$2:$D$1025,2050),0)</f>
        <v>0</v>
      </c>
      <c r="Z14" s="99">
        <f>IFERROR(AVERAGEIFS(Storage_Share_Detail!$K$2:$K$1025,Storage_Share_Detail!$A$2:$A$1025,"Init",Storage_Share_Detail!$B$2:$B$1025,"GCAM4_SSP4-26",Storage_Share_Detail!$C$2:$C$1025,$A14),0)</f>
        <v>0</v>
      </c>
      <c r="AA14" s="98">
        <f>IFERROR(AVERAGEIFS(Storage_Share_Detail!$G$2:$G$1025,Storage_Share_Detail!$A$2:$A$1025,"Opti",Storage_Share_Detail!$B$2:$B$1025,"GCAM4_SSP4-26",Storage_Share_Detail!$C$2:$C$1025,$A14,Storage_Share_Detail!$D$2:$D$1025,2020),0)</f>
        <v>0</v>
      </c>
      <c r="AB14" s="98">
        <f>IFERROR(AVERAGEIFS(Storage_Share_Detail!$G$2:$G$1025,Storage_Share_Detail!$A$2:$A$1025,"Opti",Storage_Share_Detail!$B$2:$B$1025,"GCAM4_SSP4-26",Storage_Share_Detail!$C$2:$C$1025,$A14,Storage_Share_Detail!$D$2:$D$1025,2030),0)</f>
        <v>0</v>
      </c>
      <c r="AC14" s="98">
        <f>IFERROR(AVERAGEIFS(Storage_Share_Detail!$G$2:$G$1025,Storage_Share_Detail!$A$2:$A$1025,"Opti",Storage_Share_Detail!$B$2:$B$1025,"GCAM4_SSP4-26",Storage_Share_Detail!$C$2:$C$1025,$A14,Storage_Share_Detail!$D$2:$D$1025,2040),0)</f>
        <v>0</v>
      </c>
      <c r="AD14" s="98">
        <f>IFERROR(AVERAGEIFS(Storage_Share_Detail!$G$2:$G$1025,Storage_Share_Detail!$A$2:$A$1025,"Opti",Storage_Share_Detail!$B$2:$B$1025,"GCAM4_SSP4-26",Storage_Share_Detail!$C$2:$C$1025,$A14,Storage_Share_Detail!$D$2:$D$1025,2050),0)</f>
        <v>0</v>
      </c>
      <c r="AE14" s="99">
        <f>IFERROR(AVERAGEIFS(Storage_Share_Detail!$K$2:$K$1025,Storage_Share_Detail!$A$2:$A$1025,"Opti",Storage_Share_Detail!$B$2:$B$1025,"GCAM4_SSP4-26",Storage_Share_Detail!$C$2:$C$1025,$A14),0)</f>
        <v>0</v>
      </c>
      <c r="AF14" s="98">
        <f>IFERROR(AVERAGEIFS(Storage_Share_Detail!$G$2:$G$1025,Storage_Share_Detail!$A$2:$A$1025,"Init",Storage_Share_Detail!$B$2:$B$1025,"REMIND-MAGPIE_SSP5-26",Storage_Share_Detail!$C$2:$C$1025,$A14,Storage_Share_Detail!$D$2:$D$1025,2020),0)</f>
        <v>0</v>
      </c>
      <c r="AG14" s="98">
        <f>IFERROR(AVERAGEIFS(Storage_Share_Detail!$G$2:$G$1025,Storage_Share_Detail!$A$2:$A$1025,"Init",Storage_Share_Detail!$B$2:$B$1025,"REMIND-MAGPIE_SSP5-26",Storage_Share_Detail!$C$2:$C$1025,$A14,Storage_Share_Detail!$D$2:$D$1025,2030),0)</f>
        <v>0</v>
      </c>
      <c r="AH14" s="98">
        <f>IFERROR(AVERAGEIFS(Storage_Share_Detail!$G$2:$G$1025,Storage_Share_Detail!$A$2:$A$1025,"Init",Storage_Share_Detail!$B$2:$B$1025,"REMIND-MAGPIE_SSP5-26",Storage_Share_Detail!$C$2:$C$1025,$A14,Storage_Share_Detail!$D$2:$D$1025,2040),0)</f>
        <v>0</v>
      </c>
      <c r="AI14" s="98">
        <f>IFERROR(AVERAGEIFS(Storage_Share_Detail!$G$2:$G$1025,Storage_Share_Detail!$A$2:$A$1025,"Init",Storage_Share_Detail!$B$2:$B$1025,"REMIND-MAGPIE_SSP5-26",Storage_Share_Detail!$C$2:$C$1025,$A14,Storage_Share_Detail!$D$2:$D$1025,2050),0)</f>
        <v>0</v>
      </c>
      <c r="AJ14" s="99">
        <f>IFERROR(AVERAGEIFS(Storage_Share_Detail!$K$2:$K$1025,Storage_Share_Detail!$A$2:$A$1025,"Init",Storage_Share_Detail!$B$2:$B$1025,"REMIND-MAGPIE_SSP5-26",Storage_Share_Detail!$C$2:$C$1025,$A14),0)</f>
        <v>0</v>
      </c>
      <c r="AK14" s="98">
        <f>IFERROR(AVERAGEIFS(Storage_Share_Detail!$G$2:$G$1025,Storage_Share_Detail!$A$2:$A$1025,"Opti",Storage_Share_Detail!$B$2:$B$1025,"REMIND-MAGPIE_SSP5-26",Storage_Share_Detail!$C$2:$C$1025,$A14,Storage_Share_Detail!$D$2:$D$1025,2020),0)</f>
        <v>0</v>
      </c>
      <c r="AL14" s="98">
        <f>IFERROR(AVERAGEIFS(Storage_Share_Detail!$G$2:$G$1025,Storage_Share_Detail!$A$2:$A$1025,"Opti",Storage_Share_Detail!$B$2:$B$1025,"REMIND-MAGPIE_SSP5-26",Storage_Share_Detail!$C$2:$C$1025,$A14,Storage_Share_Detail!$D$2:$D$1025,2030),0)</f>
        <v>0</v>
      </c>
      <c r="AM14" s="98">
        <f>IFERROR(AVERAGEIFS(Storage_Share_Detail!$G$2:$G$1025,Storage_Share_Detail!$A$2:$A$1025,"Opti",Storage_Share_Detail!$B$2:$B$1025,"REMIND-MAGPIE_SSP5-26",Storage_Share_Detail!$C$2:$C$1025,$A14,Storage_Share_Detail!$D$2:$D$1025,2040),0)</f>
        <v>0</v>
      </c>
      <c r="AN14" s="98">
        <f>IFERROR(AVERAGEIFS(Storage_Share_Detail!$G$2:$G$1025,Storage_Share_Detail!$A$2:$A$1025,"Opti",Storage_Share_Detail!$B$2:$B$1025,"REMIND-MAGPIE_SSP5-26",Storage_Share_Detail!$C$2:$C$1025,$A14,Storage_Share_Detail!$D$2:$D$1025,2050),0)</f>
        <v>0</v>
      </c>
      <c r="AO14" s="99">
        <f>IFERROR(AVERAGEIFS(Storage_Share_Detail!$K$2:$K$1025,Storage_Share_Detail!$A$2:$A$1025,"Opti",Storage_Share_Detail!$B$2:$B$1025,"REMIND-MAGPIE_SSP5-26",Storage_Share_Detail!$C$2:$C$1025,$A14),0)</f>
        <v>0</v>
      </c>
    </row>
    <row r="15" spans="1:41" x14ac:dyDescent="0.2">
      <c r="A15" s="102" t="s">
        <v>47</v>
      </c>
      <c r="B15" s="98">
        <f>IFERROR(AVERAGEIFS(Storage_Share_Detail!$G$2:$G$1025,Storage_Share_Detail!$A$2:$A$1025,"Init",Storage_Share_Detail!$B$2:$B$1025,"IMAGE_SSP1-26",Storage_Share_Detail!$C$2:$C$1025,$A15,Storage_Share_Detail!$D$2:$D$1025,2020),0)</f>
        <v>0</v>
      </c>
      <c r="C15" s="98">
        <f>IFERROR(AVERAGEIFS(Storage_Share_Detail!$G$2:$G$1025,Storage_Share_Detail!$A$2:$A$1025,"Init",Storage_Share_Detail!$B$2:$B$1025,"IMAGE_SSP1-26",Storage_Share_Detail!$C$2:$C$1025,$A15,Storage_Share_Detail!$D$2:$D$1025,2030),0)</f>
        <v>0</v>
      </c>
      <c r="D15" s="98">
        <f>IFERROR(AVERAGEIFS(Storage_Share_Detail!$G$2:$G$1025,Storage_Share_Detail!$A$2:$A$1025,"Init",Storage_Share_Detail!$B$2:$B$1025,"IMAGE_SSP1-26",Storage_Share_Detail!$C$2:$C$1025,$A15,Storage_Share_Detail!$D$2:$D$1025,2040),0)</f>
        <v>0</v>
      </c>
      <c r="E15" s="98">
        <f>IFERROR(AVERAGEIFS(Storage_Share_Detail!$G$2:$G$1025,Storage_Share_Detail!$A$2:$A$1025,"Init",Storage_Share_Detail!$B$2:$B$1025,"IMAGE_SSP1-26",Storage_Share_Detail!$C$2:$C$1025,$A15,Storage_Share_Detail!$D$2:$D$1025,2050),0)</f>
        <v>0</v>
      </c>
      <c r="F15" s="99">
        <f>IFERROR(AVERAGEIFS(Storage_Share_Detail!$K$2:$K$1025,Storage_Share_Detail!$A$2:$A$1025,"Init",Storage_Share_Detail!$B$2:$B$1025,"IMAGE_SSP1-26",Storage_Share_Detail!$C$2:$C$1025,$A15),0)</f>
        <v>0</v>
      </c>
      <c r="G15" s="98">
        <f>IFERROR(AVERAGEIFS(Storage_Share_Detail!$G$2:$G$1025,Storage_Share_Detail!$A$2:$A$1025,"Opti",Storage_Share_Detail!$B$2:$B$1025,"IMAGE_SSP1-26",Storage_Share_Detail!$C$2:$C$1025,$A15,Storage_Share_Detail!$D$2:$D$1025,2020),0)</f>
        <v>0</v>
      </c>
      <c r="H15" s="98">
        <f>IFERROR(AVERAGEIFS(Storage_Share_Detail!$G$2:$G$1025,Storage_Share_Detail!$A$2:$A$1025,"Opti",Storage_Share_Detail!$B$2:$B$1025,"IMAGE_SSP1-26",Storage_Share_Detail!$C$2:$C$1025,$A15,Storage_Share_Detail!$D$2:$D$1025,2030),0)</f>
        <v>0</v>
      </c>
      <c r="I15" s="98">
        <f>IFERROR(AVERAGEIFS(Storage_Share_Detail!$G$2:$G$1025,Storage_Share_Detail!$A$2:$A$1025,"Opti",Storage_Share_Detail!$B$2:$B$1025,"IMAGE_SSP1-26",Storage_Share_Detail!$C$2:$C$1025,$A15,Storage_Share_Detail!$D$2:$D$1025,2040),0)</f>
        <v>0</v>
      </c>
      <c r="J15" s="98">
        <f>IFERROR(AVERAGEIFS(Storage_Share_Detail!$G$2:$G$1025,Storage_Share_Detail!$A$2:$A$1025,"Opti",Storage_Share_Detail!$B$2:$B$1025,"IMAGE_SSP1-26",Storage_Share_Detail!$C$2:$C$1025,$A15,Storage_Share_Detail!$D$2:$D$1025,2050),0)</f>
        <v>0</v>
      </c>
      <c r="K15" s="99">
        <f>IFERROR(AVERAGEIFS(Storage_Share_Detail!$K$2:$K$1025,Storage_Share_Detail!$A$2:$A$1025,"Opti",Storage_Share_Detail!$B$2:$B$1025,"IMAGE_SSP1-26",Storage_Share_Detail!$C$2:$C$1025,$A15),0)</f>
        <v>0</v>
      </c>
      <c r="L15" s="98">
        <f>IFERROR(AVERAGEIFS(Storage_Share_Detail!$G$2:$G$1025,Storage_Share_Detail!$A$2:$A$1025,"Init",Storage_Share_Detail!$B$2:$B$1025,"MESSAGE-GLOBIOM_SSP2-26",Storage_Share_Detail!$C$2:$C$1025,$A15,Storage_Share_Detail!$D$2:$D$1025,2020),0)</f>
        <v>0</v>
      </c>
      <c r="M15" s="98">
        <f>IFERROR(AVERAGEIFS(Storage_Share_Detail!$G$2:$G$1025,Storage_Share_Detail!$A$2:$A$1025,"Init",Storage_Share_Detail!$B$2:$B$1025,"MESSAGE-GLOBIOM_SSP2-26",Storage_Share_Detail!$C$2:$C$1025,$A15,Storage_Share_Detail!$D$2:$D$1025,2030),0)</f>
        <v>0</v>
      </c>
      <c r="N15" s="98">
        <f>IFERROR(AVERAGEIFS(Storage_Share_Detail!$G$2:$G$1025,Storage_Share_Detail!$A$2:$A$1025,"Init",Storage_Share_Detail!$B$2:$B$1025,"MESSAGE-GLOBIOM_SSP2-26",Storage_Share_Detail!$C$2:$C$1025,$A15,Storage_Share_Detail!$D$2:$D$1025,2040),0)</f>
        <v>0</v>
      </c>
      <c r="O15" s="98">
        <f>IFERROR(AVERAGEIFS(Storage_Share_Detail!$G$2:$G$1025,Storage_Share_Detail!$A$2:$A$1025,"Init",Storage_Share_Detail!$B$2:$B$1025,"MESSAGE-GLOBIOM_SSP2-26",Storage_Share_Detail!$C$2:$C$1025,$A15,Storage_Share_Detail!$D$2:$D$1025,2050),0)</f>
        <v>0</v>
      </c>
      <c r="P15" s="99">
        <f>IFERROR(AVERAGEIFS(Storage_Share_Detail!$K$2:$K$1025,Storage_Share_Detail!$A$2:$A$1025,"Init",Storage_Share_Detail!$B$2:$B$1025,"MESSAGE-GLOBIOM_SSP2-26",Storage_Share_Detail!$C$2:$C$1025,$A15),0)</f>
        <v>0</v>
      </c>
      <c r="Q15" s="98">
        <f>IFERROR(AVERAGEIFS(Storage_Share_Detail!$G$2:$G$1025,Storage_Share_Detail!$A$2:$A$1025,"Opti",Storage_Share_Detail!$B$2:$B$1025,"MESSAGE-GLOBIOM_SSP2-26",Storage_Share_Detail!$C$2:$C$1025,$A15,Storage_Share_Detail!$D$2:$D$1025,2020),0)</f>
        <v>0</v>
      </c>
      <c r="R15" s="98">
        <f>IFERROR(AVERAGEIFS(Storage_Share_Detail!$G$2:$G$1025,Storage_Share_Detail!$A$2:$A$1025,"Opti",Storage_Share_Detail!$B$2:$B$1025,"MESSAGE-GLOBIOM_SSP2-26",Storage_Share_Detail!$C$2:$C$1025,$A15,Storage_Share_Detail!$D$2:$D$1025,2030),0)</f>
        <v>0</v>
      </c>
      <c r="S15" s="98">
        <f>IFERROR(AVERAGEIFS(Storage_Share_Detail!$G$2:$G$1025,Storage_Share_Detail!$A$2:$A$1025,"Opti",Storage_Share_Detail!$B$2:$B$1025,"MESSAGE-GLOBIOM_SSP2-26",Storage_Share_Detail!$C$2:$C$1025,$A15,Storage_Share_Detail!$D$2:$D$1025,2040),0)</f>
        <v>0</v>
      </c>
      <c r="T15" s="98">
        <f>IFERROR(AVERAGEIFS(Storage_Share_Detail!$G$2:$G$1025,Storage_Share_Detail!$A$2:$A$1025,"Opti",Storage_Share_Detail!$B$2:$B$1025,"MESSAGE-GLOBIOM_SSP2-26",Storage_Share_Detail!$C$2:$C$1025,$A15,Storage_Share_Detail!$D$2:$D$1025,2050),0)</f>
        <v>0</v>
      </c>
      <c r="U15" s="99">
        <f>IFERROR(AVERAGEIFS(Storage_Share_Detail!$K$2:$K$1025,Storage_Share_Detail!$A$2:$A$1025,"Opti",Storage_Share_Detail!$B$2:$B$1025,"MESSAGE-GLOBIOM_SSP2-26",Storage_Share_Detail!$C$2:$C$1025,$A15),0)</f>
        <v>0</v>
      </c>
      <c r="V15" s="98">
        <f>IFERROR(AVERAGEIFS(Storage_Share_Detail!$G$2:$G$1025,Storage_Share_Detail!$A$2:$A$1025,"Init",Storage_Share_Detail!$B$2:$B$1025,"GCAM4_SSP4-26",Storage_Share_Detail!$C$2:$C$1025,$A15,Storage_Share_Detail!$D$2:$D$1025,2020),0)</f>
        <v>0</v>
      </c>
      <c r="W15" s="98">
        <f>IFERROR(AVERAGEIFS(Storage_Share_Detail!$G$2:$G$1025,Storage_Share_Detail!$A$2:$A$1025,"Init",Storage_Share_Detail!$B$2:$B$1025,"GCAM4_SSP4-26",Storage_Share_Detail!$C$2:$C$1025,$A15,Storage_Share_Detail!$D$2:$D$1025,2030),0)</f>
        <v>0</v>
      </c>
      <c r="X15" s="98">
        <f>IFERROR(AVERAGEIFS(Storage_Share_Detail!$G$2:$G$1025,Storage_Share_Detail!$A$2:$A$1025,"Init",Storage_Share_Detail!$B$2:$B$1025,"GCAM4_SSP4-26",Storage_Share_Detail!$C$2:$C$1025,$A15,Storage_Share_Detail!$D$2:$D$1025,2040),0)</f>
        <v>0</v>
      </c>
      <c r="Y15" s="98">
        <f>IFERROR(AVERAGEIFS(Storage_Share_Detail!$G$2:$G$1025,Storage_Share_Detail!$A$2:$A$1025,"Init",Storage_Share_Detail!$B$2:$B$1025,"GCAM4_SSP4-26",Storage_Share_Detail!$C$2:$C$1025,$A15,Storage_Share_Detail!$D$2:$D$1025,2050),0)</f>
        <v>0</v>
      </c>
      <c r="Z15" s="99">
        <f>IFERROR(AVERAGEIFS(Storage_Share_Detail!$K$2:$K$1025,Storage_Share_Detail!$A$2:$A$1025,"Init",Storage_Share_Detail!$B$2:$B$1025,"GCAM4_SSP4-26",Storage_Share_Detail!$C$2:$C$1025,$A15),0)</f>
        <v>0</v>
      </c>
      <c r="AA15" s="98">
        <f>IFERROR(AVERAGEIFS(Storage_Share_Detail!$G$2:$G$1025,Storage_Share_Detail!$A$2:$A$1025,"Opti",Storage_Share_Detail!$B$2:$B$1025,"GCAM4_SSP4-26",Storage_Share_Detail!$C$2:$C$1025,$A15,Storage_Share_Detail!$D$2:$D$1025,2020),0)</f>
        <v>0</v>
      </c>
      <c r="AB15" s="98">
        <f>IFERROR(AVERAGEIFS(Storage_Share_Detail!$G$2:$G$1025,Storage_Share_Detail!$A$2:$A$1025,"Opti",Storage_Share_Detail!$B$2:$B$1025,"GCAM4_SSP4-26",Storage_Share_Detail!$C$2:$C$1025,$A15,Storage_Share_Detail!$D$2:$D$1025,2030),0)</f>
        <v>0</v>
      </c>
      <c r="AC15" s="98">
        <f>IFERROR(AVERAGEIFS(Storage_Share_Detail!$G$2:$G$1025,Storage_Share_Detail!$A$2:$A$1025,"Opti",Storage_Share_Detail!$B$2:$B$1025,"GCAM4_SSP4-26",Storage_Share_Detail!$C$2:$C$1025,$A15,Storage_Share_Detail!$D$2:$D$1025,2040),0)</f>
        <v>0</v>
      </c>
      <c r="AD15" s="98">
        <f>IFERROR(AVERAGEIFS(Storage_Share_Detail!$G$2:$G$1025,Storage_Share_Detail!$A$2:$A$1025,"Opti",Storage_Share_Detail!$B$2:$B$1025,"GCAM4_SSP4-26",Storage_Share_Detail!$C$2:$C$1025,$A15,Storage_Share_Detail!$D$2:$D$1025,2050),0)</f>
        <v>0</v>
      </c>
      <c r="AE15" s="99">
        <f>IFERROR(AVERAGEIFS(Storage_Share_Detail!$K$2:$K$1025,Storage_Share_Detail!$A$2:$A$1025,"Opti",Storage_Share_Detail!$B$2:$B$1025,"GCAM4_SSP4-26",Storage_Share_Detail!$C$2:$C$1025,$A15),0)</f>
        <v>0</v>
      </c>
      <c r="AF15" s="98">
        <f>IFERROR(AVERAGEIFS(Storage_Share_Detail!$G$2:$G$1025,Storage_Share_Detail!$A$2:$A$1025,"Init",Storage_Share_Detail!$B$2:$B$1025,"REMIND-MAGPIE_SSP5-26",Storage_Share_Detail!$C$2:$C$1025,$A15,Storage_Share_Detail!$D$2:$D$1025,2020),0)</f>
        <v>0</v>
      </c>
      <c r="AG15" s="98">
        <f>IFERROR(AVERAGEIFS(Storage_Share_Detail!$G$2:$G$1025,Storage_Share_Detail!$A$2:$A$1025,"Init",Storage_Share_Detail!$B$2:$B$1025,"REMIND-MAGPIE_SSP5-26",Storage_Share_Detail!$C$2:$C$1025,$A15,Storage_Share_Detail!$D$2:$D$1025,2030),0)</f>
        <v>0</v>
      </c>
      <c r="AH15" s="98">
        <f>IFERROR(AVERAGEIFS(Storage_Share_Detail!$G$2:$G$1025,Storage_Share_Detail!$A$2:$A$1025,"Init",Storage_Share_Detail!$B$2:$B$1025,"REMIND-MAGPIE_SSP5-26",Storage_Share_Detail!$C$2:$C$1025,$A15,Storage_Share_Detail!$D$2:$D$1025,2040),0)</f>
        <v>0</v>
      </c>
      <c r="AI15" s="98">
        <f>IFERROR(AVERAGEIFS(Storage_Share_Detail!$G$2:$G$1025,Storage_Share_Detail!$A$2:$A$1025,"Init",Storage_Share_Detail!$B$2:$B$1025,"REMIND-MAGPIE_SSP5-26",Storage_Share_Detail!$C$2:$C$1025,$A15,Storage_Share_Detail!$D$2:$D$1025,2050),0)</f>
        <v>0</v>
      </c>
      <c r="AJ15" s="99">
        <f>IFERROR(AVERAGEIFS(Storage_Share_Detail!$K$2:$K$1025,Storage_Share_Detail!$A$2:$A$1025,"Init",Storage_Share_Detail!$B$2:$B$1025,"REMIND-MAGPIE_SSP5-26",Storage_Share_Detail!$C$2:$C$1025,$A15),0)</f>
        <v>0</v>
      </c>
      <c r="AK15" s="98">
        <f>IFERROR(AVERAGEIFS(Storage_Share_Detail!$G$2:$G$1025,Storage_Share_Detail!$A$2:$A$1025,"Opti",Storage_Share_Detail!$B$2:$B$1025,"REMIND-MAGPIE_SSP5-26",Storage_Share_Detail!$C$2:$C$1025,$A15,Storage_Share_Detail!$D$2:$D$1025,2020),0)</f>
        <v>0</v>
      </c>
      <c r="AL15" s="98">
        <f>IFERROR(AVERAGEIFS(Storage_Share_Detail!$G$2:$G$1025,Storage_Share_Detail!$A$2:$A$1025,"Opti",Storage_Share_Detail!$B$2:$B$1025,"REMIND-MAGPIE_SSP5-26",Storage_Share_Detail!$C$2:$C$1025,$A15,Storage_Share_Detail!$D$2:$D$1025,2030),0)</f>
        <v>0</v>
      </c>
      <c r="AM15" s="98">
        <f>IFERROR(AVERAGEIFS(Storage_Share_Detail!$G$2:$G$1025,Storage_Share_Detail!$A$2:$A$1025,"Opti",Storage_Share_Detail!$B$2:$B$1025,"REMIND-MAGPIE_SSP5-26",Storage_Share_Detail!$C$2:$C$1025,$A15,Storage_Share_Detail!$D$2:$D$1025,2040),0)</f>
        <v>0</v>
      </c>
      <c r="AN15" s="98">
        <f>IFERROR(AVERAGEIFS(Storage_Share_Detail!$G$2:$G$1025,Storage_Share_Detail!$A$2:$A$1025,"Opti",Storage_Share_Detail!$B$2:$B$1025,"REMIND-MAGPIE_SSP5-26",Storage_Share_Detail!$C$2:$C$1025,$A15,Storage_Share_Detail!$D$2:$D$1025,2050),0)</f>
        <v>0</v>
      </c>
      <c r="AO15" s="99">
        <f>IFERROR(AVERAGEIFS(Storage_Share_Detail!$K$2:$K$1025,Storage_Share_Detail!$A$2:$A$1025,"Opti",Storage_Share_Detail!$B$2:$B$1025,"REMIND-MAGPIE_SSP5-26",Storage_Share_Detail!$C$2:$C$1025,$A15),0)</f>
        <v>0</v>
      </c>
    </row>
    <row r="16" spans="1:41" x14ac:dyDescent="0.2">
      <c r="A16" s="102" t="s">
        <v>49</v>
      </c>
      <c r="B16" s="98">
        <f>IFERROR(AVERAGEIFS(Storage_Share_Detail!$G$2:$G$1025,Storage_Share_Detail!$A$2:$A$1025,"Init",Storage_Share_Detail!$B$2:$B$1025,"IMAGE_SSP1-26",Storage_Share_Detail!$C$2:$C$1025,$A16,Storage_Share_Detail!$D$2:$D$1025,2020),0)</f>
        <v>0</v>
      </c>
      <c r="C16" s="98">
        <f>IFERROR(AVERAGEIFS(Storage_Share_Detail!$G$2:$G$1025,Storage_Share_Detail!$A$2:$A$1025,"Init",Storage_Share_Detail!$B$2:$B$1025,"IMAGE_SSP1-26",Storage_Share_Detail!$C$2:$C$1025,$A16,Storage_Share_Detail!$D$2:$D$1025,2030),0)</f>
        <v>0</v>
      </c>
      <c r="D16" s="98">
        <f>IFERROR(AVERAGEIFS(Storage_Share_Detail!$G$2:$G$1025,Storage_Share_Detail!$A$2:$A$1025,"Init",Storage_Share_Detail!$B$2:$B$1025,"IMAGE_SSP1-26",Storage_Share_Detail!$C$2:$C$1025,$A16,Storage_Share_Detail!$D$2:$D$1025,2040),0)</f>
        <v>0</v>
      </c>
      <c r="E16" s="98">
        <f>IFERROR(AVERAGEIFS(Storage_Share_Detail!$G$2:$G$1025,Storage_Share_Detail!$A$2:$A$1025,"Init",Storage_Share_Detail!$B$2:$B$1025,"IMAGE_SSP1-26",Storage_Share_Detail!$C$2:$C$1025,$A16,Storage_Share_Detail!$D$2:$D$1025,2050),0)</f>
        <v>0</v>
      </c>
      <c r="F16" s="99">
        <f>IFERROR(AVERAGEIFS(Storage_Share_Detail!$K$2:$K$1025,Storage_Share_Detail!$A$2:$A$1025,"Init",Storage_Share_Detail!$B$2:$B$1025,"IMAGE_SSP1-26",Storage_Share_Detail!$C$2:$C$1025,$A16),0)</f>
        <v>0</v>
      </c>
      <c r="G16" s="98">
        <f>IFERROR(AVERAGEIFS(Storage_Share_Detail!$G$2:$G$1025,Storage_Share_Detail!$A$2:$A$1025,"Opti",Storage_Share_Detail!$B$2:$B$1025,"IMAGE_SSP1-26",Storage_Share_Detail!$C$2:$C$1025,$A16,Storage_Share_Detail!$D$2:$D$1025,2020),0)</f>
        <v>0</v>
      </c>
      <c r="H16" s="98">
        <f>IFERROR(AVERAGEIFS(Storage_Share_Detail!$G$2:$G$1025,Storage_Share_Detail!$A$2:$A$1025,"Opti",Storage_Share_Detail!$B$2:$B$1025,"IMAGE_SSP1-26",Storage_Share_Detail!$C$2:$C$1025,$A16,Storage_Share_Detail!$D$2:$D$1025,2030),0)</f>
        <v>0</v>
      </c>
      <c r="I16" s="98">
        <f>IFERROR(AVERAGEIFS(Storage_Share_Detail!$G$2:$G$1025,Storage_Share_Detail!$A$2:$A$1025,"Opti",Storage_Share_Detail!$B$2:$B$1025,"IMAGE_SSP1-26",Storage_Share_Detail!$C$2:$C$1025,$A16,Storage_Share_Detail!$D$2:$D$1025,2040),0)</f>
        <v>0</v>
      </c>
      <c r="J16" s="98">
        <f>IFERROR(AVERAGEIFS(Storage_Share_Detail!$G$2:$G$1025,Storage_Share_Detail!$A$2:$A$1025,"Opti",Storage_Share_Detail!$B$2:$B$1025,"IMAGE_SSP1-26",Storage_Share_Detail!$C$2:$C$1025,$A16,Storage_Share_Detail!$D$2:$D$1025,2050),0)</f>
        <v>0</v>
      </c>
      <c r="K16" s="99">
        <f>IFERROR(AVERAGEIFS(Storage_Share_Detail!$K$2:$K$1025,Storage_Share_Detail!$A$2:$A$1025,"Opti",Storage_Share_Detail!$B$2:$B$1025,"IMAGE_SSP1-26",Storage_Share_Detail!$C$2:$C$1025,$A16),0)</f>
        <v>0</v>
      </c>
      <c r="L16" s="98">
        <f>IFERROR(AVERAGEIFS(Storage_Share_Detail!$G$2:$G$1025,Storage_Share_Detail!$A$2:$A$1025,"Init",Storage_Share_Detail!$B$2:$B$1025,"MESSAGE-GLOBIOM_SSP2-26",Storage_Share_Detail!$C$2:$C$1025,$A16,Storage_Share_Detail!$D$2:$D$1025,2020),0)</f>
        <v>0</v>
      </c>
      <c r="M16" s="98">
        <f>IFERROR(AVERAGEIFS(Storage_Share_Detail!$G$2:$G$1025,Storage_Share_Detail!$A$2:$A$1025,"Init",Storage_Share_Detail!$B$2:$B$1025,"MESSAGE-GLOBIOM_SSP2-26",Storage_Share_Detail!$C$2:$C$1025,$A16,Storage_Share_Detail!$D$2:$D$1025,2030),0)</f>
        <v>0</v>
      </c>
      <c r="N16" s="98">
        <f>IFERROR(AVERAGEIFS(Storage_Share_Detail!$G$2:$G$1025,Storage_Share_Detail!$A$2:$A$1025,"Init",Storage_Share_Detail!$B$2:$B$1025,"MESSAGE-GLOBIOM_SSP2-26",Storage_Share_Detail!$C$2:$C$1025,$A16,Storage_Share_Detail!$D$2:$D$1025,2040),0)</f>
        <v>0</v>
      </c>
      <c r="O16" s="98">
        <f>IFERROR(AVERAGEIFS(Storage_Share_Detail!$G$2:$G$1025,Storage_Share_Detail!$A$2:$A$1025,"Init",Storage_Share_Detail!$B$2:$B$1025,"MESSAGE-GLOBIOM_SSP2-26",Storage_Share_Detail!$C$2:$C$1025,$A16,Storage_Share_Detail!$D$2:$D$1025,2050),0)</f>
        <v>0</v>
      </c>
      <c r="P16" s="99">
        <f>IFERROR(AVERAGEIFS(Storage_Share_Detail!$K$2:$K$1025,Storage_Share_Detail!$A$2:$A$1025,"Init",Storage_Share_Detail!$B$2:$B$1025,"MESSAGE-GLOBIOM_SSP2-26",Storage_Share_Detail!$C$2:$C$1025,$A16),0)</f>
        <v>0</v>
      </c>
      <c r="Q16" s="98">
        <f>IFERROR(AVERAGEIFS(Storage_Share_Detail!$G$2:$G$1025,Storage_Share_Detail!$A$2:$A$1025,"Opti",Storage_Share_Detail!$B$2:$B$1025,"MESSAGE-GLOBIOM_SSP2-26",Storage_Share_Detail!$C$2:$C$1025,$A16,Storage_Share_Detail!$D$2:$D$1025,2020),0)</f>
        <v>0</v>
      </c>
      <c r="R16" s="98">
        <f>IFERROR(AVERAGEIFS(Storage_Share_Detail!$G$2:$G$1025,Storage_Share_Detail!$A$2:$A$1025,"Opti",Storage_Share_Detail!$B$2:$B$1025,"MESSAGE-GLOBIOM_SSP2-26",Storage_Share_Detail!$C$2:$C$1025,$A16,Storage_Share_Detail!$D$2:$D$1025,2030),0)</f>
        <v>0</v>
      </c>
      <c r="S16" s="98">
        <f>IFERROR(AVERAGEIFS(Storage_Share_Detail!$G$2:$G$1025,Storage_Share_Detail!$A$2:$A$1025,"Opti",Storage_Share_Detail!$B$2:$B$1025,"MESSAGE-GLOBIOM_SSP2-26",Storage_Share_Detail!$C$2:$C$1025,$A16,Storage_Share_Detail!$D$2:$D$1025,2040),0)</f>
        <v>0</v>
      </c>
      <c r="T16" s="98">
        <f>IFERROR(AVERAGEIFS(Storage_Share_Detail!$G$2:$G$1025,Storage_Share_Detail!$A$2:$A$1025,"Opti",Storage_Share_Detail!$B$2:$B$1025,"MESSAGE-GLOBIOM_SSP2-26",Storage_Share_Detail!$C$2:$C$1025,$A16,Storage_Share_Detail!$D$2:$D$1025,2050),0)</f>
        <v>0</v>
      </c>
      <c r="U16" s="99">
        <f>IFERROR(AVERAGEIFS(Storage_Share_Detail!$K$2:$K$1025,Storage_Share_Detail!$A$2:$A$1025,"Opti",Storage_Share_Detail!$B$2:$B$1025,"MESSAGE-GLOBIOM_SSP2-26",Storage_Share_Detail!$C$2:$C$1025,$A16),0)</f>
        <v>0</v>
      </c>
      <c r="V16" s="98">
        <f>IFERROR(AVERAGEIFS(Storage_Share_Detail!$G$2:$G$1025,Storage_Share_Detail!$A$2:$A$1025,"Init",Storage_Share_Detail!$B$2:$B$1025,"GCAM4_SSP4-26",Storage_Share_Detail!$C$2:$C$1025,$A16,Storage_Share_Detail!$D$2:$D$1025,2020),0)</f>
        <v>0</v>
      </c>
      <c r="W16" s="98">
        <f>IFERROR(AVERAGEIFS(Storage_Share_Detail!$G$2:$G$1025,Storage_Share_Detail!$A$2:$A$1025,"Init",Storage_Share_Detail!$B$2:$B$1025,"GCAM4_SSP4-26",Storage_Share_Detail!$C$2:$C$1025,$A16,Storage_Share_Detail!$D$2:$D$1025,2030),0)</f>
        <v>0</v>
      </c>
      <c r="X16" s="98">
        <f>IFERROR(AVERAGEIFS(Storage_Share_Detail!$G$2:$G$1025,Storage_Share_Detail!$A$2:$A$1025,"Init",Storage_Share_Detail!$B$2:$B$1025,"GCAM4_SSP4-26",Storage_Share_Detail!$C$2:$C$1025,$A16,Storage_Share_Detail!$D$2:$D$1025,2040),0)</f>
        <v>0</v>
      </c>
      <c r="Y16" s="98">
        <f>IFERROR(AVERAGEIFS(Storage_Share_Detail!$G$2:$G$1025,Storage_Share_Detail!$A$2:$A$1025,"Init",Storage_Share_Detail!$B$2:$B$1025,"GCAM4_SSP4-26",Storage_Share_Detail!$C$2:$C$1025,$A16,Storage_Share_Detail!$D$2:$D$1025,2050),0)</f>
        <v>0</v>
      </c>
      <c r="Z16" s="99">
        <f>IFERROR(AVERAGEIFS(Storage_Share_Detail!$K$2:$K$1025,Storage_Share_Detail!$A$2:$A$1025,"Init",Storage_Share_Detail!$B$2:$B$1025,"GCAM4_SSP4-26",Storage_Share_Detail!$C$2:$C$1025,$A16),0)</f>
        <v>0</v>
      </c>
      <c r="AA16" s="98">
        <f>IFERROR(AVERAGEIFS(Storage_Share_Detail!$G$2:$G$1025,Storage_Share_Detail!$A$2:$A$1025,"Opti",Storage_Share_Detail!$B$2:$B$1025,"GCAM4_SSP4-26",Storage_Share_Detail!$C$2:$C$1025,$A16,Storage_Share_Detail!$D$2:$D$1025,2020),0)</f>
        <v>0</v>
      </c>
      <c r="AB16" s="98">
        <f>IFERROR(AVERAGEIFS(Storage_Share_Detail!$G$2:$G$1025,Storage_Share_Detail!$A$2:$A$1025,"Opti",Storage_Share_Detail!$B$2:$B$1025,"GCAM4_SSP4-26",Storage_Share_Detail!$C$2:$C$1025,$A16,Storage_Share_Detail!$D$2:$D$1025,2030),0)</f>
        <v>0</v>
      </c>
      <c r="AC16" s="98">
        <f>IFERROR(AVERAGEIFS(Storage_Share_Detail!$G$2:$G$1025,Storage_Share_Detail!$A$2:$A$1025,"Opti",Storage_Share_Detail!$B$2:$B$1025,"GCAM4_SSP4-26",Storage_Share_Detail!$C$2:$C$1025,$A16,Storage_Share_Detail!$D$2:$D$1025,2040),0)</f>
        <v>0</v>
      </c>
      <c r="AD16" s="98">
        <f>IFERROR(AVERAGEIFS(Storage_Share_Detail!$G$2:$G$1025,Storage_Share_Detail!$A$2:$A$1025,"Opti",Storage_Share_Detail!$B$2:$B$1025,"GCAM4_SSP4-26",Storage_Share_Detail!$C$2:$C$1025,$A16,Storage_Share_Detail!$D$2:$D$1025,2050),0)</f>
        <v>0</v>
      </c>
      <c r="AE16" s="99">
        <f>IFERROR(AVERAGEIFS(Storage_Share_Detail!$K$2:$K$1025,Storage_Share_Detail!$A$2:$A$1025,"Opti",Storage_Share_Detail!$B$2:$B$1025,"GCAM4_SSP4-26",Storage_Share_Detail!$C$2:$C$1025,$A16),0)</f>
        <v>0</v>
      </c>
      <c r="AF16" s="98">
        <f>IFERROR(AVERAGEIFS(Storage_Share_Detail!$G$2:$G$1025,Storage_Share_Detail!$A$2:$A$1025,"Init",Storage_Share_Detail!$B$2:$B$1025,"REMIND-MAGPIE_SSP5-26",Storage_Share_Detail!$C$2:$C$1025,$A16,Storage_Share_Detail!$D$2:$D$1025,2020),0)</f>
        <v>0</v>
      </c>
      <c r="AG16" s="98">
        <f>IFERROR(AVERAGEIFS(Storage_Share_Detail!$G$2:$G$1025,Storage_Share_Detail!$A$2:$A$1025,"Init",Storage_Share_Detail!$B$2:$B$1025,"REMIND-MAGPIE_SSP5-26",Storage_Share_Detail!$C$2:$C$1025,$A16,Storage_Share_Detail!$D$2:$D$1025,2030),0)</f>
        <v>0</v>
      </c>
      <c r="AH16" s="98">
        <f>IFERROR(AVERAGEIFS(Storage_Share_Detail!$G$2:$G$1025,Storage_Share_Detail!$A$2:$A$1025,"Init",Storage_Share_Detail!$B$2:$B$1025,"REMIND-MAGPIE_SSP5-26",Storage_Share_Detail!$C$2:$C$1025,$A16,Storage_Share_Detail!$D$2:$D$1025,2040),0)</f>
        <v>0</v>
      </c>
      <c r="AI16" s="98">
        <f>IFERROR(AVERAGEIFS(Storage_Share_Detail!$G$2:$G$1025,Storage_Share_Detail!$A$2:$A$1025,"Init",Storage_Share_Detail!$B$2:$B$1025,"REMIND-MAGPIE_SSP5-26",Storage_Share_Detail!$C$2:$C$1025,$A16,Storage_Share_Detail!$D$2:$D$1025,2050),0)</f>
        <v>0</v>
      </c>
      <c r="AJ16" s="99">
        <f>IFERROR(AVERAGEIFS(Storage_Share_Detail!$K$2:$K$1025,Storage_Share_Detail!$A$2:$A$1025,"Init",Storage_Share_Detail!$B$2:$B$1025,"REMIND-MAGPIE_SSP5-26",Storage_Share_Detail!$C$2:$C$1025,$A16),0)</f>
        <v>0</v>
      </c>
      <c r="AK16" s="98">
        <f>IFERROR(AVERAGEIFS(Storage_Share_Detail!$G$2:$G$1025,Storage_Share_Detail!$A$2:$A$1025,"Opti",Storage_Share_Detail!$B$2:$B$1025,"REMIND-MAGPIE_SSP5-26",Storage_Share_Detail!$C$2:$C$1025,$A16,Storage_Share_Detail!$D$2:$D$1025,2020),0)</f>
        <v>0</v>
      </c>
      <c r="AL16" s="98">
        <f>IFERROR(AVERAGEIFS(Storage_Share_Detail!$G$2:$G$1025,Storage_Share_Detail!$A$2:$A$1025,"Opti",Storage_Share_Detail!$B$2:$B$1025,"REMIND-MAGPIE_SSP5-26",Storage_Share_Detail!$C$2:$C$1025,$A16,Storage_Share_Detail!$D$2:$D$1025,2030),0)</f>
        <v>0</v>
      </c>
      <c r="AM16" s="98">
        <f>IFERROR(AVERAGEIFS(Storage_Share_Detail!$G$2:$G$1025,Storage_Share_Detail!$A$2:$A$1025,"Opti",Storage_Share_Detail!$B$2:$B$1025,"REMIND-MAGPIE_SSP5-26",Storage_Share_Detail!$C$2:$C$1025,$A16,Storage_Share_Detail!$D$2:$D$1025,2040),0)</f>
        <v>0</v>
      </c>
      <c r="AN16" s="98">
        <f>IFERROR(AVERAGEIFS(Storage_Share_Detail!$G$2:$G$1025,Storage_Share_Detail!$A$2:$A$1025,"Opti",Storage_Share_Detail!$B$2:$B$1025,"REMIND-MAGPIE_SSP5-26",Storage_Share_Detail!$C$2:$C$1025,$A16,Storage_Share_Detail!$D$2:$D$1025,2050),0)</f>
        <v>0</v>
      </c>
      <c r="AO16" s="99">
        <f>IFERROR(AVERAGEIFS(Storage_Share_Detail!$K$2:$K$1025,Storage_Share_Detail!$A$2:$A$1025,"Opti",Storage_Share_Detail!$B$2:$B$1025,"REMIND-MAGPIE_SSP5-26",Storage_Share_Detail!$C$2:$C$1025,$A16),0)</f>
        <v>0</v>
      </c>
    </row>
    <row r="17" spans="1:41" x14ac:dyDescent="0.2">
      <c r="A17" s="102" t="s">
        <v>50</v>
      </c>
      <c r="B17" s="98">
        <f>IFERROR(AVERAGEIFS(Storage_Share_Detail!$G$2:$G$1025,Storage_Share_Detail!$A$2:$A$1025,"Init",Storage_Share_Detail!$B$2:$B$1025,"IMAGE_SSP1-26",Storage_Share_Detail!$C$2:$C$1025,$A17,Storage_Share_Detail!$D$2:$D$1025,2020),0)</f>
        <v>0</v>
      </c>
      <c r="C17" s="98">
        <f>IFERROR(AVERAGEIFS(Storage_Share_Detail!$G$2:$G$1025,Storage_Share_Detail!$A$2:$A$1025,"Init",Storage_Share_Detail!$B$2:$B$1025,"IMAGE_SSP1-26",Storage_Share_Detail!$C$2:$C$1025,$A17,Storage_Share_Detail!$D$2:$D$1025,2030),0)</f>
        <v>0</v>
      </c>
      <c r="D17" s="98">
        <f>IFERROR(AVERAGEIFS(Storage_Share_Detail!$G$2:$G$1025,Storage_Share_Detail!$A$2:$A$1025,"Init",Storage_Share_Detail!$B$2:$B$1025,"IMAGE_SSP1-26",Storage_Share_Detail!$C$2:$C$1025,$A17,Storage_Share_Detail!$D$2:$D$1025,2040),0)</f>
        <v>0</v>
      </c>
      <c r="E17" s="98">
        <f>IFERROR(AVERAGEIFS(Storage_Share_Detail!$G$2:$G$1025,Storage_Share_Detail!$A$2:$A$1025,"Init",Storage_Share_Detail!$B$2:$B$1025,"IMAGE_SSP1-26",Storage_Share_Detail!$C$2:$C$1025,$A17,Storage_Share_Detail!$D$2:$D$1025,2050),0)</f>
        <v>0</v>
      </c>
      <c r="F17" s="99">
        <f>IFERROR(AVERAGEIFS(Storage_Share_Detail!$K$2:$K$1025,Storage_Share_Detail!$A$2:$A$1025,"Init",Storage_Share_Detail!$B$2:$B$1025,"IMAGE_SSP1-26",Storage_Share_Detail!$C$2:$C$1025,$A17),0)</f>
        <v>0</v>
      </c>
      <c r="G17" s="98">
        <f>IFERROR(AVERAGEIFS(Storage_Share_Detail!$G$2:$G$1025,Storage_Share_Detail!$A$2:$A$1025,"Opti",Storage_Share_Detail!$B$2:$B$1025,"IMAGE_SSP1-26",Storage_Share_Detail!$C$2:$C$1025,$A17,Storage_Share_Detail!$D$2:$D$1025,2020),0)</f>
        <v>0</v>
      </c>
      <c r="H17" s="98">
        <f>IFERROR(AVERAGEIFS(Storage_Share_Detail!$G$2:$G$1025,Storage_Share_Detail!$A$2:$A$1025,"Opti",Storage_Share_Detail!$B$2:$B$1025,"IMAGE_SSP1-26",Storage_Share_Detail!$C$2:$C$1025,$A17,Storage_Share_Detail!$D$2:$D$1025,2030),0)</f>
        <v>0</v>
      </c>
      <c r="I17" s="98">
        <f>IFERROR(AVERAGEIFS(Storage_Share_Detail!$G$2:$G$1025,Storage_Share_Detail!$A$2:$A$1025,"Opti",Storage_Share_Detail!$B$2:$B$1025,"IMAGE_SSP1-26",Storage_Share_Detail!$C$2:$C$1025,$A17,Storage_Share_Detail!$D$2:$D$1025,2040),0)</f>
        <v>0</v>
      </c>
      <c r="J17" s="98">
        <f>IFERROR(AVERAGEIFS(Storage_Share_Detail!$G$2:$G$1025,Storage_Share_Detail!$A$2:$A$1025,"Opti",Storage_Share_Detail!$B$2:$B$1025,"IMAGE_SSP1-26",Storage_Share_Detail!$C$2:$C$1025,$A17,Storage_Share_Detail!$D$2:$D$1025,2050),0)</f>
        <v>0</v>
      </c>
      <c r="K17" s="99">
        <f>IFERROR(AVERAGEIFS(Storage_Share_Detail!$K$2:$K$1025,Storage_Share_Detail!$A$2:$A$1025,"Opti",Storage_Share_Detail!$B$2:$B$1025,"IMAGE_SSP1-26",Storage_Share_Detail!$C$2:$C$1025,$A17),0)</f>
        <v>0</v>
      </c>
      <c r="L17" s="98">
        <f>IFERROR(AVERAGEIFS(Storage_Share_Detail!$G$2:$G$1025,Storage_Share_Detail!$A$2:$A$1025,"Init",Storage_Share_Detail!$B$2:$B$1025,"MESSAGE-GLOBIOM_SSP2-26",Storage_Share_Detail!$C$2:$C$1025,$A17,Storage_Share_Detail!$D$2:$D$1025,2020),0)</f>
        <v>0</v>
      </c>
      <c r="M17" s="98">
        <f>IFERROR(AVERAGEIFS(Storage_Share_Detail!$G$2:$G$1025,Storage_Share_Detail!$A$2:$A$1025,"Init",Storage_Share_Detail!$B$2:$B$1025,"MESSAGE-GLOBIOM_SSP2-26",Storage_Share_Detail!$C$2:$C$1025,$A17,Storage_Share_Detail!$D$2:$D$1025,2030),0)</f>
        <v>0</v>
      </c>
      <c r="N17" s="98">
        <f>IFERROR(AVERAGEIFS(Storage_Share_Detail!$G$2:$G$1025,Storage_Share_Detail!$A$2:$A$1025,"Init",Storage_Share_Detail!$B$2:$B$1025,"MESSAGE-GLOBIOM_SSP2-26",Storage_Share_Detail!$C$2:$C$1025,$A17,Storage_Share_Detail!$D$2:$D$1025,2040),0)</f>
        <v>0</v>
      </c>
      <c r="O17" s="98">
        <f>IFERROR(AVERAGEIFS(Storage_Share_Detail!$G$2:$G$1025,Storage_Share_Detail!$A$2:$A$1025,"Init",Storage_Share_Detail!$B$2:$B$1025,"MESSAGE-GLOBIOM_SSP2-26",Storage_Share_Detail!$C$2:$C$1025,$A17,Storage_Share_Detail!$D$2:$D$1025,2050),0)</f>
        <v>0</v>
      </c>
      <c r="P17" s="99">
        <f>IFERROR(AVERAGEIFS(Storage_Share_Detail!$K$2:$K$1025,Storage_Share_Detail!$A$2:$A$1025,"Init",Storage_Share_Detail!$B$2:$B$1025,"MESSAGE-GLOBIOM_SSP2-26",Storage_Share_Detail!$C$2:$C$1025,$A17),0)</f>
        <v>0</v>
      </c>
      <c r="Q17" s="98">
        <f>IFERROR(AVERAGEIFS(Storage_Share_Detail!$G$2:$G$1025,Storage_Share_Detail!$A$2:$A$1025,"Opti",Storage_Share_Detail!$B$2:$B$1025,"MESSAGE-GLOBIOM_SSP2-26",Storage_Share_Detail!$C$2:$C$1025,$A17,Storage_Share_Detail!$D$2:$D$1025,2020),0)</f>
        <v>0</v>
      </c>
      <c r="R17" s="98">
        <f>IFERROR(AVERAGEIFS(Storage_Share_Detail!$G$2:$G$1025,Storage_Share_Detail!$A$2:$A$1025,"Opti",Storage_Share_Detail!$B$2:$B$1025,"MESSAGE-GLOBIOM_SSP2-26",Storage_Share_Detail!$C$2:$C$1025,$A17,Storage_Share_Detail!$D$2:$D$1025,2030),0)</f>
        <v>0</v>
      </c>
      <c r="S17" s="98">
        <f>IFERROR(AVERAGEIFS(Storage_Share_Detail!$G$2:$G$1025,Storage_Share_Detail!$A$2:$A$1025,"Opti",Storage_Share_Detail!$B$2:$B$1025,"MESSAGE-GLOBIOM_SSP2-26",Storage_Share_Detail!$C$2:$C$1025,$A17,Storage_Share_Detail!$D$2:$D$1025,2040),0)</f>
        <v>0</v>
      </c>
      <c r="T17" s="98">
        <f>IFERROR(AVERAGEIFS(Storage_Share_Detail!$G$2:$G$1025,Storage_Share_Detail!$A$2:$A$1025,"Opti",Storage_Share_Detail!$B$2:$B$1025,"MESSAGE-GLOBIOM_SSP2-26",Storage_Share_Detail!$C$2:$C$1025,$A17,Storage_Share_Detail!$D$2:$D$1025,2050),0)</f>
        <v>0</v>
      </c>
      <c r="U17" s="99">
        <f>IFERROR(AVERAGEIFS(Storage_Share_Detail!$K$2:$K$1025,Storage_Share_Detail!$A$2:$A$1025,"Opti",Storage_Share_Detail!$B$2:$B$1025,"MESSAGE-GLOBIOM_SSP2-26",Storage_Share_Detail!$C$2:$C$1025,$A17),0)</f>
        <v>0</v>
      </c>
      <c r="V17" s="98">
        <f>IFERROR(AVERAGEIFS(Storage_Share_Detail!$G$2:$G$1025,Storage_Share_Detail!$A$2:$A$1025,"Init",Storage_Share_Detail!$B$2:$B$1025,"GCAM4_SSP4-26",Storage_Share_Detail!$C$2:$C$1025,$A17,Storage_Share_Detail!$D$2:$D$1025,2020),0)</f>
        <v>0</v>
      </c>
      <c r="W17" s="98">
        <f>IFERROR(AVERAGEIFS(Storage_Share_Detail!$G$2:$G$1025,Storage_Share_Detail!$A$2:$A$1025,"Init",Storage_Share_Detail!$B$2:$B$1025,"GCAM4_SSP4-26",Storage_Share_Detail!$C$2:$C$1025,$A17,Storage_Share_Detail!$D$2:$D$1025,2030),0)</f>
        <v>0</v>
      </c>
      <c r="X17" s="98">
        <f>IFERROR(AVERAGEIFS(Storage_Share_Detail!$G$2:$G$1025,Storage_Share_Detail!$A$2:$A$1025,"Init",Storage_Share_Detail!$B$2:$B$1025,"GCAM4_SSP4-26",Storage_Share_Detail!$C$2:$C$1025,$A17,Storage_Share_Detail!$D$2:$D$1025,2040),0)</f>
        <v>0</v>
      </c>
      <c r="Y17" s="98">
        <f>IFERROR(AVERAGEIFS(Storage_Share_Detail!$G$2:$G$1025,Storage_Share_Detail!$A$2:$A$1025,"Init",Storage_Share_Detail!$B$2:$B$1025,"GCAM4_SSP4-26",Storage_Share_Detail!$C$2:$C$1025,$A17,Storage_Share_Detail!$D$2:$D$1025,2050),0)</f>
        <v>0</v>
      </c>
      <c r="Z17" s="99">
        <f>IFERROR(AVERAGEIFS(Storage_Share_Detail!$K$2:$K$1025,Storage_Share_Detail!$A$2:$A$1025,"Init",Storage_Share_Detail!$B$2:$B$1025,"GCAM4_SSP4-26",Storage_Share_Detail!$C$2:$C$1025,$A17),0)</f>
        <v>0</v>
      </c>
      <c r="AA17" s="98">
        <f>IFERROR(AVERAGEIFS(Storage_Share_Detail!$G$2:$G$1025,Storage_Share_Detail!$A$2:$A$1025,"Opti",Storage_Share_Detail!$B$2:$B$1025,"GCAM4_SSP4-26",Storage_Share_Detail!$C$2:$C$1025,$A17,Storage_Share_Detail!$D$2:$D$1025,2020),0)</f>
        <v>0</v>
      </c>
      <c r="AB17" s="98">
        <f>IFERROR(AVERAGEIFS(Storage_Share_Detail!$G$2:$G$1025,Storage_Share_Detail!$A$2:$A$1025,"Opti",Storage_Share_Detail!$B$2:$B$1025,"GCAM4_SSP4-26",Storage_Share_Detail!$C$2:$C$1025,$A17,Storage_Share_Detail!$D$2:$D$1025,2030),0)</f>
        <v>0</v>
      </c>
      <c r="AC17" s="98">
        <f>IFERROR(AVERAGEIFS(Storage_Share_Detail!$G$2:$G$1025,Storage_Share_Detail!$A$2:$A$1025,"Opti",Storage_Share_Detail!$B$2:$B$1025,"GCAM4_SSP4-26",Storage_Share_Detail!$C$2:$C$1025,$A17,Storage_Share_Detail!$D$2:$D$1025,2040),0)</f>
        <v>0</v>
      </c>
      <c r="AD17" s="98">
        <f>IFERROR(AVERAGEIFS(Storage_Share_Detail!$G$2:$G$1025,Storage_Share_Detail!$A$2:$A$1025,"Opti",Storage_Share_Detail!$B$2:$B$1025,"GCAM4_SSP4-26",Storage_Share_Detail!$C$2:$C$1025,$A17,Storage_Share_Detail!$D$2:$D$1025,2050),0)</f>
        <v>0</v>
      </c>
      <c r="AE17" s="99">
        <f>IFERROR(AVERAGEIFS(Storage_Share_Detail!$K$2:$K$1025,Storage_Share_Detail!$A$2:$A$1025,"Opti",Storage_Share_Detail!$B$2:$B$1025,"GCAM4_SSP4-26",Storage_Share_Detail!$C$2:$C$1025,$A17),0)</f>
        <v>0</v>
      </c>
      <c r="AF17" s="98">
        <f>IFERROR(AVERAGEIFS(Storage_Share_Detail!$G$2:$G$1025,Storage_Share_Detail!$A$2:$A$1025,"Init",Storage_Share_Detail!$B$2:$B$1025,"REMIND-MAGPIE_SSP5-26",Storage_Share_Detail!$C$2:$C$1025,$A17,Storage_Share_Detail!$D$2:$D$1025,2020),0)</f>
        <v>0</v>
      </c>
      <c r="AG17" s="98">
        <f>IFERROR(AVERAGEIFS(Storage_Share_Detail!$G$2:$G$1025,Storage_Share_Detail!$A$2:$A$1025,"Init",Storage_Share_Detail!$B$2:$B$1025,"REMIND-MAGPIE_SSP5-26",Storage_Share_Detail!$C$2:$C$1025,$A17,Storage_Share_Detail!$D$2:$D$1025,2030),0)</f>
        <v>0</v>
      </c>
      <c r="AH17" s="98">
        <f>IFERROR(AVERAGEIFS(Storage_Share_Detail!$G$2:$G$1025,Storage_Share_Detail!$A$2:$A$1025,"Init",Storage_Share_Detail!$B$2:$B$1025,"REMIND-MAGPIE_SSP5-26",Storage_Share_Detail!$C$2:$C$1025,$A17,Storage_Share_Detail!$D$2:$D$1025,2040),0)</f>
        <v>0</v>
      </c>
      <c r="AI17" s="98">
        <f>IFERROR(AVERAGEIFS(Storage_Share_Detail!$G$2:$G$1025,Storage_Share_Detail!$A$2:$A$1025,"Init",Storage_Share_Detail!$B$2:$B$1025,"REMIND-MAGPIE_SSP5-26",Storage_Share_Detail!$C$2:$C$1025,$A17,Storage_Share_Detail!$D$2:$D$1025,2050),0)</f>
        <v>0</v>
      </c>
      <c r="AJ17" s="99">
        <f>IFERROR(AVERAGEIFS(Storage_Share_Detail!$K$2:$K$1025,Storage_Share_Detail!$A$2:$A$1025,"Init",Storage_Share_Detail!$B$2:$B$1025,"REMIND-MAGPIE_SSP5-26",Storage_Share_Detail!$C$2:$C$1025,$A17),0)</f>
        <v>0</v>
      </c>
      <c r="AK17" s="98">
        <f>IFERROR(AVERAGEIFS(Storage_Share_Detail!$G$2:$G$1025,Storage_Share_Detail!$A$2:$A$1025,"Opti",Storage_Share_Detail!$B$2:$B$1025,"REMIND-MAGPIE_SSP5-26",Storage_Share_Detail!$C$2:$C$1025,$A17,Storage_Share_Detail!$D$2:$D$1025,2020),0)</f>
        <v>0</v>
      </c>
      <c r="AL17" s="98">
        <f>IFERROR(AVERAGEIFS(Storage_Share_Detail!$G$2:$G$1025,Storage_Share_Detail!$A$2:$A$1025,"Opti",Storage_Share_Detail!$B$2:$B$1025,"REMIND-MAGPIE_SSP5-26",Storage_Share_Detail!$C$2:$C$1025,$A17,Storage_Share_Detail!$D$2:$D$1025,2030),0)</f>
        <v>0</v>
      </c>
      <c r="AM17" s="98">
        <f>IFERROR(AVERAGEIFS(Storage_Share_Detail!$G$2:$G$1025,Storage_Share_Detail!$A$2:$A$1025,"Opti",Storage_Share_Detail!$B$2:$B$1025,"REMIND-MAGPIE_SSP5-26",Storage_Share_Detail!$C$2:$C$1025,$A17,Storage_Share_Detail!$D$2:$D$1025,2040),0)</f>
        <v>0</v>
      </c>
      <c r="AN17" s="98">
        <f>IFERROR(AVERAGEIFS(Storage_Share_Detail!$G$2:$G$1025,Storage_Share_Detail!$A$2:$A$1025,"Opti",Storage_Share_Detail!$B$2:$B$1025,"REMIND-MAGPIE_SSP5-26",Storage_Share_Detail!$C$2:$C$1025,$A17,Storage_Share_Detail!$D$2:$D$1025,2050),0)</f>
        <v>0</v>
      </c>
      <c r="AO17" s="99">
        <f>IFERROR(AVERAGEIFS(Storage_Share_Detail!$K$2:$K$1025,Storage_Share_Detail!$A$2:$A$1025,"Opti",Storage_Share_Detail!$B$2:$B$1025,"REMIND-MAGPIE_SSP5-26",Storage_Share_Detail!$C$2:$C$1025,$A17),0)</f>
        <v>0</v>
      </c>
    </row>
    <row r="18" spans="1:41" x14ac:dyDescent="0.2">
      <c r="A18" s="102" t="s">
        <v>52</v>
      </c>
      <c r="B18" s="98">
        <f>IFERROR(AVERAGEIFS(Storage_Share_Detail!$G$2:$G$1025,Storage_Share_Detail!$A$2:$A$1025,"Init",Storage_Share_Detail!$B$2:$B$1025,"IMAGE_SSP1-26",Storage_Share_Detail!$C$2:$C$1025,$A18,Storage_Share_Detail!$D$2:$D$1025,2020),0)</f>
        <v>0</v>
      </c>
      <c r="C18" s="98">
        <f>IFERROR(AVERAGEIFS(Storage_Share_Detail!$G$2:$G$1025,Storage_Share_Detail!$A$2:$A$1025,"Init",Storage_Share_Detail!$B$2:$B$1025,"IMAGE_SSP1-26",Storage_Share_Detail!$C$2:$C$1025,$A18,Storage_Share_Detail!$D$2:$D$1025,2030),0)</f>
        <v>0</v>
      </c>
      <c r="D18" s="98">
        <f>IFERROR(AVERAGEIFS(Storage_Share_Detail!$G$2:$G$1025,Storage_Share_Detail!$A$2:$A$1025,"Init",Storage_Share_Detail!$B$2:$B$1025,"IMAGE_SSP1-26",Storage_Share_Detail!$C$2:$C$1025,$A18,Storage_Share_Detail!$D$2:$D$1025,2040),0)</f>
        <v>0</v>
      </c>
      <c r="E18" s="98">
        <f>IFERROR(AVERAGEIFS(Storage_Share_Detail!$G$2:$G$1025,Storage_Share_Detail!$A$2:$A$1025,"Init",Storage_Share_Detail!$B$2:$B$1025,"IMAGE_SSP1-26",Storage_Share_Detail!$C$2:$C$1025,$A18,Storage_Share_Detail!$D$2:$D$1025,2050),0)</f>
        <v>0</v>
      </c>
      <c r="F18" s="99">
        <f>IFERROR(AVERAGEIFS(Storage_Share_Detail!$K$2:$K$1025,Storage_Share_Detail!$A$2:$A$1025,"Init",Storage_Share_Detail!$B$2:$B$1025,"IMAGE_SSP1-26",Storage_Share_Detail!$C$2:$C$1025,$A18),0)</f>
        <v>0</v>
      </c>
      <c r="G18" s="98">
        <f>IFERROR(AVERAGEIFS(Storage_Share_Detail!$G$2:$G$1025,Storage_Share_Detail!$A$2:$A$1025,"Opti",Storage_Share_Detail!$B$2:$B$1025,"IMAGE_SSP1-26",Storage_Share_Detail!$C$2:$C$1025,$A18,Storage_Share_Detail!$D$2:$D$1025,2020),0)</f>
        <v>0</v>
      </c>
      <c r="H18" s="98">
        <f>IFERROR(AVERAGEIFS(Storage_Share_Detail!$G$2:$G$1025,Storage_Share_Detail!$A$2:$A$1025,"Opti",Storage_Share_Detail!$B$2:$B$1025,"IMAGE_SSP1-26",Storage_Share_Detail!$C$2:$C$1025,$A18,Storage_Share_Detail!$D$2:$D$1025,2030),0)</f>
        <v>0</v>
      </c>
      <c r="I18" s="98">
        <f>IFERROR(AVERAGEIFS(Storage_Share_Detail!$G$2:$G$1025,Storage_Share_Detail!$A$2:$A$1025,"Opti",Storage_Share_Detail!$B$2:$B$1025,"IMAGE_SSP1-26",Storage_Share_Detail!$C$2:$C$1025,$A18,Storage_Share_Detail!$D$2:$D$1025,2040),0)</f>
        <v>0</v>
      </c>
      <c r="J18" s="98">
        <f>IFERROR(AVERAGEIFS(Storage_Share_Detail!$G$2:$G$1025,Storage_Share_Detail!$A$2:$A$1025,"Opti",Storage_Share_Detail!$B$2:$B$1025,"IMAGE_SSP1-26",Storage_Share_Detail!$C$2:$C$1025,$A18,Storage_Share_Detail!$D$2:$D$1025,2050),0)</f>
        <v>0</v>
      </c>
      <c r="K18" s="99">
        <f>IFERROR(AVERAGEIFS(Storage_Share_Detail!$K$2:$K$1025,Storage_Share_Detail!$A$2:$A$1025,"Opti",Storage_Share_Detail!$B$2:$B$1025,"IMAGE_SSP1-26",Storage_Share_Detail!$C$2:$C$1025,$A18),0)</f>
        <v>0</v>
      </c>
      <c r="L18" s="98">
        <f>IFERROR(AVERAGEIFS(Storage_Share_Detail!$G$2:$G$1025,Storage_Share_Detail!$A$2:$A$1025,"Init",Storage_Share_Detail!$B$2:$B$1025,"MESSAGE-GLOBIOM_SSP2-26",Storage_Share_Detail!$C$2:$C$1025,$A18,Storage_Share_Detail!$D$2:$D$1025,2020),0)</f>
        <v>0</v>
      </c>
      <c r="M18" s="98">
        <f>IFERROR(AVERAGEIFS(Storage_Share_Detail!$G$2:$G$1025,Storage_Share_Detail!$A$2:$A$1025,"Init",Storage_Share_Detail!$B$2:$B$1025,"MESSAGE-GLOBIOM_SSP2-26",Storage_Share_Detail!$C$2:$C$1025,$A18,Storage_Share_Detail!$D$2:$D$1025,2030),0)</f>
        <v>0</v>
      </c>
      <c r="N18" s="98">
        <f>IFERROR(AVERAGEIFS(Storage_Share_Detail!$G$2:$G$1025,Storage_Share_Detail!$A$2:$A$1025,"Init",Storage_Share_Detail!$B$2:$B$1025,"MESSAGE-GLOBIOM_SSP2-26",Storage_Share_Detail!$C$2:$C$1025,$A18,Storage_Share_Detail!$D$2:$D$1025,2040),0)</f>
        <v>0</v>
      </c>
      <c r="O18" s="98">
        <f>IFERROR(AVERAGEIFS(Storage_Share_Detail!$G$2:$G$1025,Storage_Share_Detail!$A$2:$A$1025,"Init",Storage_Share_Detail!$B$2:$B$1025,"MESSAGE-GLOBIOM_SSP2-26",Storage_Share_Detail!$C$2:$C$1025,$A18,Storage_Share_Detail!$D$2:$D$1025,2050),0)</f>
        <v>0</v>
      </c>
      <c r="P18" s="99">
        <f>IFERROR(AVERAGEIFS(Storage_Share_Detail!$K$2:$K$1025,Storage_Share_Detail!$A$2:$A$1025,"Init",Storage_Share_Detail!$B$2:$B$1025,"MESSAGE-GLOBIOM_SSP2-26",Storage_Share_Detail!$C$2:$C$1025,$A18),0)</f>
        <v>0</v>
      </c>
      <c r="Q18" s="98">
        <f>IFERROR(AVERAGEIFS(Storage_Share_Detail!$G$2:$G$1025,Storage_Share_Detail!$A$2:$A$1025,"Opti",Storage_Share_Detail!$B$2:$B$1025,"MESSAGE-GLOBIOM_SSP2-26",Storage_Share_Detail!$C$2:$C$1025,$A18,Storage_Share_Detail!$D$2:$D$1025,2020),0)</f>
        <v>0</v>
      </c>
      <c r="R18" s="98">
        <f>IFERROR(AVERAGEIFS(Storage_Share_Detail!$G$2:$G$1025,Storage_Share_Detail!$A$2:$A$1025,"Opti",Storage_Share_Detail!$B$2:$B$1025,"MESSAGE-GLOBIOM_SSP2-26",Storage_Share_Detail!$C$2:$C$1025,$A18,Storage_Share_Detail!$D$2:$D$1025,2030),0)</f>
        <v>0</v>
      </c>
      <c r="S18" s="98">
        <f>IFERROR(AVERAGEIFS(Storage_Share_Detail!$G$2:$G$1025,Storage_Share_Detail!$A$2:$A$1025,"Opti",Storage_Share_Detail!$B$2:$B$1025,"MESSAGE-GLOBIOM_SSP2-26",Storage_Share_Detail!$C$2:$C$1025,$A18,Storage_Share_Detail!$D$2:$D$1025,2040),0)</f>
        <v>0</v>
      </c>
      <c r="T18" s="98">
        <f>IFERROR(AVERAGEIFS(Storage_Share_Detail!$G$2:$G$1025,Storage_Share_Detail!$A$2:$A$1025,"Opti",Storage_Share_Detail!$B$2:$B$1025,"MESSAGE-GLOBIOM_SSP2-26",Storage_Share_Detail!$C$2:$C$1025,$A18,Storage_Share_Detail!$D$2:$D$1025,2050),0)</f>
        <v>0</v>
      </c>
      <c r="U18" s="99">
        <f>IFERROR(AVERAGEIFS(Storage_Share_Detail!$K$2:$K$1025,Storage_Share_Detail!$A$2:$A$1025,"Opti",Storage_Share_Detail!$B$2:$B$1025,"MESSAGE-GLOBIOM_SSP2-26",Storage_Share_Detail!$C$2:$C$1025,$A18),0)</f>
        <v>0</v>
      </c>
      <c r="V18" s="98">
        <f>IFERROR(AVERAGEIFS(Storage_Share_Detail!$G$2:$G$1025,Storage_Share_Detail!$A$2:$A$1025,"Init",Storage_Share_Detail!$B$2:$B$1025,"GCAM4_SSP4-26",Storage_Share_Detail!$C$2:$C$1025,$A18,Storage_Share_Detail!$D$2:$D$1025,2020),0)</f>
        <v>0</v>
      </c>
      <c r="W18" s="98">
        <f>IFERROR(AVERAGEIFS(Storage_Share_Detail!$G$2:$G$1025,Storage_Share_Detail!$A$2:$A$1025,"Init",Storage_Share_Detail!$B$2:$B$1025,"GCAM4_SSP4-26",Storage_Share_Detail!$C$2:$C$1025,$A18,Storage_Share_Detail!$D$2:$D$1025,2030),0)</f>
        <v>0</v>
      </c>
      <c r="X18" s="98">
        <f>IFERROR(AVERAGEIFS(Storage_Share_Detail!$G$2:$G$1025,Storage_Share_Detail!$A$2:$A$1025,"Init",Storage_Share_Detail!$B$2:$B$1025,"GCAM4_SSP4-26",Storage_Share_Detail!$C$2:$C$1025,$A18,Storage_Share_Detail!$D$2:$D$1025,2040),0)</f>
        <v>0</v>
      </c>
      <c r="Y18" s="98">
        <f>IFERROR(AVERAGEIFS(Storage_Share_Detail!$G$2:$G$1025,Storage_Share_Detail!$A$2:$A$1025,"Init",Storage_Share_Detail!$B$2:$B$1025,"GCAM4_SSP4-26",Storage_Share_Detail!$C$2:$C$1025,$A18,Storage_Share_Detail!$D$2:$D$1025,2050),0)</f>
        <v>0</v>
      </c>
      <c r="Z18" s="99">
        <f>IFERROR(AVERAGEIFS(Storage_Share_Detail!$K$2:$K$1025,Storage_Share_Detail!$A$2:$A$1025,"Init",Storage_Share_Detail!$B$2:$B$1025,"GCAM4_SSP4-26",Storage_Share_Detail!$C$2:$C$1025,$A18),0)</f>
        <v>0</v>
      </c>
      <c r="AA18" s="98">
        <f>IFERROR(AVERAGEIFS(Storage_Share_Detail!$G$2:$G$1025,Storage_Share_Detail!$A$2:$A$1025,"Opti",Storage_Share_Detail!$B$2:$B$1025,"GCAM4_SSP4-26",Storage_Share_Detail!$C$2:$C$1025,$A18,Storage_Share_Detail!$D$2:$D$1025,2020),0)</f>
        <v>0</v>
      </c>
      <c r="AB18" s="98">
        <f>IFERROR(AVERAGEIFS(Storage_Share_Detail!$G$2:$G$1025,Storage_Share_Detail!$A$2:$A$1025,"Opti",Storage_Share_Detail!$B$2:$B$1025,"GCAM4_SSP4-26",Storage_Share_Detail!$C$2:$C$1025,$A18,Storage_Share_Detail!$D$2:$D$1025,2030),0)</f>
        <v>0</v>
      </c>
      <c r="AC18" s="98">
        <f>IFERROR(AVERAGEIFS(Storage_Share_Detail!$G$2:$G$1025,Storage_Share_Detail!$A$2:$A$1025,"Opti",Storage_Share_Detail!$B$2:$B$1025,"GCAM4_SSP4-26",Storage_Share_Detail!$C$2:$C$1025,$A18,Storage_Share_Detail!$D$2:$D$1025,2040),0)</f>
        <v>0</v>
      </c>
      <c r="AD18" s="98">
        <f>IFERROR(AVERAGEIFS(Storage_Share_Detail!$G$2:$G$1025,Storage_Share_Detail!$A$2:$A$1025,"Opti",Storage_Share_Detail!$B$2:$B$1025,"GCAM4_SSP4-26",Storage_Share_Detail!$C$2:$C$1025,$A18,Storage_Share_Detail!$D$2:$D$1025,2050),0)</f>
        <v>0</v>
      </c>
      <c r="AE18" s="99">
        <f>IFERROR(AVERAGEIFS(Storage_Share_Detail!$K$2:$K$1025,Storage_Share_Detail!$A$2:$A$1025,"Opti",Storage_Share_Detail!$B$2:$B$1025,"GCAM4_SSP4-26",Storage_Share_Detail!$C$2:$C$1025,$A18),0)</f>
        <v>0</v>
      </c>
      <c r="AF18" s="98">
        <f>IFERROR(AVERAGEIFS(Storage_Share_Detail!$G$2:$G$1025,Storage_Share_Detail!$A$2:$A$1025,"Init",Storage_Share_Detail!$B$2:$B$1025,"REMIND-MAGPIE_SSP5-26",Storage_Share_Detail!$C$2:$C$1025,$A18,Storage_Share_Detail!$D$2:$D$1025,2020),0)</f>
        <v>0</v>
      </c>
      <c r="AG18" s="98">
        <f>IFERROR(AVERAGEIFS(Storage_Share_Detail!$G$2:$G$1025,Storage_Share_Detail!$A$2:$A$1025,"Init",Storage_Share_Detail!$B$2:$B$1025,"REMIND-MAGPIE_SSP5-26",Storage_Share_Detail!$C$2:$C$1025,$A18,Storage_Share_Detail!$D$2:$D$1025,2030),0)</f>
        <v>0</v>
      </c>
      <c r="AH18" s="98">
        <f>IFERROR(AVERAGEIFS(Storage_Share_Detail!$G$2:$G$1025,Storage_Share_Detail!$A$2:$A$1025,"Init",Storage_Share_Detail!$B$2:$B$1025,"REMIND-MAGPIE_SSP5-26",Storage_Share_Detail!$C$2:$C$1025,$A18,Storage_Share_Detail!$D$2:$D$1025,2040),0)</f>
        <v>0</v>
      </c>
      <c r="AI18" s="98">
        <f>IFERROR(AVERAGEIFS(Storage_Share_Detail!$G$2:$G$1025,Storage_Share_Detail!$A$2:$A$1025,"Init",Storage_Share_Detail!$B$2:$B$1025,"REMIND-MAGPIE_SSP5-26",Storage_Share_Detail!$C$2:$C$1025,$A18,Storage_Share_Detail!$D$2:$D$1025,2050),0)</f>
        <v>0</v>
      </c>
      <c r="AJ18" s="99">
        <f>IFERROR(AVERAGEIFS(Storage_Share_Detail!$K$2:$K$1025,Storage_Share_Detail!$A$2:$A$1025,"Init",Storage_Share_Detail!$B$2:$B$1025,"REMIND-MAGPIE_SSP5-26",Storage_Share_Detail!$C$2:$C$1025,$A18),0)</f>
        <v>0</v>
      </c>
      <c r="AK18" s="98">
        <f>IFERROR(AVERAGEIFS(Storage_Share_Detail!$G$2:$G$1025,Storage_Share_Detail!$A$2:$A$1025,"Opti",Storage_Share_Detail!$B$2:$B$1025,"REMIND-MAGPIE_SSP5-26",Storage_Share_Detail!$C$2:$C$1025,$A18,Storage_Share_Detail!$D$2:$D$1025,2020),0)</f>
        <v>0</v>
      </c>
      <c r="AL18" s="98">
        <f>IFERROR(AVERAGEIFS(Storage_Share_Detail!$G$2:$G$1025,Storage_Share_Detail!$A$2:$A$1025,"Opti",Storage_Share_Detail!$B$2:$B$1025,"REMIND-MAGPIE_SSP5-26",Storage_Share_Detail!$C$2:$C$1025,$A18,Storage_Share_Detail!$D$2:$D$1025,2030),0)</f>
        <v>0</v>
      </c>
      <c r="AM18" s="98">
        <f>IFERROR(AVERAGEIFS(Storage_Share_Detail!$G$2:$G$1025,Storage_Share_Detail!$A$2:$A$1025,"Opti",Storage_Share_Detail!$B$2:$B$1025,"REMIND-MAGPIE_SSP5-26",Storage_Share_Detail!$C$2:$C$1025,$A18,Storage_Share_Detail!$D$2:$D$1025,2040),0)</f>
        <v>0</v>
      </c>
      <c r="AN18" s="98">
        <f>IFERROR(AVERAGEIFS(Storage_Share_Detail!$G$2:$G$1025,Storage_Share_Detail!$A$2:$A$1025,"Opti",Storage_Share_Detail!$B$2:$B$1025,"REMIND-MAGPIE_SSP5-26",Storage_Share_Detail!$C$2:$C$1025,$A18,Storage_Share_Detail!$D$2:$D$1025,2050),0)</f>
        <v>0</v>
      </c>
      <c r="AO18" s="99">
        <f>IFERROR(AVERAGEIFS(Storage_Share_Detail!$K$2:$K$1025,Storage_Share_Detail!$A$2:$A$1025,"Opti",Storage_Share_Detail!$B$2:$B$1025,"REMIND-MAGPIE_SSP5-26",Storage_Share_Detail!$C$2:$C$1025,$A18),0)</f>
        <v>0</v>
      </c>
    </row>
    <row r="19" spans="1:41" x14ac:dyDescent="0.2">
      <c r="A19" s="102" t="s">
        <v>53</v>
      </c>
      <c r="B19" s="98">
        <f>IFERROR(AVERAGEIFS(Storage_Share_Detail!$G$2:$G$1025,Storage_Share_Detail!$A$2:$A$1025,"Init",Storage_Share_Detail!$B$2:$B$1025,"IMAGE_SSP1-26",Storage_Share_Detail!$C$2:$C$1025,$A19,Storage_Share_Detail!$D$2:$D$1025,2020),0)</f>
        <v>0</v>
      </c>
      <c r="C19" s="98">
        <f>IFERROR(AVERAGEIFS(Storage_Share_Detail!$G$2:$G$1025,Storage_Share_Detail!$A$2:$A$1025,"Init",Storage_Share_Detail!$B$2:$B$1025,"IMAGE_SSP1-26",Storage_Share_Detail!$C$2:$C$1025,$A19,Storage_Share_Detail!$D$2:$D$1025,2030),0)</f>
        <v>0</v>
      </c>
      <c r="D19" s="98">
        <f>IFERROR(AVERAGEIFS(Storage_Share_Detail!$G$2:$G$1025,Storage_Share_Detail!$A$2:$A$1025,"Init",Storage_Share_Detail!$B$2:$B$1025,"IMAGE_SSP1-26",Storage_Share_Detail!$C$2:$C$1025,$A19,Storage_Share_Detail!$D$2:$D$1025,2040),0)</f>
        <v>0</v>
      </c>
      <c r="E19" s="98">
        <f>IFERROR(AVERAGEIFS(Storage_Share_Detail!$G$2:$G$1025,Storage_Share_Detail!$A$2:$A$1025,"Init",Storage_Share_Detail!$B$2:$B$1025,"IMAGE_SSP1-26",Storage_Share_Detail!$C$2:$C$1025,$A19,Storage_Share_Detail!$D$2:$D$1025,2050),0)</f>
        <v>0</v>
      </c>
      <c r="F19" s="99">
        <f>IFERROR(AVERAGEIFS(Storage_Share_Detail!$K$2:$K$1025,Storage_Share_Detail!$A$2:$A$1025,"Init",Storage_Share_Detail!$B$2:$B$1025,"IMAGE_SSP1-26",Storage_Share_Detail!$C$2:$C$1025,$A19),0)</f>
        <v>0</v>
      </c>
      <c r="G19" s="98">
        <f>IFERROR(AVERAGEIFS(Storage_Share_Detail!$G$2:$G$1025,Storage_Share_Detail!$A$2:$A$1025,"Opti",Storage_Share_Detail!$B$2:$B$1025,"IMAGE_SSP1-26",Storage_Share_Detail!$C$2:$C$1025,$A19,Storage_Share_Detail!$D$2:$D$1025,2020),0)</f>
        <v>0</v>
      </c>
      <c r="H19" s="98">
        <f>IFERROR(AVERAGEIFS(Storage_Share_Detail!$G$2:$G$1025,Storage_Share_Detail!$A$2:$A$1025,"Opti",Storage_Share_Detail!$B$2:$B$1025,"IMAGE_SSP1-26",Storage_Share_Detail!$C$2:$C$1025,$A19,Storage_Share_Detail!$D$2:$D$1025,2030),0)</f>
        <v>0</v>
      </c>
      <c r="I19" s="98">
        <f>IFERROR(AVERAGEIFS(Storage_Share_Detail!$G$2:$G$1025,Storage_Share_Detail!$A$2:$A$1025,"Opti",Storage_Share_Detail!$B$2:$B$1025,"IMAGE_SSP1-26",Storage_Share_Detail!$C$2:$C$1025,$A19,Storage_Share_Detail!$D$2:$D$1025,2040),0)</f>
        <v>0</v>
      </c>
      <c r="J19" s="98">
        <f>IFERROR(AVERAGEIFS(Storage_Share_Detail!$G$2:$G$1025,Storage_Share_Detail!$A$2:$A$1025,"Opti",Storage_Share_Detail!$B$2:$B$1025,"IMAGE_SSP1-26",Storage_Share_Detail!$C$2:$C$1025,$A19,Storage_Share_Detail!$D$2:$D$1025,2050),0)</f>
        <v>0</v>
      </c>
      <c r="K19" s="99">
        <f>IFERROR(AVERAGEIFS(Storage_Share_Detail!$K$2:$K$1025,Storage_Share_Detail!$A$2:$A$1025,"Opti",Storage_Share_Detail!$B$2:$B$1025,"IMAGE_SSP1-26",Storage_Share_Detail!$C$2:$C$1025,$A19),0)</f>
        <v>0</v>
      </c>
      <c r="L19" s="98">
        <f>IFERROR(AVERAGEIFS(Storage_Share_Detail!$G$2:$G$1025,Storage_Share_Detail!$A$2:$A$1025,"Init",Storage_Share_Detail!$B$2:$B$1025,"MESSAGE-GLOBIOM_SSP2-26",Storage_Share_Detail!$C$2:$C$1025,$A19,Storage_Share_Detail!$D$2:$D$1025,2020),0)</f>
        <v>0</v>
      </c>
      <c r="M19" s="98">
        <f>IFERROR(AVERAGEIFS(Storage_Share_Detail!$G$2:$G$1025,Storage_Share_Detail!$A$2:$A$1025,"Init",Storage_Share_Detail!$B$2:$B$1025,"MESSAGE-GLOBIOM_SSP2-26",Storage_Share_Detail!$C$2:$C$1025,$A19,Storage_Share_Detail!$D$2:$D$1025,2030),0)</f>
        <v>0</v>
      </c>
      <c r="N19" s="98">
        <f>IFERROR(AVERAGEIFS(Storage_Share_Detail!$G$2:$G$1025,Storage_Share_Detail!$A$2:$A$1025,"Init",Storage_Share_Detail!$B$2:$B$1025,"MESSAGE-GLOBIOM_SSP2-26",Storage_Share_Detail!$C$2:$C$1025,$A19,Storage_Share_Detail!$D$2:$D$1025,2040),0)</f>
        <v>0</v>
      </c>
      <c r="O19" s="98">
        <f>IFERROR(AVERAGEIFS(Storage_Share_Detail!$G$2:$G$1025,Storage_Share_Detail!$A$2:$A$1025,"Init",Storage_Share_Detail!$B$2:$B$1025,"MESSAGE-GLOBIOM_SSP2-26",Storage_Share_Detail!$C$2:$C$1025,$A19,Storage_Share_Detail!$D$2:$D$1025,2050),0)</f>
        <v>0</v>
      </c>
      <c r="P19" s="99">
        <f>IFERROR(AVERAGEIFS(Storage_Share_Detail!$K$2:$K$1025,Storage_Share_Detail!$A$2:$A$1025,"Init",Storage_Share_Detail!$B$2:$B$1025,"MESSAGE-GLOBIOM_SSP2-26",Storage_Share_Detail!$C$2:$C$1025,$A19),0)</f>
        <v>0</v>
      </c>
      <c r="Q19" s="98">
        <f>IFERROR(AVERAGEIFS(Storage_Share_Detail!$G$2:$G$1025,Storage_Share_Detail!$A$2:$A$1025,"Opti",Storage_Share_Detail!$B$2:$B$1025,"MESSAGE-GLOBIOM_SSP2-26",Storage_Share_Detail!$C$2:$C$1025,$A19,Storage_Share_Detail!$D$2:$D$1025,2020),0)</f>
        <v>0</v>
      </c>
      <c r="R19" s="98">
        <f>IFERROR(AVERAGEIFS(Storage_Share_Detail!$G$2:$G$1025,Storage_Share_Detail!$A$2:$A$1025,"Opti",Storage_Share_Detail!$B$2:$B$1025,"MESSAGE-GLOBIOM_SSP2-26",Storage_Share_Detail!$C$2:$C$1025,$A19,Storage_Share_Detail!$D$2:$D$1025,2030),0)</f>
        <v>0</v>
      </c>
      <c r="S19" s="98">
        <f>IFERROR(AVERAGEIFS(Storage_Share_Detail!$G$2:$G$1025,Storage_Share_Detail!$A$2:$A$1025,"Opti",Storage_Share_Detail!$B$2:$B$1025,"MESSAGE-GLOBIOM_SSP2-26",Storage_Share_Detail!$C$2:$C$1025,$A19,Storage_Share_Detail!$D$2:$D$1025,2040),0)</f>
        <v>0</v>
      </c>
      <c r="T19" s="98">
        <f>IFERROR(AVERAGEIFS(Storage_Share_Detail!$G$2:$G$1025,Storage_Share_Detail!$A$2:$A$1025,"Opti",Storage_Share_Detail!$B$2:$B$1025,"MESSAGE-GLOBIOM_SSP2-26",Storage_Share_Detail!$C$2:$C$1025,$A19,Storage_Share_Detail!$D$2:$D$1025,2050),0)</f>
        <v>0</v>
      </c>
      <c r="U19" s="99">
        <f>IFERROR(AVERAGEIFS(Storage_Share_Detail!$K$2:$K$1025,Storage_Share_Detail!$A$2:$A$1025,"Opti",Storage_Share_Detail!$B$2:$B$1025,"MESSAGE-GLOBIOM_SSP2-26",Storage_Share_Detail!$C$2:$C$1025,$A19),0)</f>
        <v>0</v>
      </c>
      <c r="V19" s="98">
        <f>IFERROR(AVERAGEIFS(Storage_Share_Detail!$G$2:$G$1025,Storage_Share_Detail!$A$2:$A$1025,"Init",Storage_Share_Detail!$B$2:$B$1025,"GCAM4_SSP4-26",Storage_Share_Detail!$C$2:$C$1025,$A19,Storage_Share_Detail!$D$2:$D$1025,2020),0)</f>
        <v>0</v>
      </c>
      <c r="W19" s="98">
        <f>IFERROR(AVERAGEIFS(Storage_Share_Detail!$G$2:$G$1025,Storage_Share_Detail!$A$2:$A$1025,"Init",Storage_Share_Detail!$B$2:$B$1025,"GCAM4_SSP4-26",Storage_Share_Detail!$C$2:$C$1025,$A19,Storage_Share_Detail!$D$2:$D$1025,2030),0)</f>
        <v>0</v>
      </c>
      <c r="X19" s="98">
        <f>IFERROR(AVERAGEIFS(Storage_Share_Detail!$G$2:$G$1025,Storage_Share_Detail!$A$2:$A$1025,"Init",Storage_Share_Detail!$B$2:$B$1025,"GCAM4_SSP4-26",Storage_Share_Detail!$C$2:$C$1025,$A19,Storage_Share_Detail!$D$2:$D$1025,2040),0)</f>
        <v>0</v>
      </c>
      <c r="Y19" s="98">
        <f>IFERROR(AVERAGEIFS(Storage_Share_Detail!$G$2:$G$1025,Storage_Share_Detail!$A$2:$A$1025,"Init",Storage_Share_Detail!$B$2:$B$1025,"GCAM4_SSP4-26",Storage_Share_Detail!$C$2:$C$1025,$A19,Storage_Share_Detail!$D$2:$D$1025,2050),0)</f>
        <v>0</v>
      </c>
      <c r="Z19" s="99">
        <f>IFERROR(AVERAGEIFS(Storage_Share_Detail!$K$2:$K$1025,Storage_Share_Detail!$A$2:$A$1025,"Init",Storage_Share_Detail!$B$2:$B$1025,"GCAM4_SSP4-26",Storage_Share_Detail!$C$2:$C$1025,$A19),0)</f>
        <v>0</v>
      </c>
      <c r="AA19" s="98">
        <f>IFERROR(AVERAGEIFS(Storage_Share_Detail!$G$2:$G$1025,Storage_Share_Detail!$A$2:$A$1025,"Opti",Storage_Share_Detail!$B$2:$B$1025,"GCAM4_SSP4-26",Storage_Share_Detail!$C$2:$C$1025,$A19,Storage_Share_Detail!$D$2:$D$1025,2020),0)</f>
        <v>0</v>
      </c>
      <c r="AB19" s="98">
        <f>IFERROR(AVERAGEIFS(Storage_Share_Detail!$G$2:$G$1025,Storage_Share_Detail!$A$2:$A$1025,"Opti",Storage_Share_Detail!$B$2:$B$1025,"GCAM4_SSP4-26",Storage_Share_Detail!$C$2:$C$1025,$A19,Storage_Share_Detail!$D$2:$D$1025,2030),0)</f>
        <v>0</v>
      </c>
      <c r="AC19" s="98">
        <f>IFERROR(AVERAGEIFS(Storage_Share_Detail!$G$2:$G$1025,Storage_Share_Detail!$A$2:$A$1025,"Opti",Storage_Share_Detail!$B$2:$B$1025,"GCAM4_SSP4-26",Storage_Share_Detail!$C$2:$C$1025,$A19,Storage_Share_Detail!$D$2:$D$1025,2040),0)</f>
        <v>0</v>
      </c>
      <c r="AD19" s="98">
        <f>IFERROR(AVERAGEIFS(Storage_Share_Detail!$G$2:$G$1025,Storage_Share_Detail!$A$2:$A$1025,"Opti",Storage_Share_Detail!$B$2:$B$1025,"GCAM4_SSP4-26",Storage_Share_Detail!$C$2:$C$1025,$A19,Storage_Share_Detail!$D$2:$D$1025,2050),0)</f>
        <v>0</v>
      </c>
      <c r="AE19" s="99">
        <f>IFERROR(AVERAGEIFS(Storage_Share_Detail!$K$2:$K$1025,Storage_Share_Detail!$A$2:$A$1025,"Opti",Storage_Share_Detail!$B$2:$B$1025,"GCAM4_SSP4-26",Storage_Share_Detail!$C$2:$C$1025,$A19),0)</f>
        <v>0</v>
      </c>
      <c r="AF19" s="98">
        <f>IFERROR(AVERAGEIFS(Storage_Share_Detail!$G$2:$G$1025,Storage_Share_Detail!$A$2:$A$1025,"Init",Storage_Share_Detail!$B$2:$B$1025,"REMIND-MAGPIE_SSP5-26",Storage_Share_Detail!$C$2:$C$1025,$A19,Storage_Share_Detail!$D$2:$D$1025,2020),0)</f>
        <v>0</v>
      </c>
      <c r="AG19" s="98">
        <f>IFERROR(AVERAGEIFS(Storage_Share_Detail!$G$2:$G$1025,Storage_Share_Detail!$A$2:$A$1025,"Init",Storage_Share_Detail!$B$2:$B$1025,"REMIND-MAGPIE_SSP5-26",Storage_Share_Detail!$C$2:$C$1025,$A19,Storage_Share_Detail!$D$2:$D$1025,2030),0)</f>
        <v>0</v>
      </c>
      <c r="AH19" s="98">
        <f>IFERROR(AVERAGEIFS(Storage_Share_Detail!$G$2:$G$1025,Storage_Share_Detail!$A$2:$A$1025,"Init",Storage_Share_Detail!$B$2:$B$1025,"REMIND-MAGPIE_SSP5-26",Storage_Share_Detail!$C$2:$C$1025,$A19,Storage_Share_Detail!$D$2:$D$1025,2040),0)</f>
        <v>0</v>
      </c>
      <c r="AI19" s="98">
        <f>IFERROR(AVERAGEIFS(Storage_Share_Detail!$G$2:$G$1025,Storage_Share_Detail!$A$2:$A$1025,"Init",Storage_Share_Detail!$B$2:$B$1025,"REMIND-MAGPIE_SSP5-26",Storage_Share_Detail!$C$2:$C$1025,$A19,Storage_Share_Detail!$D$2:$D$1025,2050),0)</f>
        <v>0</v>
      </c>
      <c r="AJ19" s="99">
        <f>IFERROR(AVERAGEIFS(Storage_Share_Detail!$K$2:$K$1025,Storage_Share_Detail!$A$2:$A$1025,"Init",Storage_Share_Detail!$B$2:$B$1025,"REMIND-MAGPIE_SSP5-26",Storage_Share_Detail!$C$2:$C$1025,$A19),0)</f>
        <v>0</v>
      </c>
      <c r="AK19" s="98">
        <f>IFERROR(AVERAGEIFS(Storage_Share_Detail!$G$2:$G$1025,Storage_Share_Detail!$A$2:$A$1025,"Opti",Storage_Share_Detail!$B$2:$B$1025,"REMIND-MAGPIE_SSP5-26",Storage_Share_Detail!$C$2:$C$1025,$A19,Storage_Share_Detail!$D$2:$D$1025,2020),0)</f>
        <v>0</v>
      </c>
      <c r="AL19" s="98">
        <f>IFERROR(AVERAGEIFS(Storage_Share_Detail!$G$2:$G$1025,Storage_Share_Detail!$A$2:$A$1025,"Opti",Storage_Share_Detail!$B$2:$B$1025,"REMIND-MAGPIE_SSP5-26",Storage_Share_Detail!$C$2:$C$1025,$A19,Storage_Share_Detail!$D$2:$D$1025,2030),0)</f>
        <v>0</v>
      </c>
      <c r="AM19" s="98">
        <f>IFERROR(AVERAGEIFS(Storage_Share_Detail!$G$2:$G$1025,Storage_Share_Detail!$A$2:$A$1025,"Opti",Storage_Share_Detail!$B$2:$B$1025,"REMIND-MAGPIE_SSP5-26",Storage_Share_Detail!$C$2:$C$1025,$A19,Storage_Share_Detail!$D$2:$D$1025,2040),0)</f>
        <v>0</v>
      </c>
      <c r="AN19" s="98">
        <f>IFERROR(AVERAGEIFS(Storage_Share_Detail!$G$2:$G$1025,Storage_Share_Detail!$A$2:$A$1025,"Opti",Storage_Share_Detail!$B$2:$B$1025,"REMIND-MAGPIE_SSP5-26",Storage_Share_Detail!$C$2:$C$1025,$A19,Storage_Share_Detail!$D$2:$D$1025,2050),0)</f>
        <v>0</v>
      </c>
      <c r="AO19" s="99">
        <f>IFERROR(AVERAGEIFS(Storage_Share_Detail!$K$2:$K$1025,Storage_Share_Detail!$A$2:$A$1025,"Opti",Storage_Share_Detail!$B$2:$B$1025,"REMIND-MAGPIE_SSP5-26",Storage_Share_Detail!$C$2:$C$1025,$A19),0)</f>
        <v>0</v>
      </c>
    </row>
    <row r="20" spans="1:41" x14ac:dyDescent="0.2">
      <c r="A20" s="102" t="s">
        <v>55</v>
      </c>
      <c r="B20" s="98">
        <f>IFERROR(AVERAGEIFS(Storage_Share_Detail!$G$2:$G$1025,Storage_Share_Detail!$A$2:$A$1025,"Init",Storage_Share_Detail!$B$2:$B$1025,"IMAGE_SSP1-26",Storage_Share_Detail!$C$2:$C$1025,$A20,Storage_Share_Detail!$D$2:$D$1025,2020),0)</f>
        <v>0</v>
      </c>
      <c r="C20" s="98">
        <f>IFERROR(AVERAGEIFS(Storage_Share_Detail!$G$2:$G$1025,Storage_Share_Detail!$A$2:$A$1025,"Init",Storage_Share_Detail!$B$2:$B$1025,"IMAGE_SSP1-26",Storage_Share_Detail!$C$2:$C$1025,$A20,Storage_Share_Detail!$D$2:$D$1025,2030),0)</f>
        <v>0</v>
      </c>
      <c r="D20" s="98">
        <f>IFERROR(AVERAGEIFS(Storage_Share_Detail!$G$2:$G$1025,Storage_Share_Detail!$A$2:$A$1025,"Init",Storage_Share_Detail!$B$2:$B$1025,"IMAGE_SSP1-26",Storage_Share_Detail!$C$2:$C$1025,$A20,Storage_Share_Detail!$D$2:$D$1025,2040),0)</f>
        <v>0</v>
      </c>
      <c r="E20" s="98">
        <f>IFERROR(AVERAGEIFS(Storage_Share_Detail!$G$2:$G$1025,Storage_Share_Detail!$A$2:$A$1025,"Init",Storage_Share_Detail!$B$2:$B$1025,"IMAGE_SSP1-26",Storage_Share_Detail!$C$2:$C$1025,$A20,Storage_Share_Detail!$D$2:$D$1025,2050),0)</f>
        <v>0</v>
      </c>
      <c r="F20" s="99">
        <f>IFERROR(AVERAGEIFS(Storage_Share_Detail!$K$2:$K$1025,Storage_Share_Detail!$A$2:$A$1025,"Init",Storage_Share_Detail!$B$2:$B$1025,"IMAGE_SSP1-26",Storage_Share_Detail!$C$2:$C$1025,$A20),0)</f>
        <v>0</v>
      </c>
      <c r="G20" s="98">
        <f>IFERROR(AVERAGEIFS(Storage_Share_Detail!$G$2:$G$1025,Storage_Share_Detail!$A$2:$A$1025,"Opti",Storage_Share_Detail!$B$2:$B$1025,"IMAGE_SSP1-26",Storage_Share_Detail!$C$2:$C$1025,$A20,Storage_Share_Detail!$D$2:$D$1025,2020),0)</f>
        <v>0</v>
      </c>
      <c r="H20" s="98">
        <f>IFERROR(AVERAGEIFS(Storage_Share_Detail!$G$2:$G$1025,Storage_Share_Detail!$A$2:$A$1025,"Opti",Storage_Share_Detail!$B$2:$B$1025,"IMAGE_SSP1-26",Storage_Share_Detail!$C$2:$C$1025,$A20,Storage_Share_Detail!$D$2:$D$1025,2030),0)</f>
        <v>0</v>
      </c>
      <c r="I20" s="98">
        <f>IFERROR(AVERAGEIFS(Storage_Share_Detail!$G$2:$G$1025,Storage_Share_Detail!$A$2:$A$1025,"Opti",Storage_Share_Detail!$B$2:$B$1025,"IMAGE_SSP1-26",Storage_Share_Detail!$C$2:$C$1025,$A20,Storage_Share_Detail!$D$2:$D$1025,2040),0)</f>
        <v>0</v>
      </c>
      <c r="J20" s="98">
        <f>IFERROR(AVERAGEIFS(Storage_Share_Detail!$G$2:$G$1025,Storage_Share_Detail!$A$2:$A$1025,"Opti",Storage_Share_Detail!$B$2:$B$1025,"IMAGE_SSP1-26",Storage_Share_Detail!$C$2:$C$1025,$A20,Storage_Share_Detail!$D$2:$D$1025,2050),0)</f>
        <v>0</v>
      </c>
      <c r="K20" s="99">
        <f>IFERROR(AVERAGEIFS(Storage_Share_Detail!$K$2:$K$1025,Storage_Share_Detail!$A$2:$A$1025,"Opti",Storage_Share_Detail!$B$2:$B$1025,"IMAGE_SSP1-26",Storage_Share_Detail!$C$2:$C$1025,$A20),0)</f>
        <v>0</v>
      </c>
      <c r="L20" s="98">
        <f>IFERROR(AVERAGEIFS(Storage_Share_Detail!$G$2:$G$1025,Storage_Share_Detail!$A$2:$A$1025,"Init",Storage_Share_Detail!$B$2:$B$1025,"MESSAGE-GLOBIOM_SSP2-26",Storage_Share_Detail!$C$2:$C$1025,$A20,Storage_Share_Detail!$D$2:$D$1025,2020),0)</f>
        <v>0</v>
      </c>
      <c r="M20" s="98">
        <f>IFERROR(AVERAGEIFS(Storage_Share_Detail!$G$2:$G$1025,Storage_Share_Detail!$A$2:$A$1025,"Init",Storage_Share_Detail!$B$2:$B$1025,"MESSAGE-GLOBIOM_SSP2-26",Storage_Share_Detail!$C$2:$C$1025,$A20,Storage_Share_Detail!$D$2:$D$1025,2030),0)</f>
        <v>0</v>
      </c>
      <c r="N20" s="98">
        <f>IFERROR(AVERAGEIFS(Storage_Share_Detail!$G$2:$G$1025,Storage_Share_Detail!$A$2:$A$1025,"Init",Storage_Share_Detail!$B$2:$B$1025,"MESSAGE-GLOBIOM_SSP2-26",Storage_Share_Detail!$C$2:$C$1025,$A20,Storage_Share_Detail!$D$2:$D$1025,2040),0)</f>
        <v>0</v>
      </c>
      <c r="O20" s="98">
        <f>IFERROR(AVERAGEIFS(Storage_Share_Detail!$G$2:$G$1025,Storage_Share_Detail!$A$2:$A$1025,"Init",Storage_Share_Detail!$B$2:$B$1025,"MESSAGE-GLOBIOM_SSP2-26",Storage_Share_Detail!$C$2:$C$1025,$A20,Storage_Share_Detail!$D$2:$D$1025,2050),0)</f>
        <v>0</v>
      </c>
      <c r="P20" s="99">
        <f>IFERROR(AVERAGEIFS(Storage_Share_Detail!$K$2:$K$1025,Storage_Share_Detail!$A$2:$A$1025,"Init",Storage_Share_Detail!$B$2:$B$1025,"MESSAGE-GLOBIOM_SSP2-26",Storage_Share_Detail!$C$2:$C$1025,$A20),0)</f>
        <v>0</v>
      </c>
      <c r="Q20" s="98">
        <f>IFERROR(AVERAGEIFS(Storage_Share_Detail!$G$2:$G$1025,Storage_Share_Detail!$A$2:$A$1025,"Opti",Storage_Share_Detail!$B$2:$B$1025,"MESSAGE-GLOBIOM_SSP2-26",Storage_Share_Detail!$C$2:$C$1025,$A20,Storage_Share_Detail!$D$2:$D$1025,2020),0)</f>
        <v>0</v>
      </c>
      <c r="R20" s="98">
        <f>IFERROR(AVERAGEIFS(Storage_Share_Detail!$G$2:$G$1025,Storage_Share_Detail!$A$2:$A$1025,"Opti",Storage_Share_Detail!$B$2:$B$1025,"MESSAGE-GLOBIOM_SSP2-26",Storage_Share_Detail!$C$2:$C$1025,$A20,Storage_Share_Detail!$D$2:$D$1025,2030),0)</f>
        <v>0</v>
      </c>
      <c r="S20" s="98">
        <f>IFERROR(AVERAGEIFS(Storage_Share_Detail!$G$2:$G$1025,Storage_Share_Detail!$A$2:$A$1025,"Opti",Storage_Share_Detail!$B$2:$B$1025,"MESSAGE-GLOBIOM_SSP2-26",Storage_Share_Detail!$C$2:$C$1025,$A20,Storage_Share_Detail!$D$2:$D$1025,2040),0)</f>
        <v>0</v>
      </c>
      <c r="T20" s="98">
        <f>IFERROR(AVERAGEIFS(Storage_Share_Detail!$G$2:$G$1025,Storage_Share_Detail!$A$2:$A$1025,"Opti",Storage_Share_Detail!$B$2:$B$1025,"MESSAGE-GLOBIOM_SSP2-26",Storage_Share_Detail!$C$2:$C$1025,$A20,Storage_Share_Detail!$D$2:$D$1025,2050),0)</f>
        <v>0</v>
      </c>
      <c r="U20" s="99">
        <f>IFERROR(AVERAGEIFS(Storage_Share_Detail!$K$2:$K$1025,Storage_Share_Detail!$A$2:$A$1025,"Opti",Storage_Share_Detail!$B$2:$B$1025,"MESSAGE-GLOBIOM_SSP2-26",Storage_Share_Detail!$C$2:$C$1025,$A20),0)</f>
        <v>0</v>
      </c>
      <c r="V20" s="98">
        <f>IFERROR(AVERAGEIFS(Storage_Share_Detail!$G$2:$G$1025,Storage_Share_Detail!$A$2:$A$1025,"Init",Storage_Share_Detail!$B$2:$B$1025,"GCAM4_SSP4-26",Storage_Share_Detail!$C$2:$C$1025,$A20,Storage_Share_Detail!$D$2:$D$1025,2020),0)</f>
        <v>0</v>
      </c>
      <c r="W20" s="98">
        <f>IFERROR(AVERAGEIFS(Storage_Share_Detail!$G$2:$G$1025,Storage_Share_Detail!$A$2:$A$1025,"Init",Storage_Share_Detail!$B$2:$B$1025,"GCAM4_SSP4-26",Storage_Share_Detail!$C$2:$C$1025,$A20,Storage_Share_Detail!$D$2:$D$1025,2030),0)</f>
        <v>0</v>
      </c>
      <c r="X20" s="98">
        <f>IFERROR(AVERAGEIFS(Storage_Share_Detail!$G$2:$G$1025,Storage_Share_Detail!$A$2:$A$1025,"Init",Storage_Share_Detail!$B$2:$B$1025,"GCAM4_SSP4-26",Storage_Share_Detail!$C$2:$C$1025,$A20,Storage_Share_Detail!$D$2:$D$1025,2040),0)</f>
        <v>0</v>
      </c>
      <c r="Y20" s="98">
        <f>IFERROR(AVERAGEIFS(Storage_Share_Detail!$G$2:$G$1025,Storage_Share_Detail!$A$2:$A$1025,"Init",Storage_Share_Detail!$B$2:$B$1025,"GCAM4_SSP4-26",Storage_Share_Detail!$C$2:$C$1025,$A20,Storage_Share_Detail!$D$2:$D$1025,2050),0)</f>
        <v>0</v>
      </c>
      <c r="Z20" s="99">
        <f>IFERROR(AVERAGEIFS(Storage_Share_Detail!$K$2:$K$1025,Storage_Share_Detail!$A$2:$A$1025,"Init",Storage_Share_Detail!$B$2:$B$1025,"GCAM4_SSP4-26",Storage_Share_Detail!$C$2:$C$1025,$A20),0)</f>
        <v>0</v>
      </c>
      <c r="AA20" s="98">
        <f>IFERROR(AVERAGEIFS(Storage_Share_Detail!$G$2:$G$1025,Storage_Share_Detail!$A$2:$A$1025,"Opti",Storage_Share_Detail!$B$2:$B$1025,"GCAM4_SSP4-26",Storage_Share_Detail!$C$2:$C$1025,$A20,Storage_Share_Detail!$D$2:$D$1025,2020),0)</f>
        <v>0</v>
      </c>
      <c r="AB20" s="98">
        <f>IFERROR(AVERAGEIFS(Storage_Share_Detail!$G$2:$G$1025,Storage_Share_Detail!$A$2:$A$1025,"Opti",Storage_Share_Detail!$B$2:$B$1025,"GCAM4_SSP4-26",Storage_Share_Detail!$C$2:$C$1025,$A20,Storage_Share_Detail!$D$2:$D$1025,2030),0)</f>
        <v>0</v>
      </c>
      <c r="AC20" s="98">
        <f>IFERROR(AVERAGEIFS(Storage_Share_Detail!$G$2:$G$1025,Storage_Share_Detail!$A$2:$A$1025,"Opti",Storage_Share_Detail!$B$2:$B$1025,"GCAM4_SSP4-26",Storage_Share_Detail!$C$2:$C$1025,$A20,Storage_Share_Detail!$D$2:$D$1025,2040),0)</f>
        <v>0</v>
      </c>
      <c r="AD20" s="98">
        <f>IFERROR(AVERAGEIFS(Storage_Share_Detail!$G$2:$G$1025,Storage_Share_Detail!$A$2:$A$1025,"Opti",Storage_Share_Detail!$B$2:$B$1025,"GCAM4_SSP4-26",Storage_Share_Detail!$C$2:$C$1025,$A20,Storage_Share_Detail!$D$2:$D$1025,2050),0)</f>
        <v>0</v>
      </c>
      <c r="AE20" s="99">
        <f>IFERROR(AVERAGEIFS(Storage_Share_Detail!$K$2:$K$1025,Storage_Share_Detail!$A$2:$A$1025,"Opti",Storage_Share_Detail!$B$2:$B$1025,"GCAM4_SSP4-26",Storage_Share_Detail!$C$2:$C$1025,$A20),0)</f>
        <v>0</v>
      </c>
      <c r="AF20" s="98">
        <f>IFERROR(AVERAGEIFS(Storage_Share_Detail!$G$2:$G$1025,Storage_Share_Detail!$A$2:$A$1025,"Init",Storage_Share_Detail!$B$2:$B$1025,"REMIND-MAGPIE_SSP5-26",Storage_Share_Detail!$C$2:$C$1025,$A20,Storage_Share_Detail!$D$2:$D$1025,2020),0)</f>
        <v>0</v>
      </c>
      <c r="AG20" s="98">
        <f>IFERROR(AVERAGEIFS(Storage_Share_Detail!$G$2:$G$1025,Storage_Share_Detail!$A$2:$A$1025,"Init",Storage_Share_Detail!$B$2:$B$1025,"REMIND-MAGPIE_SSP5-26",Storage_Share_Detail!$C$2:$C$1025,$A20,Storage_Share_Detail!$D$2:$D$1025,2030),0)</f>
        <v>0</v>
      </c>
      <c r="AH20" s="98">
        <f>IFERROR(AVERAGEIFS(Storage_Share_Detail!$G$2:$G$1025,Storage_Share_Detail!$A$2:$A$1025,"Init",Storage_Share_Detail!$B$2:$B$1025,"REMIND-MAGPIE_SSP5-26",Storage_Share_Detail!$C$2:$C$1025,$A20,Storage_Share_Detail!$D$2:$D$1025,2040),0)</f>
        <v>0</v>
      </c>
      <c r="AI20" s="98">
        <f>IFERROR(AVERAGEIFS(Storage_Share_Detail!$G$2:$G$1025,Storage_Share_Detail!$A$2:$A$1025,"Init",Storage_Share_Detail!$B$2:$B$1025,"REMIND-MAGPIE_SSP5-26",Storage_Share_Detail!$C$2:$C$1025,$A20,Storage_Share_Detail!$D$2:$D$1025,2050),0)</f>
        <v>0</v>
      </c>
      <c r="AJ20" s="99">
        <f>IFERROR(AVERAGEIFS(Storage_Share_Detail!$K$2:$K$1025,Storage_Share_Detail!$A$2:$A$1025,"Init",Storage_Share_Detail!$B$2:$B$1025,"REMIND-MAGPIE_SSP5-26",Storage_Share_Detail!$C$2:$C$1025,$A20),0)</f>
        <v>0</v>
      </c>
      <c r="AK20" s="98">
        <f>IFERROR(AVERAGEIFS(Storage_Share_Detail!$G$2:$G$1025,Storage_Share_Detail!$A$2:$A$1025,"Opti",Storage_Share_Detail!$B$2:$B$1025,"REMIND-MAGPIE_SSP5-26",Storage_Share_Detail!$C$2:$C$1025,$A20,Storage_Share_Detail!$D$2:$D$1025,2020),0)</f>
        <v>0</v>
      </c>
      <c r="AL20" s="98">
        <f>IFERROR(AVERAGEIFS(Storage_Share_Detail!$G$2:$G$1025,Storage_Share_Detail!$A$2:$A$1025,"Opti",Storage_Share_Detail!$B$2:$B$1025,"REMIND-MAGPIE_SSP5-26",Storage_Share_Detail!$C$2:$C$1025,$A20,Storage_Share_Detail!$D$2:$D$1025,2030),0)</f>
        <v>0</v>
      </c>
      <c r="AM20" s="98">
        <f>IFERROR(AVERAGEIFS(Storage_Share_Detail!$G$2:$G$1025,Storage_Share_Detail!$A$2:$A$1025,"Opti",Storage_Share_Detail!$B$2:$B$1025,"REMIND-MAGPIE_SSP5-26",Storage_Share_Detail!$C$2:$C$1025,$A20,Storage_Share_Detail!$D$2:$D$1025,2040),0)</f>
        <v>0</v>
      </c>
      <c r="AN20" s="98">
        <f>IFERROR(AVERAGEIFS(Storage_Share_Detail!$G$2:$G$1025,Storage_Share_Detail!$A$2:$A$1025,"Opti",Storage_Share_Detail!$B$2:$B$1025,"REMIND-MAGPIE_SSP5-26",Storage_Share_Detail!$C$2:$C$1025,$A20,Storage_Share_Detail!$D$2:$D$1025,2050),0)</f>
        <v>0</v>
      </c>
      <c r="AO20" s="99">
        <f>IFERROR(AVERAGEIFS(Storage_Share_Detail!$K$2:$K$1025,Storage_Share_Detail!$A$2:$A$1025,"Opti",Storage_Share_Detail!$B$2:$B$1025,"REMIND-MAGPIE_SSP5-26",Storage_Share_Detail!$C$2:$C$1025,$A20),0)</f>
        <v>0</v>
      </c>
    </row>
    <row r="21" spans="1:41" x14ac:dyDescent="0.2">
      <c r="A21" s="102" t="s">
        <v>57</v>
      </c>
      <c r="B21" s="98">
        <f>IFERROR(AVERAGEIFS(Storage_Share_Detail!$G$2:$G$1025,Storage_Share_Detail!$A$2:$A$1025,"Init",Storage_Share_Detail!$B$2:$B$1025,"IMAGE_SSP1-26",Storage_Share_Detail!$C$2:$C$1025,$A21,Storage_Share_Detail!$D$2:$D$1025,2020),0)</f>
        <v>0</v>
      </c>
      <c r="C21" s="98">
        <f>IFERROR(AVERAGEIFS(Storage_Share_Detail!$G$2:$G$1025,Storage_Share_Detail!$A$2:$A$1025,"Init",Storage_Share_Detail!$B$2:$B$1025,"IMAGE_SSP1-26",Storage_Share_Detail!$C$2:$C$1025,$A21,Storage_Share_Detail!$D$2:$D$1025,2030),0)</f>
        <v>0</v>
      </c>
      <c r="D21" s="98">
        <f>IFERROR(AVERAGEIFS(Storage_Share_Detail!$G$2:$G$1025,Storage_Share_Detail!$A$2:$A$1025,"Init",Storage_Share_Detail!$B$2:$B$1025,"IMAGE_SSP1-26",Storage_Share_Detail!$C$2:$C$1025,$A21,Storage_Share_Detail!$D$2:$D$1025,2040),0)</f>
        <v>0</v>
      </c>
      <c r="E21" s="98">
        <f>IFERROR(AVERAGEIFS(Storage_Share_Detail!$G$2:$G$1025,Storage_Share_Detail!$A$2:$A$1025,"Init",Storage_Share_Detail!$B$2:$B$1025,"IMAGE_SSP1-26",Storage_Share_Detail!$C$2:$C$1025,$A21,Storage_Share_Detail!$D$2:$D$1025,2050),0)</f>
        <v>0</v>
      </c>
      <c r="F21" s="99">
        <f>IFERROR(AVERAGEIFS(Storage_Share_Detail!$K$2:$K$1025,Storage_Share_Detail!$A$2:$A$1025,"Init",Storage_Share_Detail!$B$2:$B$1025,"IMAGE_SSP1-26",Storage_Share_Detail!$C$2:$C$1025,$A21),0)</f>
        <v>0</v>
      </c>
      <c r="G21" s="98">
        <f>IFERROR(AVERAGEIFS(Storage_Share_Detail!$G$2:$G$1025,Storage_Share_Detail!$A$2:$A$1025,"Opti",Storage_Share_Detail!$B$2:$B$1025,"IMAGE_SSP1-26",Storage_Share_Detail!$C$2:$C$1025,$A21,Storage_Share_Detail!$D$2:$D$1025,2020),0)</f>
        <v>0</v>
      </c>
      <c r="H21" s="98">
        <f>IFERROR(AVERAGEIFS(Storage_Share_Detail!$G$2:$G$1025,Storage_Share_Detail!$A$2:$A$1025,"Opti",Storage_Share_Detail!$B$2:$B$1025,"IMAGE_SSP1-26",Storage_Share_Detail!$C$2:$C$1025,$A21,Storage_Share_Detail!$D$2:$D$1025,2030),0)</f>
        <v>0</v>
      </c>
      <c r="I21" s="98">
        <f>IFERROR(AVERAGEIFS(Storage_Share_Detail!$G$2:$G$1025,Storage_Share_Detail!$A$2:$A$1025,"Opti",Storage_Share_Detail!$B$2:$B$1025,"IMAGE_SSP1-26",Storage_Share_Detail!$C$2:$C$1025,$A21,Storage_Share_Detail!$D$2:$D$1025,2040),0)</f>
        <v>0</v>
      </c>
      <c r="J21" s="98">
        <f>IFERROR(AVERAGEIFS(Storage_Share_Detail!$G$2:$G$1025,Storage_Share_Detail!$A$2:$A$1025,"Opti",Storage_Share_Detail!$B$2:$B$1025,"IMAGE_SSP1-26",Storage_Share_Detail!$C$2:$C$1025,$A21,Storage_Share_Detail!$D$2:$D$1025,2050),0)</f>
        <v>0</v>
      </c>
      <c r="K21" s="99">
        <f>IFERROR(AVERAGEIFS(Storage_Share_Detail!$K$2:$K$1025,Storage_Share_Detail!$A$2:$A$1025,"Opti",Storage_Share_Detail!$B$2:$B$1025,"IMAGE_SSP1-26",Storage_Share_Detail!$C$2:$C$1025,$A21),0)</f>
        <v>0</v>
      </c>
      <c r="L21" s="98">
        <f>IFERROR(AVERAGEIFS(Storage_Share_Detail!$G$2:$G$1025,Storage_Share_Detail!$A$2:$A$1025,"Init",Storage_Share_Detail!$B$2:$B$1025,"MESSAGE-GLOBIOM_SSP2-26",Storage_Share_Detail!$C$2:$C$1025,$A21,Storage_Share_Detail!$D$2:$D$1025,2020),0)</f>
        <v>0</v>
      </c>
      <c r="M21" s="98">
        <f>IFERROR(AVERAGEIFS(Storage_Share_Detail!$G$2:$G$1025,Storage_Share_Detail!$A$2:$A$1025,"Init",Storage_Share_Detail!$B$2:$B$1025,"MESSAGE-GLOBIOM_SSP2-26",Storage_Share_Detail!$C$2:$C$1025,$A21,Storage_Share_Detail!$D$2:$D$1025,2030),0)</f>
        <v>0</v>
      </c>
      <c r="N21" s="98">
        <f>IFERROR(AVERAGEIFS(Storage_Share_Detail!$G$2:$G$1025,Storage_Share_Detail!$A$2:$A$1025,"Init",Storage_Share_Detail!$B$2:$B$1025,"MESSAGE-GLOBIOM_SSP2-26",Storage_Share_Detail!$C$2:$C$1025,$A21,Storage_Share_Detail!$D$2:$D$1025,2040),0)</f>
        <v>0</v>
      </c>
      <c r="O21" s="98">
        <f>IFERROR(AVERAGEIFS(Storage_Share_Detail!$G$2:$G$1025,Storage_Share_Detail!$A$2:$A$1025,"Init",Storage_Share_Detail!$B$2:$B$1025,"MESSAGE-GLOBIOM_SSP2-26",Storage_Share_Detail!$C$2:$C$1025,$A21,Storage_Share_Detail!$D$2:$D$1025,2050),0)</f>
        <v>0</v>
      </c>
      <c r="P21" s="99">
        <f>IFERROR(AVERAGEIFS(Storage_Share_Detail!$K$2:$K$1025,Storage_Share_Detail!$A$2:$A$1025,"Init",Storage_Share_Detail!$B$2:$B$1025,"MESSAGE-GLOBIOM_SSP2-26",Storage_Share_Detail!$C$2:$C$1025,$A21),0)</f>
        <v>0</v>
      </c>
      <c r="Q21" s="98">
        <f>IFERROR(AVERAGEIFS(Storage_Share_Detail!$G$2:$G$1025,Storage_Share_Detail!$A$2:$A$1025,"Opti",Storage_Share_Detail!$B$2:$B$1025,"MESSAGE-GLOBIOM_SSP2-26",Storage_Share_Detail!$C$2:$C$1025,$A21,Storage_Share_Detail!$D$2:$D$1025,2020),0)</f>
        <v>0</v>
      </c>
      <c r="R21" s="98">
        <f>IFERROR(AVERAGEIFS(Storage_Share_Detail!$G$2:$G$1025,Storage_Share_Detail!$A$2:$A$1025,"Opti",Storage_Share_Detail!$B$2:$B$1025,"MESSAGE-GLOBIOM_SSP2-26",Storage_Share_Detail!$C$2:$C$1025,$A21,Storage_Share_Detail!$D$2:$D$1025,2030),0)</f>
        <v>0</v>
      </c>
      <c r="S21" s="98">
        <f>IFERROR(AVERAGEIFS(Storage_Share_Detail!$G$2:$G$1025,Storage_Share_Detail!$A$2:$A$1025,"Opti",Storage_Share_Detail!$B$2:$B$1025,"MESSAGE-GLOBIOM_SSP2-26",Storage_Share_Detail!$C$2:$C$1025,$A21,Storage_Share_Detail!$D$2:$D$1025,2040),0)</f>
        <v>0</v>
      </c>
      <c r="T21" s="98">
        <f>IFERROR(AVERAGEIFS(Storage_Share_Detail!$G$2:$G$1025,Storage_Share_Detail!$A$2:$A$1025,"Opti",Storage_Share_Detail!$B$2:$B$1025,"MESSAGE-GLOBIOM_SSP2-26",Storage_Share_Detail!$C$2:$C$1025,$A21,Storage_Share_Detail!$D$2:$D$1025,2050),0)</f>
        <v>0</v>
      </c>
      <c r="U21" s="99">
        <f>IFERROR(AVERAGEIFS(Storage_Share_Detail!$K$2:$K$1025,Storage_Share_Detail!$A$2:$A$1025,"Opti",Storage_Share_Detail!$B$2:$B$1025,"MESSAGE-GLOBIOM_SSP2-26",Storage_Share_Detail!$C$2:$C$1025,$A21),0)</f>
        <v>0</v>
      </c>
      <c r="V21" s="98">
        <f>IFERROR(AVERAGEIFS(Storage_Share_Detail!$G$2:$G$1025,Storage_Share_Detail!$A$2:$A$1025,"Init",Storage_Share_Detail!$B$2:$B$1025,"GCAM4_SSP4-26",Storage_Share_Detail!$C$2:$C$1025,$A21,Storage_Share_Detail!$D$2:$D$1025,2020),0)</f>
        <v>0</v>
      </c>
      <c r="W21" s="98">
        <f>IFERROR(AVERAGEIFS(Storage_Share_Detail!$G$2:$G$1025,Storage_Share_Detail!$A$2:$A$1025,"Init",Storage_Share_Detail!$B$2:$B$1025,"GCAM4_SSP4-26",Storage_Share_Detail!$C$2:$C$1025,$A21,Storage_Share_Detail!$D$2:$D$1025,2030),0)</f>
        <v>0</v>
      </c>
      <c r="X21" s="98">
        <f>IFERROR(AVERAGEIFS(Storage_Share_Detail!$G$2:$G$1025,Storage_Share_Detail!$A$2:$A$1025,"Init",Storage_Share_Detail!$B$2:$B$1025,"GCAM4_SSP4-26",Storage_Share_Detail!$C$2:$C$1025,$A21,Storage_Share_Detail!$D$2:$D$1025,2040),0)</f>
        <v>0</v>
      </c>
      <c r="Y21" s="98">
        <f>IFERROR(AVERAGEIFS(Storage_Share_Detail!$G$2:$G$1025,Storage_Share_Detail!$A$2:$A$1025,"Init",Storage_Share_Detail!$B$2:$B$1025,"GCAM4_SSP4-26",Storage_Share_Detail!$C$2:$C$1025,$A21,Storage_Share_Detail!$D$2:$D$1025,2050),0)</f>
        <v>0</v>
      </c>
      <c r="Z21" s="99">
        <f>IFERROR(AVERAGEIFS(Storage_Share_Detail!$K$2:$K$1025,Storage_Share_Detail!$A$2:$A$1025,"Init",Storage_Share_Detail!$B$2:$B$1025,"GCAM4_SSP4-26",Storage_Share_Detail!$C$2:$C$1025,$A21),0)</f>
        <v>0</v>
      </c>
      <c r="AA21" s="98">
        <f>IFERROR(AVERAGEIFS(Storage_Share_Detail!$G$2:$G$1025,Storage_Share_Detail!$A$2:$A$1025,"Opti",Storage_Share_Detail!$B$2:$B$1025,"GCAM4_SSP4-26",Storage_Share_Detail!$C$2:$C$1025,$A21,Storage_Share_Detail!$D$2:$D$1025,2020),0)</f>
        <v>0</v>
      </c>
      <c r="AB21" s="98">
        <f>IFERROR(AVERAGEIFS(Storage_Share_Detail!$G$2:$G$1025,Storage_Share_Detail!$A$2:$A$1025,"Opti",Storage_Share_Detail!$B$2:$B$1025,"GCAM4_SSP4-26",Storage_Share_Detail!$C$2:$C$1025,$A21,Storage_Share_Detail!$D$2:$D$1025,2030),0)</f>
        <v>0</v>
      </c>
      <c r="AC21" s="98">
        <f>IFERROR(AVERAGEIFS(Storage_Share_Detail!$G$2:$G$1025,Storage_Share_Detail!$A$2:$A$1025,"Opti",Storage_Share_Detail!$B$2:$B$1025,"GCAM4_SSP4-26",Storage_Share_Detail!$C$2:$C$1025,$A21,Storage_Share_Detail!$D$2:$D$1025,2040),0)</f>
        <v>0</v>
      </c>
      <c r="AD21" s="98">
        <f>IFERROR(AVERAGEIFS(Storage_Share_Detail!$G$2:$G$1025,Storage_Share_Detail!$A$2:$A$1025,"Opti",Storage_Share_Detail!$B$2:$B$1025,"GCAM4_SSP4-26",Storage_Share_Detail!$C$2:$C$1025,$A21,Storage_Share_Detail!$D$2:$D$1025,2050),0)</f>
        <v>0</v>
      </c>
      <c r="AE21" s="99">
        <f>IFERROR(AVERAGEIFS(Storage_Share_Detail!$K$2:$K$1025,Storage_Share_Detail!$A$2:$A$1025,"Opti",Storage_Share_Detail!$B$2:$B$1025,"GCAM4_SSP4-26",Storage_Share_Detail!$C$2:$C$1025,$A21),0)</f>
        <v>0</v>
      </c>
      <c r="AF21" s="98">
        <f>IFERROR(AVERAGEIFS(Storage_Share_Detail!$G$2:$G$1025,Storage_Share_Detail!$A$2:$A$1025,"Init",Storage_Share_Detail!$B$2:$B$1025,"REMIND-MAGPIE_SSP5-26",Storage_Share_Detail!$C$2:$C$1025,$A21,Storage_Share_Detail!$D$2:$D$1025,2020),0)</f>
        <v>0</v>
      </c>
      <c r="AG21" s="98">
        <f>IFERROR(AVERAGEIFS(Storage_Share_Detail!$G$2:$G$1025,Storage_Share_Detail!$A$2:$A$1025,"Init",Storage_Share_Detail!$B$2:$B$1025,"REMIND-MAGPIE_SSP5-26",Storage_Share_Detail!$C$2:$C$1025,$A21,Storage_Share_Detail!$D$2:$D$1025,2030),0)</f>
        <v>0</v>
      </c>
      <c r="AH21" s="98">
        <f>IFERROR(AVERAGEIFS(Storage_Share_Detail!$G$2:$G$1025,Storage_Share_Detail!$A$2:$A$1025,"Init",Storage_Share_Detail!$B$2:$B$1025,"REMIND-MAGPIE_SSP5-26",Storage_Share_Detail!$C$2:$C$1025,$A21,Storage_Share_Detail!$D$2:$D$1025,2040),0)</f>
        <v>0</v>
      </c>
      <c r="AI21" s="98">
        <f>IFERROR(AVERAGEIFS(Storage_Share_Detail!$G$2:$G$1025,Storage_Share_Detail!$A$2:$A$1025,"Init",Storage_Share_Detail!$B$2:$B$1025,"REMIND-MAGPIE_SSP5-26",Storage_Share_Detail!$C$2:$C$1025,$A21,Storage_Share_Detail!$D$2:$D$1025,2050),0)</f>
        <v>0</v>
      </c>
      <c r="AJ21" s="99">
        <f>IFERROR(AVERAGEIFS(Storage_Share_Detail!$K$2:$K$1025,Storage_Share_Detail!$A$2:$A$1025,"Init",Storage_Share_Detail!$B$2:$B$1025,"REMIND-MAGPIE_SSP5-26",Storage_Share_Detail!$C$2:$C$1025,$A21),0)</f>
        <v>0</v>
      </c>
      <c r="AK21" s="98">
        <f>IFERROR(AVERAGEIFS(Storage_Share_Detail!$G$2:$G$1025,Storage_Share_Detail!$A$2:$A$1025,"Opti",Storage_Share_Detail!$B$2:$B$1025,"REMIND-MAGPIE_SSP5-26",Storage_Share_Detail!$C$2:$C$1025,$A21,Storage_Share_Detail!$D$2:$D$1025,2020),0)</f>
        <v>0</v>
      </c>
      <c r="AL21" s="98">
        <f>IFERROR(AVERAGEIFS(Storage_Share_Detail!$G$2:$G$1025,Storage_Share_Detail!$A$2:$A$1025,"Opti",Storage_Share_Detail!$B$2:$B$1025,"REMIND-MAGPIE_SSP5-26",Storage_Share_Detail!$C$2:$C$1025,$A21,Storage_Share_Detail!$D$2:$D$1025,2030),0)</f>
        <v>0</v>
      </c>
      <c r="AM21" s="98">
        <f>IFERROR(AVERAGEIFS(Storage_Share_Detail!$G$2:$G$1025,Storage_Share_Detail!$A$2:$A$1025,"Opti",Storage_Share_Detail!$B$2:$B$1025,"REMIND-MAGPIE_SSP5-26",Storage_Share_Detail!$C$2:$C$1025,$A21,Storage_Share_Detail!$D$2:$D$1025,2040),0)</f>
        <v>0</v>
      </c>
      <c r="AN21" s="98">
        <f>IFERROR(AVERAGEIFS(Storage_Share_Detail!$G$2:$G$1025,Storage_Share_Detail!$A$2:$A$1025,"Opti",Storage_Share_Detail!$B$2:$B$1025,"REMIND-MAGPIE_SSP5-26",Storage_Share_Detail!$C$2:$C$1025,$A21,Storage_Share_Detail!$D$2:$D$1025,2050),0)</f>
        <v>0</v>
      </c>
      <c r="AO21" s="99">
        <f>IFERROR(AVERAGEIFS(Storage_Share_Detail!$K$2:$K$1025,Storage_Share_Detail!$A$2:$A$1025,"Opti",Storage_Share_Detail!$B$2:$B$1025,"REMIND-MAGPIE_SSP5-26",Storage_Share_Detail!$C$2:$C$1025,$A21),0)</f>
        <v>0</v>
      </c>
    </row>
    <row r="22" spans="1:41" x14ac:dyDescent="0.2">
      <c r="A22" s="102" t="s">
        <v>58</v>
      </c>
      <c r="B22" s="98">
        <f>IFERROR(AVERAGEIFS(Storage_Share_Detail!$G$2:$G$1025,Storage_Share_Detail!$A$2:$A$1025,"Init",Storage_Share_Detail!$B$2:$B$1025,"IMAGE_SSP1-26",Storage_Share_Detail!$C$2:$C$1025,$A22,Storage_Share_Detail!$D$2:$D$1025,2020),0)</f>
        <v>0</v>
      </c>
      <c r="C22" s="98">
        <f>IFERROR(AVERAGEIFS(Storage_Share_Detail!$G$2:$G$1025,Storage_Share_Detail!$A$2:$A$1025,"Init",Storage_Share_Detail!$B$2:$B$1025,"IMAGE_SSP1-26",Storage_Share_Detail!$C$2:$C$1025,$A22,Storage_Share_Detail!$D$2:$D$1025,2030),0)</f>
        <v>0</v>
      </c>
      <c r="D22" s="98">
        <f>IFERROR(AVERAGEIFS(Storage_Share_Detail!$G$2:$G$1025,Storage_Share_Detail!$A$2:$A$1025,"Init",Storage_Share_Detail!$B$2:$B$1025,"IMAGE_SSP1-26",Storage_Share_Detail!$C$2:$C$1025,$A22,Storage_Share_Detail!$D$2:$D$1025,2040),0)</f>
        <v>0</v>
      </c>
      <c r="E22" s="98">
        <f>IFERROR(AVERAGEIFS(Storage_Share_Detail!$G$2:$G$1025,Storage_Share_Detail!$A$2:$A$1025,"Init",Storage_Share_Detail!$B$2:$B$1025,"IMAGE_SSP1-26",Storage_Share_Detail!$C$2:$C$1025,$A22,Storage_Share_Detail!$D$2:$D$1025,2050),0)</f>
        <v>0</v>
      </c>
      <c r="F22" s="99">
        <f>IFERROR(AVERAGEIFS(Storage_Share_Detail!$K$2:$K$1025,Storage_Share_Detail!$A$2:$A$1025,"Init",Storage_Share_Detail!$B$2:$B$1025,"IMAGE_SSP1-26",Storage_Share_Detail!$C$2:$C$1025,$A22),0)</f>
        <v>0</v>
      </c>
      <c r="G22" s="98">
        <f>IFERROR(AVERAGEIFS(Storage_Share_Detail!$G$2:$G$1025,Storage_Share_Detail!$A$2:$A$1025,"Opti",Storage_Share_Detail!$B$2:$B$1025,"IMAGE_SSP1-26",Storage_Share_Detail!$C$2:$C$1025,$A22,Storage_Share_Detail!$D$2:$D$1025,2020),0)</f>
        <v>0</v>
      </c>
      <c r="H22" s="98">
        <f>IFERROR(AVERAGEIFS(Storage_Share_Detail!$G$2:$G$1025,Storage_Share_Detail!$A$2:$A$1025,"Opti",Storage_Share_Detail!$B$2:$B$1025,"IMAGE_SSP1-26",Storage_Share_Detail!$C$2:$C$1025,$A22,Storage_Share_Detail!$D$2:$D$1025,2030),0)</f>
        <v>0</v>
      </c>
      <c r="I22" s="98">
        <f>IFERROR(AVERAGEIFS(Storage_Share_Detail!$G$2:$G$1025,Storage_Share_Detail!$A$2:$A$1025,"Opti",Storage_Share_Detail!$B$2:$B$1025,"IMAGE_SSP1-26",Storage_Share_Detail!$C$2:$C$1025,$A22,Storage_Share_Detail!$D$2:$D$1025,2040),0)</f>
        <v>0</v>
      </c>
      <c r="J22" s="98">
        <f>IFERROR(AVERAGEIFS(Storage_Share_Detail!$G$2:$G$1025,Storage_Share_Detail!$A$2:$A$1025,"Opti",Storage_Share_Detail!$B$2:$B$1025,"IMAGE_SSP1-26",Storage_Share_Detail!$C$2:$C$1025,$A22,Storage_Share_Detail!$D$2:$D$1025,2050),0)</f>
        <v>0</v>
      </c>
      <c r="K22" s="99">
        <f>IFERROR(AVERAGEIFS(Storage_Share_Detail!$K$2:$K$1025,Storage_Share_Detail!$A$2:$A$1025,"Opti",Storage_Share_Detail!$B$2:$B$1025,"IMAGE_SSP1-26",Storage_Share_Detail!$C$2:$C$1025,$A22),0)</f>
        <v>0</v>
      </c>
      <c r="L22" s="98">
        <f>IFERROR(AVERAGEIFS(Storage_Share_Detail!$G$2:$G$1025,Storage_Share_Detail!$A$2:$A$1025,"Init",Storage_Share_Detail!$B$2:$B$1025,"MESSAGE-GLOBIOM_SSP2-26",Storage_Share_Detail!$C$2:$C$1025,$A22,Storage_Share_Detail!$D$2:$D$1025,2020),0)</f>
        <v>0</v>
      </c>
      <c r="M22" s="98">
        <f>IFERROR(AVERAGEIFS(Storage_Share_Detail!$G$2:$G$1025,Storage_Share_Detail!$A$2:$A$1025,"Init",Storage_Share_Detail!$B$2:$B$1025,"MESSAGE-GLOBIOM_SSP2-26",Storage_Share_Detail!$C$2:$C$1025,$A22,Storage_Share_Detail!$D$2:$D$1025,2030),0)</f>
        <v>0</v>
      </c>
      <c r="N22" s="98">
        <f>IFERROR(AVERAGEIFS(Storage_Share_Detail!$G$2:$G$1025,Storage_Share_Detail!$A$2:$A$1025,"Init",Storage_Share_Detail!$B$2:$B$1025,"MESSAGE-GLOBIOM_SSP2-26",Storage_Share_Detail!$C$2:$C$1025,$A22,Storage_Share_Detail!$D$2:$D$1025,2040),0)</f>
        <v>0</v>
      </c>
      <c r="O22" s="98">
        <f>IFERROR(AVERAGEIFS(Storage_Share_Detail!$G$2:$G$1025,Storage_Share_Detail!$A$2:$A$1025,"Init",Storage_Share_Detail!$B$2:$B$1025,"MESSAGE-GLOBIOM_SSP2-26",Storage_Share_Detail!$C$2:$C$1025,$A22,Storage_Share_Detail!$D$2:$D$1025,2050),0)</f>
        <v>0</v>
      </c>
      <c r="P22" s="99">
        <f>IFERROR(AVERAGEIFS(Storage_Share_Detail!$K$2:$K$1025,Storage_Share_Detail!$A$2:$A$1025,"Init",Storage_Share_Detail!$B$2:$B$1025,"MESSAGE-GLOBIOM_SSP2-26",Storage_Share_Detail!$C$2:$C$1025,$A22),0)</f>
        <v>0</v>
      </c>
      <c r="Q22" s="98">
        <f>IFERROR(AVERAGEIFS(Storage_Share_Detail!$G$2:$G$1025,Storage_Share_Detail!$A$2:$A$1025,"Opti",Storage_Share_Detail!$B$2:$B$1025,"MESSAGE-GLOBIOM_SSP2-26",Storage_Share_Detail!$C$2:$C$1025,$A22,Storage_Share_Detail!$D$2:$D$1025,2020),0)</f>
        <v>0</v>
      </c>
      <c r="R22" s="98">
        <f>IFERROR(AVERAGEIFS(Storage_Share_Detail!$G$2:$G$1025,Storage_Share_Detail!$A$2:$A$1025,"Opti",Storage_Share_Detail!$B$2:$B$1025,"MESSAGE-GLOBIOM_SSP2-26",Storage_Share_Detail!$C$2:$C$1025,$A22,Storage_Share_Detail!$D$2:$D$1025,2030),0)</f>
        <v>0</v>
      </c>
      <c r="S22" s="98">
        <f>IFERROR(AVERAGEIFS(Storage_Share_Detail!$G$2:$G$1025,Storage_Share_Detail!$A$2:$A$1025,"Opti",Storage_Share_Detail!$B$2:$B$1025,"MESSAGE-GLOBIOM_SSP2-26",Storage_Share_Detail!$C$2:$C$1025,$A22,Storage_Share_Detail!$D$2:$D$1025,2040),0)</f>
        <v>0</v>
      </c>
      <c r="T22" s="98">
        <f>IFERROR(AVERAGEIFS(Storage_Share_Detail!$G$2:$G$1025,Storage_Share_Detail!$A$2:$A$1025,"Opti",Storage_Share_Detail!$B$2:$B$1025,"MESSAGE-GLOBIOM_SSP2-26",Storage_Share_Detail!$C$2:$C$1025,$A22,Storage_Share_Detail!$D$2:$D$1025,2050),0)</f>
        <v>0</v>
      </c>
      <c r="U22" s="99">
        <f>IFERROR(AVERAGEIFS(Storage_Share_Detail!$K$2:$K$1025,Storage_Share_Detail!$A$2:$A$1025,"Opti",Storage_Share_Detail!$B$2:$B$1025,"MESSAGE-GLOBIOM_SSP2-26",Storage_Share_Detail!$C$2:$C$1025,$A22),0)</f>
        <v>0</v>
      </c>
      <c r="V22" s="98">
        <f>IFERROR(AVERAGEIFS(Storage_Share_Detail!$G$2:$G$1025,Storage_Share_Detail!$A$2:$A$1025,"Init",Storage_Share_Detail!$B$2:$B$1025,"GCAM4_SSP4-26",Storage_Share_Detail!$C$2:$C$1025,$A22,Storage_Share_Detail!$D$2:$D$1025,2020),0)</f>
        <v>0</v>
      </c>
      <c r="W22" s="98">
        <f>IFERROR(AVERAGEIFS(Storage_Share_Detail!$G$2:$G$1025,Storage_Share_Detail!$A$2:$A$1025,"Init",Storage_Share_Detail!$B$2:$B$1025,"GCAM4_SSP4-26",Storage_Share_Detail!$C$2:$C$1025,$A22,Storage_Share_Detail!$D$2:$D$1025,2030),0)</f>
        <v>0</v>
      </c>
      <c r="X22" s="98">
        <f>IFERROR(AVERAGEIFS(Storage_Share_Detail!$G$2:$G$1025,Storage_Share_Detail!$A$2:$A$1025,"Init",Storage_Share_Detail!$B$2:$B$1025,"GCAM4_SSP4-26",Storage_Share_Detail!$C$2:$C$1025,$A22,Storage_Share_Detail!$D$2:$D$1025,2040),0)</f>
        <v>0</v>
      </c>
      <c r="Y22" s="98">
        <f>IFERROR(AVERAGEIFS(Storage_Share_Detail!$G$2:$G$1025,Storage_Share_Detail!$A$2:$A$1025,"Init",Storage_Share_Detail!$B$2:$B$1025,"GCAM4_SSP4-26",Storage_Share_Detail!$C$2:$C$1025,$A22,Storage_Share_Detail!$D$2:$D$1025,2050),0)</f>
        <v>0</v>
      </c>
      <c r="Z22" s="99">
        <f>IFERROR(AVERAGEIFS(Storage_Share_Detail!$K$2:$K$1025,Storage_Share_Detail!$A$2:$A$1025,"Init",Storage_Share_Detail!$B$2:$B$1025,"GCAM4_SSP4-26",Storage_Share_Detail!$C$2:$C$1025,$A22),0)</f>
        <v>0</v>
      </c>
      <c r="AA22" s="98">
        <f>IFERROR(AVERAGEIFS(Storage_Share_Detail!$G$2:$G$1025,Storage_Share_Detail!$A$2:$A$1025,"Opti",Storage_Share_Detail!$B$2:$B$1025,"GCAM4_SSP4-26",Storage_Share_Detail!$C$2:$C$1025,$A22,Storage_Share_Detail!$D$2:$D$1025,2020),0)</f>
        <v>0</v>
      </c>
      <c r="AB22" s="98">
        <f>IFERROR(AVERAGEIFS(Storage_Share_Detail!$G$2:$G$1025,Storage_Share_Detail!$A$2:$A$1025,"Opti",Storage_Share_Detail!$B$2:$B$1025,"GCAM4_SSP4-26",Storage_Share_Detail!$C$2:$C$1025,$A22,Storage_Share_Detail!$D$2:$D$1025,2030),0)</f>
        <v>0</v>
      </c>
      <c r="AC22" s="98">
        <f>IFERROR(AVERAGEIFS(Storage_Share_Detail!$G$2:$G$1025,Storage_Share_Detail!$A$2:$A$1025,"Opti",Storage_Share_Detail!$B$2:$B$1025,"GCAM4_SSP4-26",Storage_Share_Detail!$C$2:$C$1025,$A22,Storage_Share_Detail!$D$2:$D$1025,2040),0)</f>
        <v>0</v>
      </c>
      <c r="AD22" s="98">
        <f>IFERROR(AVERAGEIFS(Storage_Share_Detail!$G$2:$G$1025,Storage_Share_Detail!$A$2:$A$1025,"Opti",Storage_Share_Detail!$B$2:$B$1025,"GCAM4_SSP4-26",Storage_Share_Detail!$C$2:$C$1025,$A22,Storage_Share_Detail!$D$2:$D$1025,2050),0)</f>
        <v>0</v>
      </c>
      <c r="AE22" s="99">
        <f>IFERROR(AVERAGEIFS(Storage_Share_Detail!$K$2:$K$1025,Storage_Share_Detail!$A$2:$A$1025,"Opti",Storage_Share_Detail!$B$2:$B$1025,"GCAM4_SSP4-26",Storage_Share_Detail!$C$2:$C$1025,$A22),0)</f>
        <v>0</v>
      </c>
      <c r="AF22" s="98">
        <f>IFERROR(AVERAGEIFS(Storage_Share_Detail!$G$2:$G$1025,Storage_Share_Detail!$A$2:$A$1025,"Init",Storage_Share_Detail!$B$2:$B$1025,"REMIND-MAGPIE_SSP5-26",Storage_Share_Detail!$C$2:$C$1025,$A22,Storage_Share_Detail!$D$2:$D$1025,2020),0)</f>
        <v>0</v>
      </c>
      <c r="AG22" s="98">
        <f>IFERROR(AVERAGEIFS(Storage_Share_Detail!$G$2:$G$1025,Storage_Share_Detail!$A$2:$A$1025,"Init",Storage_Share_Detail!$B$2:$B$1025,"REMIND-MAGPIE_SSP5-26",Storage_Share_Detail!$C$2:$C$1025,$A22,Storage_Share_Detail!$D$2:$D$1025,2030),0)</f>
        <v>0</v>
      </c>
      <c r="AH22" s="98">
        <f>IFERROR(AVERAGEIFS(Storage_Share_Detail!$G$2:$G$1025,Storage_Share_Detail!$A$2:$A$1025,"Init",Storage_Share_Detail!$B$2:$B$1025,"REMIND-MAGPIE_SSP5-26",Storage_Share_Detail!$C$2:$C$1025,$A22,Storage_Share_Detail!$D$2:$D$1025,2040),0)</f>
        <v>0</v>
      </c>
      <c r="AI22" s="98">
        <f>IFERROR(AVERAGEIFS(Storage_Share_Detail!$G$2:$G$1025,Storage_Share_Detail!$A$2:$A$1025,"Init",Storage_Share_Detail!$B$2:$B$1025,"REMIND-MAGPIE_SSP5-26",Storage_Share_Detail!$C$2:$C$1025,$A22,Storage_Share_Detail!$D$2:$D$1025,2050),0)</f>
        <v>0</v>
      </c>
      <c r="AJ22" s="99">
        <f>IFERROR(AVERAGEIFS(Storage_Share_Detail!$K$2:$K$1025,Storage_Share_Detail!$A$2:$A$1025,"Init",Storage_Share_Detail!$B$2:$B$1025,"REMIND-MAGPIE_SSP5-26",Storage_Share_Detail!$C$2:$C$1025,$A22),0)</f>
        <v>0</v>
      </c>
      <c r="AK22" s="98">
        <f>IFERROR(AVERAGEIFS(Storage_Share_Detail!$G$2:$G$1025,Storage_Share_Detail!$A$2:$A$1025,"Opti",Storage_Share_Detail!$B$2:$B$1025,"REMIND-MAGPIE_SSP5-26",Storage_Share_Detail!$C$2:$C$1025,$A22,Storage_Share_Detail!$D$2:$D$1025,2020),0)</f>
        <v>0</v>
      </c>
      <c r="AL22" s="98">
        <f>IFERROR(AVERAGEIFS(Storage_Share_Detail!$G$2:$G$1025,Storage_Share_Detail!$A$2:$A$1025,"Opti",Storage_Share_Detail!$B$2:$B$1025,"REMIND-MAGPIE_SSP5-26",Storage_Share_Detail!$C$2:$C$1025,$A22,Storage_Share_Detail!$D$2:$D$1025,2030),0)</f>
        <v>0</v>
      </c>
      <c r="AM22" s="98">
        <f>IFERROR(AVERAGEIFS(Storage_Share_Detail!$G$2:$G$1025,Storage_Share_Detail!$A$2:$A$1025,"Opti",Storage_Share_Detail!$B$2:$B$1025,"REMIND-MAGPIE_SSP5-26",Storage_Share_Detail!$C$2:$C$1025,$A22,Storage_Share_Detail!$D$2:$D$1025,2040),0)</f>
        <v>0</v>
      </c>
      <c r="AN22" s="98">
        <f>IFERROR(AVERAGEIFS(Storage_Share_Detail!$G$2:$G$1025,Storage_Share_Detail!$A$2:$A$1025,"Opti",Storage_Share_Detail!$B$2:$B$1025,"REMIND-MAGPIE_SSP5-26",Storage_Share_Detail!$C$2:$C$1025,$A22,Storage_Share_Detail!$D$2:$D$1025,2050),0)</f>
        <v>0</v>
      </c>
      <c r="AO22" s="99">
        <f>IFERROR(AVERAGEIFS(Storage_Share_Detail!$K$2:$K$1025,Storage_Share_Detail!$A$2:$A$1025,"Opti",Storage_Share_Detail!$B$2:$B$1025,"REMIND-MAGPIE_SSP5-26",Storage_Share_Detail!$C$2:$C$1025,$A22),0)</f>
        <v>0</v>
      </c>
    </row>
    <row r="23" spans="1:41" x14ac:dyDescent="0.2">
      <c r="A23" s="102" t="s">
        <v>59</v>
      </c>
      <c r="B23" s="98">
        <f>IFERROR(AVERAGEIFS(Storage_Share_Detail!$G$2:$G$1025,Storage_Share_Detail!$A$2:$A$1025,"Init",Storage_Share_Detail!$B$2:$B$1025,"IMAGE_SSP1-26",Storage_Share_Detail!$C$2:$C$1025,$A23,Storage_Share_Detail!$D$2:$D$1025,2020),0)</f>
        <v>0</v>
      </c>
      <c r="C23" s="98">
        <f>IFERROR(AVERAGEIFS(Storage_Share_Detail!$G$2:$G$1025,Storage_Share_Detail!$A$2:$A$1025,"Init",Storage_Share_Detail!$B$2:$B$1025,"IMAGE_SSP1-26",Storage_Share_Detail!$C$2:$C$1025,$A23,Storage_Share_Detail!$D$2:$D$1025,2030),0)</f>
        <v>0</v>
      </c>
      <c r="D23" s="98">
        <f>IFERROR(AVERAGEIFS(Storage_Share_Detail!$G$2:$G$1025,Storage_Share_Detail!$A$2:$A$1025,"Init",Storage_Share_Detail!$B$2:$B$1025,"IMAGE_SSP1-26",Storage_Share_Detail!$C$2:$C$1025,$A23,Storage_Share_Detail!$D$2:$D$1025,2040),0)</f>
        <v>0</v>
      </c>
      <c r="E23" s="98">
        <f>IFERROR(AVERAGEIFS(Storage_Share_Detail!$G$2:$G$1025,Storage_Share_Detail!$A$2:$A$1025,"Init",Storage_Share_Detail!$B$2:$B$1025,"IMAGE_SSP1-26",Storage_Share_Detail!$C$2:$C$1025,$A23,Storage_Share_Detail!$D$2:$D$1025,2050),0)</f>
        <v>0</v>
      </c>
      <c r="F23" s="99">
        <f>IFERROR(AVERAGEIFS(Storage_Share_Detail!$K$2:$K$1025,Storage_Share_Detail!$A$2:$A$1025,"Init",Storage_Share_Detail!$B$2:$B$1025,"IMAGE_SSP1-26",Storage_Share_Detail!$C$2:$C$1025,$A23),0)</f>
        <v>0</v>
      </c>
      <c r="G23" s="98">
        <f>IFERROR(AVERAGEIFS(Storage_Share_Detail!$G$2:$G$1025,Storage_Share_Detail!$A$2:$A$1025,"Opti",Storage_Share_Detail!$B$2:$B$1025,"IMAGE_SSP1-26",Storage_Share_Detail!$C$2:$C$1025,$A23,Storage_Share_Detail!$D$2:$D$1025,2020),0)</f>
        <v>0</v>
      </c>
      <c r="H23" s="98">
        <f>IFERROR(AVERAGEIFS(Storage_Share_Detail!$G$2:$G$1025,Storage_Share_Detail!$A$2:$A$1025,"Opti",Storage_Share_Detail!$B$2:$B$1025,"IMAGE_SSP1-26",Storage_Share_Detail!$C$2:$C$1025,$A23,Storage_Share_Detail!$D$2:$D$1025,2030),0)</f>
        <v>0</v>
      </c>
      <c r="I23" s="98">
        <f>IFERROR(AVERAGEIFS(Storage_Share_Detail!$G$2:$G$1025,Storage_Share_Detail!$A$2:$A$1025,"Opti",Storage_Share_Detail!$B$2:$B$1025,"IMAGE_SSP1-26",Storage_Share_Detail!$C$2:$C$1025,$A23,Storage_Share_Detail!$D$2:$D$1025,2040),0)</f>
        <v>0</v>
      </c>
      <c r="J23" s="98">
        <f>IFERROR(AVERAGEIFS(Storage_Share_Detail!$G$2:$G$1025,Storage_Share_Detail!$A$2:$A$1025,"Opti",Storage_Share_Detail!$B$2:$B$1025,"IMAGE_SSP1-26",Storage_Share_Detail!$C$2:$C$1025,$A23,Storage_Share_Detail!$D$2:$D$1025,2050),0)</f>
        <v>0</v>
      </c>
      <c r="K23" s="99">
        <f>IFERROR(AVERAGEIFS(Storage_Share_Detail!$K$2:$K$1025,Storage_Share_Detail!$A$2:$A$1025,"Opti",Storage_Share_Detail!$B$2:$B$1025,"IMAGE_SSP1-26",Storage_Share_Detail!$C$2:$C$1025,$A23),0)</f>
        <v>0</v>
      </c>
      <c r="L23" s="98">
        <f>IFERROR(AVERAGEIFS(Storage_Share_Detail!$G$2:$G$1025,Storage_Share_Detail!$A$2:$A$1025,"Init",Storage_Share_Detail!$B$2:$B$1025,"MESSAGE-GLOBIOM_SSP2-26",Storage_Share_Detail!$C$2:$C$1025,$A23,Storage_Share_Detail!$D$2:$D$1025,2020),0)</f>
        <v>0</v>
      </c>
      <c r="M23" s="98">
        <f>IFERROR(AVERAGEIFS(Storage_Share_Detail!$G$2:$G$1025,Storage_Share_Detail!$A$2:$A$1025,"Init",Storage_Share_Detail!$B$2:$B$1025,"MESSAGE-GLOBIOM_SSP2-26",Storage_Share_Detail!$C$2:$C$1025,$A23,Storage_Share_Detail!$D$2:$D$1025,2030),0)</f>
        <v>0</v>
      </c>
      <c r="N23" s="98">
        <f>IFERROR(AVERAGEIFS(Storage_Share_Detail!$G$2:$G$1025,Storage_Share_Detail!$A$2:$A$1025,"Init",Storage_Share_Detail!$B$2:$B$1025,"MESSAGE-GLOBIOM_SSP2-26",Storage_Share_Detail!$C$2:$C$1025,$A23,Storage_Share_Detail!$D$2:$D$1025,2040),0)</f>
        <v>0</v>
      </c>
      <c r="O23" s="98">
        <f>IFERROR(AVERAGEIFS(Storage_Share_Detail!$G$2:$G$1025,Storage_Share_Detail!$A$2:$A$1025,"Init",Storage_Share_Detail!$B$2:$B$1025,"MESSAGE-GLOBIOM_SSP2-26",Storage_Share_Detail!$C$2:$C$1025,$A23,Storage_Share_Detail!$D$2:$D$1025,2050),0)</f>
        <v>0</v>
      </c>
      <c r="P23" s="99">
        <f>IFERROR(AVERAGEIFS(Storage_Share_Detail!$K$2:$K$1025,Storage_Share_Detail!$A$2:$A$1025,"Init",Storage_Share_Detail!$B$2:$B$1025,"MESSAGE-GLOBIOM_SSP2-26",Storage_Share_Detail!$C$2:$C$1025,$A23),0)</f>
        <v>0</v>
      </c>
      <c r="Q23" s="98">
        <f>IFERROR(AVERAGEIFS(Storage_Share_Detail!$G$2:$G$1025,Storage_Share_Detail!$A$2:$A$1025,"Opti",Storage_Share_Detail!$B$2:$B$1025,"MESSAGE-GLOBIOM_SSP2-26",Storage_Share_Detail!$C$2:$C$1025,$A23,Storage_Share_Detail!$D$2:$D$1025,2020),0)</f>
        <v>0</v>
      </c>
      <c r="R23" s="98">
        <f>IFERROR(AVERAGEIFS(Storage_Share_Detail!$G$2:$G$1025,Storage_Share_Detail!$A$2:$A$1025,"Opti",Storage_Share_Detail!$B$2:$B$1025,"MESSAGE-GLOBIOM_SSP2-26",Storage_Share_Detail!$C$2:$C$1025,$A23,Storage_Share_Detail!$D$2:$D$1025,2030),0)</f>
        <v>0</v>
      </c>
      <c r="S23" s="98">
        <f>IFERROR(AVERAGEIFS(Storage_Share_Detail!$G$2:$G$1025,Storage_Share_Detail!$A$2:$A$1025,"Opti",Storage_Share_Detail!$B$2:$B$1025,"MESSAGE-GLOBIOM_SSP2-26",Storage_Share_Detail!$C$2:$C$1025,$A23,Storage_Share_Detail!$D$2:$D$1025,2040),0)</f>
        <v>0</v>
      </c>
      <c r="T23" s="98">
        <f>IFERROR(AVERAGEIFS(Storage_Share_Detail!$G$2:$G$1025,Storage_Share_Detail!$A$2:$A$1025,"Opti",Storage_Share_Detail!$B$2:$B$1025,"MESSAGE-GLOBIOM_SSP2-26",Storage_Share_Detail!$C$2:$C$1025,$A23,Storage_Share_Detail!$D$2:$D$1025,2050),0)</f>
        <v>0</v>
      </c>
      <c r="U23" s="99">
        <f>IFERROR(AVERAGEIFS(Storage_Share_Detail!$K$2:$K$1025,Storage_Share_Detail!$A$2:$A$1025,"Opti",Storage_Share_Detail!$B$2:$B$1025,"MESSAGE-GLOBIOM_SSP2-26",Storage_Share_Detail!$C$2:$C$1025,$A23),0)</f>
        <v>0</v>
      </c>
      <c r="V23" s="98">
        <f>IFERROR(AVERAGEIFS(Storage_Share_Detail!$G$2:$G$1025,Storage_Share_Detail!$A$2:$A$1025,"Init",Storage_Share_Detail!$B$2:$B$1025,"GCAM4_SSP4-26",Storage_Share_Detail!$C$2:$C$1025,$A23,Storage_Share_Detail!$D$2:$D$1025,2020),0)</f>
        <v>0</v>
      </c>
      <c r="W23" s="98">
        <f>IFERROR(AVERAGEIFS(Storage_Share_Detail!$G$2:$G$1025,Storage_Share_Detail!$A$2:$A$1025,"Init",Storage_Share_Detail!$B$2:$B$1025,"GCAM4_SSP4-26",Storage_Share_Detail!$C$2:$C$1025,$A23,Storage_Share_Detail!$D$2:$D$1025,2030),0)</f>
        <v>0</v>
      </c>
      <c r="X23" s="98">
        <f>IFERROR(AVERAGEIFS(Storage_Share_Detail!$G$2:$G$1025,Storage_Share_Detail!$A$2:$A$1025,"Init",Storage_Share_Detail!$B$2:$B$1025,"GCAM4_SSP4-26",Storage_Share_Detail!$C$2:$C$1025,$A23,Storage_Share_Detail!$D$2:$D$1025,2040),0)</f>
        <v>0</v>
      </c>
      <c r="Y23" s="98">
        <f>IFERROR(AVERAGEIFS(Storage_Share_Detail!$G$2:$G$1025,Storage_Share_Detail!$A$2:$A$1025,"Init",Storage_Share_Detail!$B$2:$B$1025,"GCAM4_SSP4-26",Storage_Share_Detail!$C$2:$C$1025,$A23,Storage_Share_Detail!$D$2:$D$1025,2050),0)</f>
        <v>0</v>
      </c>
      <c r="Z23" s="99">
        <f>IFERROR(AVERAGEIFS(Storage_Share_Detail!$K$2:$K$1025,Storage_Share_Detail!$A$2:$A$1025,"Init",Storage_Share_Detail!$B$2:$B$1025,"GCAM4_SSP4-26",Storage_Share_Detail!$C$2:$C$1025,$A23),0)</f>
        <v>0</v>
      </c>
      <c r="AA23" s="98">
        <f>IFERROR(AVERAGEIFS(Storage_Share_Detail!$G$2:$G$1025,Storage_Share_Detail!$A$2:$A$1025,"Opti",Storage_Share_Detail!$B$2:$B$1025,"GCAM4_SSP4-26",Storage_Share_Detail!$C$2:$C$1025,$A23,Storage_Share_Detail!$D$2:$D$1025,2020),0)</f>
        <v>0</v>
      </c>
      <c r="AB23" s="98">
        <f>IFERROR(AVERAGEIFS(Storage_Share_Detail!$G$2:$G$1025,Storage_Share_Detail!$A$2:$A$1025,"Opti",Storage_Share_Detail!$B$2:$B$1025,"GCAM4_SSP4-26",Storage_Share_Detail!$C$2:$C$1025,$A23,Storage_Share_Detail!$D$2:$D$1025,2030),0)</f>
        <v>0</v>
      </c>
      <c r="AC23" s="98">
        <f>IFERROR(AVERAGEIFS(Storage_Share_Detail!$G$2:$G$1025,Storage_Share_Detail!$A$2:$A$1025,"Opti",Storage_Share_Detail!$B$2:$B$1025,"GCAM4_SSP4-26",Storage_Share_Detail!$C$2:$C$1025,$A23,Storage_Share_Detail!$D$2:$D$1025,2040),0)</f>
        <v>0</v>
      </c>
      <c r="AD23" s="98">
        <f>IFERROR(AVERAGEIFS(Storage_Share_Detail!$G$2:$G$1025,Storage_Share_Detail!$A$2:$A$1025,"Opti",Storage_Share_Detail!$B$2:$B$1025,"GCAM4_SSP4-26",Storage_Share_Detail!$C$2:$C$1025,$A23,Storage_Share_Detail!$D$2:$D$1025,2050),0)</f>
        <v>0</v>
      </c>
      <c r="AE23" s="99">
        <f>IFERROR(AVERAGEIFS(Storage_Share_Detail!$K$2:$K$1025,Storage_Share_Detail!$A$2:$A$1025,"Opti",Storage_Share_Detail!$B$2:$B$1025,"GCAM4_SSP4-26",Storage_Share_Detail!$C$2:$C$1025,$A23),0)</f>
        <v>0</v>
      </c>
      <c r="AF23" s="98">
        <f>IFERROR(AVERAGEIFS(Storage_Share_Detail!$G$2:$G$1025,Storage_Share_Detail!$A$2:$A$1025,"Init",Storage_Share_Detail!$B$2:$B$1025,"REMIND-MAGPIE_SSP5-26",Storage_Share_Detail!$C$2:$C$1025,$A23,Storage_Share_Detail!$D$2:$D$1025,2020),0)</f>
        <v>0</v>
      </c>
      <c r="AG23" s="98">
        <f>IFERROR(AVERAGEIFS(Storage_Share_Detail!$G$2:$G$1025,Storage_Share_Detail!$A$2:$A$1025,"Init",Storage_Share_Detail!$B$2:$B$1025,"REMIND-MAGPIE_SSP5-26",Storage_Share_Detail!$C$2:$C$1025,$A23,Storage_Share_Detail!$D$2:$D$1025,2030),0)</f>
        <v>0</v>
      </c>
      <c r="AH23" s="98">
        <f>IFERROR(AVERAGEIFS(Storage_Share_Detail!$G$2:$G$1025,Storage_Share_Detail!$A$2:$A$1025,"Init",Storage_Share_Detail!$B$2:$B$1025,"REMIND-MAGPIE_SSP5-26",Storage_Share_Detail!$C$2:$C$1025,$A23,Storage_Share_Detail!$D$2:$D$1025,2040),0)</f>
        <v>0</v>
      </c>
      <c r="AI23" s="98">
        <f>IFERROR(AVERAGEIFS(Storage_Share_Detail!$G$2:$G$1025,Storage_Share_Detail!$A$2:$A$1025,"Init",Storage_Share_Detail!$B$2:$B$1025,"REMIND-MAGPIE_SSP5-26",Storage_Share_Detail!$C$2:$C$1025,$A23,Storage_Share_Detail!$D$2:$D$1025,2050),0)</f>
        <v>0</v>
      </c>
      <c r="AJ23" s="99">
        <f>IFERROR(AVERAGEIFS(Storage_Share_Detail!$K$2:$K$1025,Storage_Share_Detail!$A$2:$A$1025,"Init",Storage_Share_Detail!$B$2:$B$1025,"REMIND-MAGPIE_SSP5-26",Storage_Share_Detail!$C$2:$C$1025,$A23),0)</f>
        <v>0</v>
      </c>
      <c r="AK23" s="98">
        <f>IFERROR(AVERAGEIFS(Storage_Share_Detail!$G$2:$G$1025,Storage_Share_Detail!$A$2:$A$1025,"Opti",Storage_Share_Detail!$B$2:$B$1025,"REMIND-MAGPIE_SSP5-26",Storage_Share_Detail!$C$2:$C$1025,$A23,Storage_Share_Detail!$D$2:$D$1025,2020),0)</f>
        <v>0</v>
      </c>
      <c r="AL23" s="98">
        <f>IFERROR(AVERAGEIFS(Storage_Share_Detail!$G$2:$G$1025,Storage_Share_Detail!$A$2:$A$1025,"Opti",Storage_Share_Detail!$B$2:$B$1025,"REMIND-MAGPIE_SSP5-26",Storage_Share_Detail!$C$2:$C$1025,$A23,Storage_Share_Detail!$D$2:$D$1025,2030),0)</f>
        <v>0</v>
      </c>
      <c r="AM23" s="98">
        <f>IFERROR(AVERAGEIFS(Storage_Share_Detail!$G$2:$G$1025,Storage_Share_Detail!$A$2:$A$1025,"Opti",Storage_Share_Detail!$B$2:$B$1025,"REMIND-MAGPIE_SSP5-26",Storage_Share_Detail!$C$2:$C$1025,$A23,Storage_Share_Detail!$D$2:$D$1025,2040),0)</f>
        <v>0</v>
      </c>
      <c r="AN23" s="98">
        <f>IFERROR(AVERAGEIFS(Storage_Share_Detail!$G$2:$G$1025,Storage_Share_Detail!$A$2:$A$1025,"Opti",Storage_Share_Detail!$B$2:$B$1025,"REMIND-MAGPIE_SSP5-26",Storage_Share_Detail!$C$2:$C$1025,$A23,Storage_Share_Detail!$D$2:$D$1025,2050),0)</f>
        <v>0</v>
      </c>
      <c r="AO23" s="99">
        <f>IFERROR(AVERAGEIFS(Storage_Share_Detail!$K$2:$K$1025,Storage_Share_Detail!$A$2:$A$1025,"Opti",Storage_Share_Detail!$B$2:$B$1025,"REMIND-MAGPIE_SSP5-26",Storage_Share_Detail!$C$2:$C$1025,$A23),0)</f>
        <v>0</v>
      </c>
    </row>
    <row r="24" spans="1:41" x14ac:dyDescent="0.2">
      <c r="A24" s="102" t="s">
        <v>60</v>
      </c>
      <c r="B24" s="98">
        <f>IFERROR(AVERAGEIFS(Storage_Share_Detail!$G$2:$G$1025,Storage_Share_Detail!$A$2:$A$1025,"Init",Storage_Share_Detail!$B$2:$B$1025,"IMAGE_SSP1-26",Storage_Share_Detail!$C$2:$C$1025,$A24,Storage_Share_Detail!$D$2:$D$1025,2020),0)</f>
        <v>0</v>
      </c>
      <c r="C24" s="98">
        <f>IFERROR(AVERAGEIFS(Storage_Share_Detail!$G$2:$G$1025,Storage_Share_Detail!$A$2:$A$1025,"Init",Storage_Share_Detail!$B$2:$B$1025,"IMAGE_SSP1-26",Storage_Share_Detail!$C$2:$C$1025,$A24,Storage_Share_Detail!$D$2:$D$1025,2030),0)</f>
        <v>0</v>
      </c>
      <c r="D24" s="98">
        <f>IFERROR(AVERAGEIFS(Storage_Share_Detail!$G$2:$G$1025,Storage_Share_Detail!$A$2:$A$1025,"Init",Storage_Share_Detail!$B$2:$B$1025,"IMAGE_SSP1-26",Storage_Share_Detail!$C$2:$C$1025,$A24,Storage_Share_Detail!$D$2:$D$1025,2040),0)</f>
        <v>0</v>
      </c>
      <c r="E24" s="98">
        <f>IFERROR(AVERAGEIFS(Storage_Share_Detail!$G$2:$G$1025,Storage_Share_Detail!$A$2:$A$1025,"Init",Storage_Share_Detail!$B$2:$B$1025,"IMAGE_SSP1-26",Storage_Share_Detail!$C$2:$C$1025,$A24,Storage_Share_Detail!$D$2:$D$1025,2050),0)</f>
        <v>0</v>
      </c>
      <c r="F24" s="99">
        <f>IFERROR(AVERAGEIFS(Storage_Share_Detail!$K$2:$K$1025,Storage_Share_Detail!$A$2:$A$1025,"Init",Storage_Share_Detail!$B$2:$B$1025,"IMAGE_SSP1-26",Storage_Share_Detail!$C$2:$C$1025,$A24),0)</f>
        <v>0</v>
      </c>
      <c r="G24" s="98">
        <f>IFERROR(AVERAGEIFS(Storage_Share_Detail!$G$2:$G$1025,Storage_Share_Detail!$A$2:$A$1025,"Opti",Storage_Share_Detail!$B$2:$B$1025,"IMAGE_SSP1-26",Storage_Share_Detail!$C$2:$C$1025,$A24,Storage_Share_Detail!$D$2:$D$1025,2020),0)</f>
        <v>0</v>
      </c>
      <c r="H24" s="98">
        <f>IFERROR(AVERAGEIFS(Storage_Share_Detail!$G$2:$G$1025,Storage_Share_Detail!$A$2:$A$1025,"Opti",Storage_Share_Detail!$B$2:$B$1025,"IMAGE_SSP1-26",Storage_Share_Detail!$C$2:$C$1025,$A24,Storage_Share_Detail!$D$2:$D$1025,2030),0)</f>
        <v>0</v>
      </c>
      <c r="I24" s="98">
        <f>IFERROR(AVERAGEIFS(Storage_Share_Detail!$G$2:$G$1025,Storage_Share_Detail!$A$2:$A$1025,"Opti",Storage_Share_Detail!$B$2:$B$1025,"IMAGE_SSP1-26",Storage_Share_Detail!$C$2:$C$1025,$A24,Storage_Share_Detail!$D$2:$D$1025,2040),0)</f>
        <v>0</v>
      </c>
      <c r="J24" s="98">
        <f>IFERROR(AVERAGEIFS(Storage_Share_Detail!$G$2:$G$1025,Storage_Share_Detail!$A$2:$A$1025,"Opti",Storage_Share_Detail!$B$2:$B$1025,"IMAGE_SSP1-26",Storage_Share_Detail!$C$2:$C$1025,$A24,Storage_Share_Detail!$D$2:$D$1025,2050),0)</f>
        <v>0</v>
      </c>
      <c r="K24" s="99">
        <f>IFERROR(AVERAGEIFS(Storage_Share_Detail!$K$2:$K$1025,Storage_Share_Detail!$A$2:$A$1025,"Opti",Storage_Share_Detail!$B$2:$B$1025,"IMAGE_SSP1-26",Storage_Share_Detail!$C$2:$C$1025,$A24),0)</f>
        <v>0</v>
      </c>
      <c r="L24" s="98">
        <f>IFERROR(AVERAGEIFS(Storage_Share_Detail!$G$2:$G$1025,Storage_Share_Detail!$A$2:$A$1025,"Init",Storage_Share_Detail!$B$2:$B$1025,"MESSAGE-GLOBIOM_SSP2-26",Storage_Share_Detail!$C$2:$C$1025,$A24,Storage_Share_Detail!$D$2:$D$1025,2020),0)</f>
        <v>0</v>
      </c>
      <c r="M24" s="98">
        <f>IFERROR(AVERAGEIFS(Storage_Share_Detail!$G$2:$G$1025,Storage_Share_Detail!$A$2:$A$1025,"Init",Storage_Share_Detail!$B$2:$B$1025,"MESSAGE-GLOBIOM_SSP2-26",Storage_Share_Detail!$C$2:$C$1025,$A24,Storage_Share_Detail!$D$2:$D$1025,2030),0)</f>
        <v>0</v>
      </c>
      <c r="N24" s="98">
        <f>IFERROR(AVERAGEIFS(Storage_Share_Detail!$G$2:$G$1025,Storage_Share_Detail!$A$2:$A$1025,"Init",Storage_Share_Detail!$B$2:$B$1025,"MESSAGE-GLOBIOM_SSP2-26",Storage_Share_Detail!$C$2:$C$1025,$A24,Storage_Share_Detail!$D$2:$D$1025,2040),0)</f>
        <v>0</v>
      </c>
      <c r="O24" s="98">
        <f>IFERROR(AVERAGEIFS(Storage_Share_Detail!$G$2:$G$1025,Storage_Share_Detail!$A$2:$A$1025,"Init",Storage_Share_Detail!$B$2:$B$1025,"MESSAGE-GLOBIOM_SSP2-26",Storage_Share_Detail!$C$2:$C$1025,$A24,Storage_Share_Detail!$D$2:$D$1025,2050),0)</f>
        <v>0</v>
      </c>
      <c r="P24" s="99">
        <f>IFERROR(AVERAGEIFS(Storage_Share_Detail!$K$2:$K$1025,Storage_Share_Detail!$A$2:$A$1025,"Init",Storage_Share_Detail!$B$2:$B$1025,"MESSAGE-GLOBIOM_SSP2-26",Storage_Share_Detail!$C$2:$C$1025,$A24),0)</f>
        <v>0</v>
      </c>
      <c r="Q24" s="98">
        <f>IFERROR(AVERAGEIFS(Storage_Share_Detail!$G$2:$G$1025,Storage_Share_Detail!$A$2:$A$1025,"Opti",Storage_Share_Detail!$B$2:$B$1025,"MESSAGE-GLOBIOM_SSP2-26",Storage_Share_Detail!$C$2:$C$1025,$A24,Storage_Share_Detail!$D$2:$D$1025,2020),0)</f>
        <v>0</v>
      </c>
      <c r="R24" s="98">
        <f>IFERROR(AVERAGEIFS(Storage_Share_Detail!$G$2:$G$1025,Storage_Share_Detail!$A$2:$A$1025,"Opti",Storage_Share_Detail!$B$2:$B$1025,"MESSAGE-GLOBIOM_SSP2-26",Storage_Share_Detail!$C$2:$C$1025,$A24,Storage_Share_Detail!$D$2:$D$1025,2030),0)</f>
        <v>0</v>
      </c>
      <c r="S24" s="98">
        <f>IFERROR(AVERAGEIFS(Storage_Share_Detail!$G$2:$G$1025,Storage_Share_Detail!$A$2:$A$1025,"Opti",Storage_Share_Detail!$B$2:$B$1025,"MESSAGE-GLOBIOM_SSP2-26",Storage_Share_Detail!$C$2:$C$1025,$A24,Storage_Share_Detail!$D$2:$D$1025,2040),0)</f>
        <v>0</v>
      </c>
      <c r="T24" s="98">
        <f>IFERROR(AVERAGEIFS(Storage_Share_Detail!$G$2:$G$1025,Storage_Share_Detail!$A$2:$A$1025,"Opti",Storage_Share_Detail!$B$2:$B$1025,"MESSAGE-GLOBIOM_SSP2-26",Storage_Share_Detail!$C$2:$C$1025,$A24,Storage_Share_Detail!$D$2:$D$1025,2050),0)</f>
        <v>0</v>
      </c>
      <c r="U24" s="99">
        <f>IFERROR(AVERAGEIFS(Storage_Share_Detail!$K$2:$K$1025,Storage_Share_Detail!$A$2:$A$1025,"Opti",Storage_Share_Detail!$B$2:$B$1025,"MESSAGE-GLOBIOM_SSP2-26",Storage_Share_Detail!$C$2:$C$1025,$A24),0)</f>
        <v>0</v>
      </c>
      <c r="V24" s="98">
        <f>IFERROR(AVERAGEIFS(Storage_Share_Detail!$G$2:$G$1025,Storage_Share_Detail!$A$2:$A$1025,"Init",Storage_Share_Detail!$B$2:$B$1025,"GCAM4_SSP4-26",Storage_Share_Detail!$C$2:$C$1025,$A24,Storage_Share_Detail!$D$2:$D$1025,2020),0)</f>
        <v>0</v>
      </c>
      <c r="W24" s="98">
        <f>IFERROR(AVERAGEIFS(Storage_Share_Detail!$G$2:$G$1025,Storage_Share_Detail!$A$2:$A$1025,"Init",Storage_Share_Detail!$B$2:$B$1025,"GCAM4_SSP4-26",Storage_Share_Detail!$C$2:$C$1025,$A24,Storage_Share_Detail!$D$2:$D$1025,2030),0)</f>
        <v>0</v>
      </c>
      <c r="X24" s="98">
        <f>IFERROR(AVERAGEIFS(Storage_Share_Detail!$G$2:$G$1025,Storage_Share_Detail!$A$2:$A$1025,"Init",Storage_Share_Detail!$B$2:$B$1025,"GCAM4_SSP4-26",Storage_Share_Detail!$C$2:$C$1025,$A24,Storage_Share_Detail!$D$2:$D$1025,2040),0)</f>
        <v>0</v>
      </c>
      <c r="Y24" s="98">
        <f>IFERROR(AVERAGEIFS(Storage_Share_Detail!$G$2:$G$1025,Storage_Share_Detail!$A$2:$A$1025,"Init",Storage_Share_Detail!$B$2:$B$1025,"GCAM4_SSP4-26",Storage_Share_Detail!$C$2:$C$1025,$A24,Storage_Share_Detail!$D$2:$D$1025,2050),0)</f>
        <v>0</v>
      </c>
      <c r="Z24" s="99">
        <f>IFERROR(AVERAGEIFS(Storage_Share_Detail!$K$2:$K$1025,Storage_Share_Detail!$A$2:$A$1025,"Init",Storage_Share_Detail!$B$2:$B$1025,"GCAM4_SSP4-26",Storage_Share_Detail!$C$2:$C$1025,$A24),0)</f>
        <v>0</v>
      </c>
      <c r="AA24" s="98">
        <f>IFERROR(AVERAGEIFS(Storage_Share_Detail!$G$2:$G$1025,Storage_Share_Detail!$A$2:$A$1025,"Opti",Storage_Share_Detail!$B$2:$B$1025,"GCAM4_SSP4-26",Storage_Share_Detail!$C$2:$C$1025,$A24,Storage_Share_Detail!$D$2:$D$1025,2020),0)</f>
        <v>0</v>
      </c>
      <c r="AB24" s="98">
        <f>IFERROR(AVERAGEIFS(Storage_Share_Detail!$G$2:$G$1025,Storage_Share_Detail!$A$2:$A$1025,"Opti",Storage_Share_Detail!$B$2:$B$1025,"GCAM4_SSP4-26",Storage_Share_Detail!$C$2:$C$1025,$A24,Storage_Share_Detail!$D$2:$D$1025,2030),0)</f>
        <v>0</v>
      </c>
      <c r="AC24" s="98">
        <f>IFERROR(AVERAGEIFS(Storage_Share_Detail!$G$2:$G$1025,Storage_Share_Detail!$A$2:$A$1025,"Opti",Storage_Share_Detail!$B$2:$B$1025,"GCAM4_SSP4-26",Storage_Share_Detail!$C$2:$C$1025,$A24,Storage_Share_Detail!$D$2:$D$1025,2040),0)</f>
        <v>0</v>
      </c>
      <c r="AD24" s="98">
        <f>IFERROR(AVERAGEIFS(Storage_Share_Detail!$G$2:$G$1025,Storage_Share_Detail!$A$2:$A$1025,"Opti",Storage_Share_Detail!$B$2:$B$1025,"GCAM4_SSP4-26",Storage_Share_Detail!$C$2:$C$1025,$A24,Storage_Share_Detail!$D$2:$D$1025,2050),0)</f>
        <v>0</v>
      </c>
      <c r="AE24" s="99">
        <f>IFERROR(AVERAGEIFS(Storage_Share_Detail!$K$2:$K$1025,Storage_Share_Detail!$A$2:$A$1025,"Opti",Storage_Share_Detail!$B$2:$B$1025,"GCAM4_SSP4-26",Storage_Share_Detail!$C$2:$C$1025,$A24),0)</f>
        <v>0</v>
      </c>
      <c r="AF24" s="98">
        <f>IFERROR(AVERAGEIFS(Storage_Share_Detail!$G$2:$G$1025,Storage_Share_Detail!$A$2:$A$1025,"Init",Storage_Share_Detail!$B$2:$B$1025,"REMIND-MAGPIE_SSP5-26",Storage_Share_Detail!$C$2:$C$1025,$A24,Storage_Share_Detail!$D$2:$D$1025,2020),0)</f>
        <v>0</v>
      </c>
      <c r="AG24" s="98">
        <f>IFERROR(AVERAGEIFS(Storage_Share_Detail!$G$2:$G$1025,Storage_Share_Detail!$A$2:$A$1025,"Init",Storage_Share_Detail!$B$2:$B$1025,"REMIND-MAGPIE_SSP5-26",Storage_Share_Detail!$C$2:$C$1025,$A24,Storage_Share_Detail!$D$2:$D$1025,2030),0)</f>
        <v>0</v>
      </c>
      <c r="AH24" s="98">
        <f>IFERROR(AVERAGEIFS(Storage_Share_Detail!$G$2:$G$1025,Storage_Share_Detail!$A$2:$A$1025,"Init",Storage_Share_Detail!$B$2:$B$1025,"REMIND-MAGPIE_SSP5-26",Storage_Share_Detail!$C$2:$C$1025,$A24,Storage_Share_Detail!$D$2:$D$1025,2040),0)</f>
        <v>0</v>
      </c>
      <c r="AI24" s="98">
        <f>IFERROR(AVERAGEIFS(Storage_Share_Detail!$G$2:$G$1025,Storage_Share_Detail!$A$2:$A$1025,"Init",Storage_Share_Detail!$B$2:$B$1025,"REMIND-MAGPIE_SSP5-26",Storage_Share_Detail!$C$2:$C$1025,$A24,Storage_Share_Detail!$D$2:$D$1025,2050),0)</f>
        <v>0</v>
      </c>
      <c r="AJ24" s="99">
        <f>IFERROR(AVERAGEIFS(Storage_Share_Detail!$K$2:$K$1025,Storage_Share_Detail!$A$2:$A$1025,"Init",Storage_Share_Detail!$B$2:$B$1025,"REMIND-MAGPIE_SSP5-26",Storage_Share_Detail!$C$2:$C$1025,$A24),0)</f>
        <v>0</v>
      </c>
      <c r="AK24" s="98">
        <f>IFERROR(AVERAGEIFS(Storage_Share_Detail!$G$2:$G$1025,Storage_Share_Detail!$A$2:$A$1025,"Opti",Storage_Share_Detail!$B$2:$B$1025,"REMIND-MAGPIE_SSP5-26",Storage_Share_Detail!$C$2:$C$1025,$A24,Storage_Share_Detail!$D$2:$D$1025,2020),0)</f>
        <v>0</v>
      </c>
      <c r="AL24" s="98">
        <f>IFERROR(AVERAGEIFS(Storage_Share_Detail!$G$2:$G$1025,Storage_Share_Detail!$A$2:$A$1025,"Opti",Storage_Share_Detail!$B$2:$B$1025,"REMIND-MAGPIE_SSP5-26",Storage_Share_Detail!$C$2:$C$1025,$A24,Storage_Share_Detail!$D$2:$D$1025,2030),0)</f>
        <v>0</v>
      </c>
      <c r="AM24" s="98">
        <f>IFERROR(AVERAGEIFS(Storage_Share_Detail!$G$2:$G$1025,Storage_Share_Detail!$A$2:$A$1025,"Opti",Storage_Share_Detail!$B$2:$B$1025,"REMIND-MAGPIE_SSP5-26",Storage_Share_Detail!$C$2:$C$1025,$A24,Storage_Share_Detail!$D$2:$D$1025,2040),0)</f>
        <v>0</v>
      </c>
      <c r="AN24" s="98">
        <f>IFERROR(AVERAGEIFS(Storage_Share_Detail!$G$2:$G$1025,Storage_Share_Detail!$A$2:$A$1025,"Opti",Storage_Share_Detail!$B$2:$B$1025,"REMIND-MAGPIE_SSP5-26",Storage_Share_Detail!$C$2:$C$1025,$A24,Storage_Share_Detail!$D$2:$D$1025,2050),0)</f>
        <v>0</v>
      </c>
      <c r="AO24" s="99">
        <f>IFERROR(AVERAGEIFS(Storage_Share_Detail!$K$2:$K$1025,Storage_Share_Detail!$A$2:$A$1025,"Opti",Storage_Share_Detail!$B$2:$B$1025,"REMIND-MAGPIE_SSP5-26",Storage_Share_Detail!$C$2:$C$1025,$A24),0)</f>
        <v>0</v>
      </c>
    </row>
    <row r="25" spans="1:41" x14ac:dyDescent="0.2">
      <c r="A25" s="102" t="s">
        <v>61</v>
      </c>
      <c r="B25" s="98">
        <f>IFERROR(AVERAGEIFS(Storage_Share_Detail!$G$2:$G$1025,Storage_Share_Detail!$A$2:$A$1025,"Init",Storage_Share_Detail!$B$2:$B$1025,"IMAGE_SSP1-26",Storage_Share_Detail!$C$2:$C$1025,$A25,Storage_Share_Detail!$D$2:$D$1025,2020),0)</f>
        <v>0</v>
      </c>
      <c r="C25" s="98">
        <f>IFERROR(AVERAGEIFS(Storage_Share_Detail!$G$2:$G$1025,Storage_Share_Detail!$A$2:$A$1025,"Init",Storage_Share_Detail!$B$2:$B$1025,"IMAGE_SSP1-26",Storage_Share_Detail!$C$2:$C$1025,$A25,Storage_Share_Detail!$D$2:$D$1025,2030),0)</f>
        <v>0</v>
      </c>
      <c r="D25" s="98">
        <f>IFERROR(AVERAGEIFS(Storage_Share_Detail!$G$2:$G$1025,Storage_Share_Detail!$A$2:$A$1025,"Init",Storage_Share_Detail!$B$2:$B$1025,"IMAGE_SSP1-26",Storage_Share_Detail!$C$2:$C$1025,$A25,Storage_Share_Detail!$D$2:$D$1025,2040),0)</f>
        <v>0</v>
      </c>
      <c r="E25" s="98">
        <f>IFERROR(AVERAGEIFS(Storage_Share_Detail!$G$2:$G$1025,Storage_Share_Detail!$A$2:$A$1025,"Init",Storage_Share_Detail!$B$2:$B$1025,"IMAGE_SSP1-26",Storage_Share_Detail!$C$2:$C$1025,$A25,Storage_Share_Detail!$D$2:$D$1025,2050),0)</f>
        <v>0</v>
      </c>
      <c r="F25" s="99">
        <f>IFERROR(AVERAGEIFS(Storage_Share_Detail!$K$2:$K$1025,Storage_Share_Detail!$A$2:$A$1025,"Init",Storage_Share_Detail!$B$2:$B$1025,"IMAGE_SSP1-26",Storage_Share_Detail!$C$2:$C$1025,$A25),0)</f>
        <v>0</v>
      </c>
      <c r="G25" s="98">
        <f>IFERROR(AVERAGEIFS(Storage_Share_Detail!$G$2:$G$1025,Storage_Share_Detail!$A$2:$A$1025,"Opti",Storage_Share_Detail!$B$2:$B$1025,"IMAGE_SSP1-26",Storage_Share_Detail!$C$2:$C$1025,$A25,Storage_Share_Detail!$D$2:$D$1025,2020),0)</f>
        <v>0</v>
      </c>
      <c r="H25" s="98">
        <f>IFERROR(AVERAGEIFS(Storage_Share_Detail!$G$2:$G$1025,Storage_Share_Detail!$A$2:$A$1025,"Opti",Storage_Share_Detail!$B$2:$B$1025,"IMAGE_SSP1-26",Storage_Share_Detail!$C$2:$C$1025,$A25,Storage_Share_Detail!$D$2:$D$1025,2030),0)</f>
        <v>0</v>
      </c>
      <c r="I25" s="98">
        <f>IFERROR(AVERAGEIFS(Storage_Share_Detail!$G$2:$G$1025,Storage_Share_Detail!$A$2:$A$1025,"Opti",Storage_Share_Detail!$B$2:$B$1025,"IMAGE_SSP1-26",Storage_Share_Detail!$C$2:$C$1025,$A25,Storage_Share_Detail!$D$2:$D$1025,2040),0)</f>
        <v>0</v>
      </c>
      <c r="J25" s="98">
        <f>IFERROR(AVERAGEIFS(Storage_Share_Detail!$G$2:$G$1025,Storage_Share_Detail!$A$2:$A$1025,"Opti",Storage_Share_Detail!$B$2:$B$1025,"IMAGE_SSP1-26",Storage_Share_Detail!$C$2:$C$1025,$A25,Storage_Share_Detail!$D$2:$D$1025,2050),0)</f>
        <v>0</v>
      </c>
      <c r="K25" s="99">
        <f>IFERROR(AVERAGEIFS(Storage_Share_Detail!$K$2:$K$1025,Storage_Share_Detail!$A$2:$A$1025,"Opti",Storage_Share_Detail!$B$2:$B$1025,"IMAGE_SSP1-26",Storage_Share_Detail!$C$2:$C$1025,$A25),0)</f>
        <v>0</v>
      </c>
      <c r="L25" s="98">
        <f>IFERROR(AVERAGEIFS(Storage_Share_Detail!$G$2:$G$1025,Storage_Share_Detail!$A$2:$A$1025,"Init",Storage_Share_Detail!$B$2:$B$1025,"MESSAGE-GLOBIOM_SSP2-26",Storage_Share_Detail!$C$2:$C$1025,$A25,Storage_Share_Detail!$D$2:$D$1025,2020),0)</f>
        <v>0</v>
      </c>
      <c r="M25" s="98">
        <f>IFERROR(AVERAGEIFS(Storage_Share_Detail!$G$2:$G$1025,Storage_Share_Detail!$A$2:$A$1025,"Init",Storage_Share_Detail!$B$2:$B$1025,"MESSAGE-GLOBIOM_SSP2-26",Storage_Share_Detail!$C$2:$C$1025,$A25,Storage_Share_Detail!$D$2:$D$1025,2030),0)</f>
        <v>0</v>
      </c>
      <c r="N25" s="98">
        <f>IFERROR(AVERAGEIFS(Storage_Share_Detail!$G$2:$G$1025,Storage_Share_Detail!$A$2:$A$1025,"Init",Storage_Share_Detail!$B$2:$B$1025,"MESSAGE-GLOBIOM_SSP2-26",Storage_Share_Detail!$C$2:$C$1025,$A25,Storage_Share_Detail!$D$2:$D$1025,2040),0)</f>
        <v>0</v>
      </c>
      <c r="O25" s="98">
        <f>IFERROR(AVERAGEIFS(Storage_Share_Detail!$G$2:$G$1025,Storage_Share_Detail!$A$2:$A$1025,"Init",Storage_Share_Detail!$B$2:$B$1025,"MESSAGE-GLOBIOM_SSP2-26",Storage_Share_Detail!$C$2:$C$1025,$A25,Storage_Share_Detail!$D$2:$D$1025,2050),0)</f>
        <v>0</v>
      </c>
      <c r="P25" s="99">
        <f>IFERROR(AVERAGEIFS(Storage_Share_Detail!$K$2:$K$1025,Storage_Share_Detail!$A$2:$A$1025,"Init",Storage_Share_Detail!$B$2:$B$1025,"MESSAGE-GLOBIOM_SSP2-26",Storage_Share_Detail!$C$2:$C$1025,$A25),0)</f>
        <v>0</v>
      </c>
      <c r="Q25" s="98">
        <f>IFERROR(AVERAGEIFS(Storage_Share_Detail!$G$2:$G$1025,Storage_Share_Detail!$A$2:$A$1025,"Opti",Storage_Share_Detail!$B$2:$B$1025,"MESSAGE-GLOBIOM_SSP2-26",Storage_Share_Detail!$C$2:$C$1025,$A25,Storage_Share_Detail!$D$2:$D$1025,2020),0)</f>
        <v>0</v>
      </c>
      <c r="R25" s="98">
        <f>IFERROR(AVERAGEIFS(Storage_Share_Detail!$G$2:$G$1025,Storage_Share_Detail!$A$2:$A$1025,"Opti",Storage_Share_Detail!$B$2:$B$1025,"MESSAGE-GLOBIOM_SSP2-26",Storage_Share_Detail!$C$2:$C$1025,$A25,Storage_Share_Detail!$D$2:$D$1025,2030),0)</f>
        <v>0</v>
      </c>
      <c r="S25" s="98">
        <f>IFERROR(AVERAGEIFS(Storage_Share_Detail!$G$2:$G$1025,Storage_Share_Detail!$A$2:$A$1025,"Opti",Storage_Share_Detail!$B$2:$B$1025,"MESSAGE-GLOBIOM_SSP2-26",Storage_Share_Detail!$C$2:$C$1025,$A25,Storage_Share_Detail!$D$2:$D$1025,2040),0)</f>
        <v>0</v>
      </c>
      <c r="T25" s="98">
        <f>IFERROR(AVERAGEIFS(Storage_Share_Detail!$G$2:$G$1025,Storage_Share_Detail!$A$2:$A$1025,"Opti",Storage_Share_Detail!$B$2:$B$1025,"MESSAGE-GLOBIOM_SSP2-26",Storage_Share_Detail!$C$2:$C$1025,$A25,Storage_Share_Detail!$D$2:$D$1025,2050),0)</f>
        <v>0</v>
      </c>
      <c r="U25" s="99">
        <f>IFERROR(AVERAGEIFS(Storage_Share_Detail!$K$2:$K$1025,Storage_Share_Detail!$A$2:$A$1025,"Opti",Storage_Share_Detail!$B$2:$B$1025,"MESSAGE-GLOBIOM_SSP2-26",Storage_Share_Detail!$C$2:$C$1025,$A25),0)</f>
        <v>0</v>
      </c>
      <c r="V25" s="98">
        <f>IFERROR(AVERAGEIFS(Storage_Share_Detail!$G$2:$G$1025,Storage_Share_Detail!$A$2:$A$1025,"Init",Storage_Share_Detail!$B$2:$B$1025,"GCAM4_SSP4-26",Storage_Share_Detail!$C$2:$C$1025,$A25,Storage_Share_Detail!$D$2:$D$1025,2020),0)</f>
        <v>0</v>
      </c>
      <c r="W25" s="98">
        <f>IFERROR(AVERAGEIFS(Storage_Share_Detail!$G$2:$G$1025,Storage_Share_Detail!$A$2:$A$1025,"Init",Storage_Share_Detail!$B$2:$B$1025,"GCAM4_SSP4-26",Storage_Share_Detail!$C$2:$C$1025,$A25,Storage_Share_Detail!$D$2:$D$1025,2030),0)</f>
        <v>0</v>
      </c>
      <c r="X25" s="98">
        <f>IFERROR(AVERAGEIFS(Storage_Share_Detail!$G$2:$G$1025,Storage_Share_Detail!$A$2:$A$1025,"Init",Storage_Share_Detail!$B$2:$B$1025,"GCAM4_SSP4-26",Storage_Share_Detail!$C$2:$C$1025,$A25,Storage_Share_Detail!$D$2:$D$1025,2040),0)</f>
        <v>0</v>
      </c>
      <c r="Y25" s="98">
        <f>IFERROR(AVERAGEIFS(Storage_Share_Detail!$G$2:$G$1025,Storage_Share_Detail!$A$2:$A$1025,"Init",Storage_Share_Detail!$B$2:$B$1025,"GCAM4_SSP4-26",Storage_Share_Detail!$C$2:$C$1025,$A25,Storage_Share_Detail!$D$2:$D$1025,2050),0)</f>
        <v>0</v>
      </c>
      <c r="Z25" s="99">
        <f>IFERROR(AVERAGEIFS(Storage_Share_Detail!$K$2:$K$1025,Storage_Share_Detail!$A$2:$A$1025,"Init",Storage_Share_Detail!$B$2:$B$1025,"GCAM4_SSP4-26",Storage_Share_Detail!$C$2:$C$1025,$A25),0)</f>
        <v>0</v>
      </c>
      <c r="AA25" s="98">
        <f>IFERROR(AVERAGEIFS(Storage_Share_Detail!$G$2:$G$1025,Storage_Share_Detail!$A$2:$A$1025,"Opti",Storage_Share_Detail!$B$2:$B$1025,"GCAM4_SSP4-26",Storage_Share_Detail!$C$2:$C$1025,$A25,Storage_Share_Detail!$D$2:$D$1025,2020),0)</f>
        <v>0</v>
      </c>
      <c r="AB25" s="98">
        <f>IFERROR(AVERAGEIFS(Storage_Share_Detail!$G$2:$G$1025,Storage_Share_Detail!$A$2:$A$1025,"Opti",Storage_Share_Detail!$B$2:$B$1025,"GCAM4_SSP4-26",Storage_Share_Detail!$C$2:$C$1025,$A25,Storage_Share_Detail!$D$2:$D$1025,2030),0)</f>
        <v>0</v>
      </c>
      <c r="AC25" s="98">
        <f>IFERROR(AVERAGEIFS(Storage_Share_Detail!$G$2:$G$1025,Storage_Share_Detail!$A$2:$A$1025,"Opti",Storage_Share_Detail!$B$2:$B$1025,"GCAM4_SSP4-26",Storage_Share_Detail!$C$2:$C$1025,$A25,Storage_Share_Detail!$D$2:$D$1025,2040),0)</f>
        <v>0</v>
      </c>
      <c r="AD25" s="98">
        <f>IFERROR(AVERAGEIFS(Storage_Share_Detail!$G$2:$G$1025,Storage_Share_Detail!$A$2:$A$1025,"Opti",Storage_Share_Detail!$B$2:$B$1025,"GCAM4_SSP4-26",Storage_Share_Detail!$C$2:$C$1025,$A25,Storage_Share_Detail!$D$2:$D$1025,2050),0)</f>
        <v>0</v>
      </c>
      <c r="AE25" s="99">
        <f>IFERROR(AVERAGEIFS(Storage_Share_Detail!$K$2:$K$1025,Storage_Share_Detail!$A$2:$A$1025,"Opti",Storage_Share_Detail!$B$2:$B$1025,"GCAM4_SSP4-26",Storage_Share_Detail!$C$2:$C$1025,$A25),0)</f>
        <v>0</v>
      </c>
      <c r="AF25" s="98">
        <f>IFERROR(AVERAGEIFS(Storage_Share_Detail!$G$2:$G$1025,Storage_Share_Detail!$A$2:$A$1025,"Init",Storage_Share_Detail!$B$2:$B$1025,"REMIND-MAGPIE_SSP5-26",Storage_Share_Detail!$C$2:$C$1025,$A25,Storage_Share_Detail!$D$2:$D$1025,2020),0)</f>
        <v>0</v>
      </c>
      <c r="AG25" s="98">
        <f>IFERROR(AVERAGEIFS(Storage_Share_Detail!$G$2:$G$1025,Storage_Share_Detail!$A$2:$A$1025,"Init",Storage_Share_Detail!$B$2:$B$1025,"REMIND-MAGPIE_SSP5-26",Storage_Share_Detail!$C$2:$C$1025,$A25,Storage_Share_Detail!$D$2:$D$1025,2030),0)</f>
        <v>0</v>
      </c>
      <c r="AH25" s="98">
        <f>IFERROR(AVERAGEIFS(Storage_Share_Detail!$G$2:$G$1025,Storage_Share_Detail!$A$2:$A$1025,"Init",Storage_Share_Detail!$B$2:$B$1025,"REMIND-MAGPIE_SSP5-26",Storage_Share_Detail!$C$2:$C$1025,$A25,Storage_Share_Detail!$D$2:$D$1025,2040),0)</f>
        <v>0</v>
      </c>
      <c r="AI25" s="98">
        <f>IFERROR(AVERAGEIFS(Storage_Share_Detail!$G$2:$G$1025,Storage_Share_Detail!$A$2:$A$1025,"Init",Storage_Share_Detail!$B$2:$B$1025,"REMIND-MAGPIE_SSP5-26",Storage_Share_Detail!$C$2:$C$1025,$A25,Storage_Share_Detail!$D$2:$D$1025,2050),0)</f>
        <v>0</v>
      </c>
      <c r="AJ25" s="99">
        <f>IFERROR(AVERAGEIFS(Storage_Share_Detail!$K$2:$K$1025,Storage_Share_Detail!$A$2:$A$1025,"Init",Storage_Share_Detail!$B$2:$B$1025,"REMIND-MAGPIE_SSP5-26",Storage_Share_Detail!$C$2:$C$1025,$A25),0)</f>
        <v>0</v>
      </c>
      <c r="AK25" s="98">
        <f>IFERROR(AVERAGEIFS(Storage_Share_Detail!$G$2:$G$1025,Storage_Share_Detail!$A$2:$A$1025,"Opti",Storage_Share_Detail!$B$2:$B$1025,"REMIND-MAGPIE_SSP5-26",Storage_Share_Detail!$C$2:$C$1025,$A25,Storage_Share_Detail!$D$2:$D$1025,2020),0)</f>
        <v>0</v>
      </c>
      <c r="AL25" s="98">
        <f>IFERROR(AVERAGEIFS(Storage_Share_Detail!$G$2:$G$1025,Storage_Share_Detail!$A$2:$A$1025,"Opti",Storage_Share_Detail!$B$2:$B$1025,"REMIND-MAGPIE_SSP5-26",Storage_Share_Detail!$C$2:$C$1025,$A25,Storage_Share_Detail!$D$2:$D$1025,2030),0)</f>
        <v>0</v>
      </c>
      <c r="AM25" s="98">
        <f>IFERROR(AVERAGEIFS(Storage_Share_Detail!$G$2:$G$1025,Storage_Share_Detail!$A$2:$A$1025,"Opti",Storage_Share_Detail!$B$2:$B$1025,"REMIND-MAGPIE_SSP5-26",Storage_Share_Detail!$C$2:$C$1025,$A25,Storage_Share_Detail!$D$2:$D$1025,2040),0)</f>
        <v>0</v>
      </c>
      <c r="AN25" s="98">
        <f>IFERROR(AVERAGEIFS(Storage_Share_Detail!$G$2:$G$1025,Storage_Share_Detail!$A$2:$A$1025,"Opti",Storage_Share_Detail!$B$2:$B$1025,"REMIND-MAGPIE_SSP5-26",Storage_Share_Detail!$C$2:$C$1025,$A25,Storage_Share_Detail!$D$2:$D$1025,2050),0)</f>
        <v>0</v>
      </c>
      <c r="AO25" s="99">
        <f>IFERROR(AVERAGEIFS(Storage_Share_Detail!$K$2:$K$1025,Storage_Share_Detail!$A$2:$A$1025,"Opti",Storage_Share_Detail!$B$2:$B$1025,"REMIND-MAGPIE_SSP5-26",Storage_Share_Detail!$C$2:$C$1025,$A25),0)</f>
        <v>0</v>
      </c>
    </row>
    <row r="26" spans="1:41" x14ac:dyDescent="0.2">
      <c r="A26" s="102" t="s">
        <v>64</v>
      </c>
      <c r="B26" s="98">
        <f>IFERROR(AVERAGEIFS(Storage_Share_Detail!$G$2:$G$1025,Storage_Share_Detail!$A$2:$A$1025,"Init",Storage_Share_Detail!$B$2:$B$1025,"IMAGE_SSP1-26",Storage_Share_Detail!$C$2:$C$1025,$A26,Storage_Share_Detail!$D$2:$D$1025,2020),0)</f>
        <v>0</v>
      </c>
      <c r="C26" s="98">
        <f>IFERROR(AVERAGEIFS(Storage_Share_Detail!$G$2:$G$1025,Storage_Share_Detail!$A$2:$A$1025,"Init",Storage_Share_Detail!$B$2:$B$1025,"IMAGE_SSP1-26",Storage_Share_Detail!$C$2:$C$1025,$A26,Storage_Share_Detail!$D$2:$D$1025,2030),0)</f>
        <v>0</v>
      </c>
      <c r="D26" s="98">
        <f>IFERROR(AVERAGEIFS(Storage_Share_Detail!$G$2:$G$1025,Storage_Share_Detail!$A$2:$A$1025,"Init",Storage_Share_Detail!$B$2:$B$1025,"IMAGE_SSP1-26",Storage_Share_Detail!$C$2:$C$1025,$A26,Storage_Share_Detail!$D$2:$D$1025,2040),0)</f>
        <v>0</v>
      </c>
      <c r="E26" s="98">
        <f>IFERROR(AVERAGEIFS(Storage_Share_Detail!$G$2:$G$1025,Storage_Share_Detail!$A$2:$A$1025,"Init",Storage_Share_Detail!$B$2:$B$1025,"IMAGE_SSP1-26",Storage_Share_Detail!$C$2:$C$1025,$A26,Storage_Share_Detail!$D$2:$D$1025,2050),0)</f>
        <v>0</v>
      </c>
      <c r="F26" s="99">
        <f>IFERROR(AVERAGEIFS(Storage_Share_Detail!$K$2:$K$1025,Storage_Share_Detail!$A$2:$A$1025,"Init",Storage_Share_Detail!$B$2:$B$1025,"IMAGE_SSP1-26",Storage_Share_Detail!$C$2:$C$1025,$A26),0)</f>
        <v>0</v>
      </c>
      <c r="G26" s="98">
        <f>IFERROR(AVERAGEIFS(Storage_Share_Detail!$G$2:$G$1025,Storage_Share_Detail!$A$2:$A$1025,"Opti",Storage_Share_Detail!$B$2:$B$1025,"IMAGE_SSP1-26",Storage_Share_Detail!$C$2:$C$1025,$A26,Storage_Share_Detail!$D$2:$D$1025,2020),0)</f>
        <v>0</v>
      </c>
      <c r="H26" s="98">
        <f>IFERROR(AVERAGEIFS(Storage_Share_Detail!$G$2:$G$1025,Storage_Share_Detail!$A$2:$A$1025,"Opti",Storage_Share_Detail!$B$2:$B$1025,"IMAGE_SSP1-26",Storage_Share_Detail!$C$2:$C$1025,$A26,Storage_Share_Detail!$D$2:$D$1025,2030),0)</f>
        <v>0</v>
      </c>
      <c r="I26" s="98">
        <f>IFERROR(AVERAGEIFS(Storage_Share_Detail!$G$2:$G$1025,Storage_Share_Detail!$A$2:$A$1025,"Opti",Storage_Share_Detail!$B$2:$B$1025,"IMAGE_SSP1-26",Storage_Share_Detail!$C$2:$C$1025,$A26,Storage_Share_Detail!$D$2:$D$1025,2040),0)</f>
        <v>0</v>
      </c>
      <c r="J26" s="98">
        <f>IFERROR(AVERAGEIFS(Storage_Share_Detail!$G$2:$G$1025,Storage_Share_Detail!$A$2:$A$1025,"Opti",Storage_Share_Detail!$B$2:$B$1025,"IMAGE_SSP1-26",Storage_Share_Detail!$C$2:$C$1025,$A26,Storage_Share_Detail!$D$2:$D$1025,2050),0)</f>
        <v>0</v>
      </c>
      <c r="K26" s="99">
        <f>IFERROR(AVERAGEIFS(Storage_Share_Detail!$K$2:$K$1025,Storage_Share_Detail!$A$2:$A$1025,"Opti",Storage_Share_Detail!$B$2:$B$1025,"IMAGE_SSP1-26",Storage_Share_Detail!$C$2:$C$1025,$A26),0)</f>
        <v>0</v>
      </c>
      <c r="L26" s="98">
        <f>IFERROR(AVERAGEIFS(Storage_Share_Detail!$G$2:$G$1025,Storage_Share_Detail!$A$2:$A$1025,"Init",Storage_Share_Detail!$B$2:$B$1025,"MESSAGE-GLOBIOM_SSP2-26",Storage_Share_Detail!$C$2:$C$1025,$A26,Storage_Share_Detail!$D$2:$D$1025,2020),0)</f>
        <v>0</v>
      </c>
      <c r="M26" s="98">
        <f>IFERROR(AVERAGEIFS(Storage_Share_Detail!$G$2:$G$1025,Storage_Share_Detail!$A$2:$A$1025,"Init",Storage_Share_Detail!$B$2:$B$1025,"MESSAGE-GLOBIOM_SSP2-26",Storage_Share_Detail!$C$2:$C$1025,$A26,Storage_Share_Detail!$D$2:$D$1025,2030),0)</f>
        <v>0</v>
      </c>
      <c r="N26" s="98">
        <f>IFERROR(AVERAGEIFS(Storage_Share_Detail!$G$2:$G$1025,Storage_Share_Detail!$A$2:$A$1025,"Init",Storage_Share_Detail!$B$2:$B$1025,"MESSAGE-GLOBIOM_SSP2-26",Storage_Share_Detail!$C$2:$C$1025,$A26,Storage_Share_Detail!$D$2:$D$1025,2040),0)</f>
        <v>0</v>
      </c>
      <c r="O26" s="98">
        <f>IFERROR(AVERAGEIFS(Storage_Share_Detail!$G$2:$G$1025,Storage_Share_Detail!$A$2:$A$1025,"Init",Storage_Share_Detail!$B$2:$B$1025,"MESSAGE-GLOBIOM_SSP2-26",Storage_Share_Detail!$C$2:$C$1025,$A26,Storage_Share_Detail!$D$2:$D$1025,2050),0)</f>
        <v>0</v>
      </c>
      <c r="P26" s="99">
        <f>IFERROR(AVERAGEIFS(Storage_Share_Detail!$K$2:$K$1025,Storage_Share_Detail!$A$2:$A$1025,"Init",Storage_Share_Detail!$B$2:$B$1025,"MESSAGE-GLOBIOM_SSP2-26",Storage_Share_Detail!$C$2:$C$1025,$A26),0)</f>
        <v>0</v>
      </c>
      <c r="Q26" s="98">
        <f>IFERROR(AVERAGEIFS(Storage_Share_Detail!$G$2:$G$1025,Storage_Share_Detail!$A$2:$A$1025,"Opti",Storage_Share_Detail!$B$2:$B$1025,"MESSAGE-GLOBIOM_SSP2-26",Storage_Share_Detail!$C$2:$C$1025,$A26,Storage_Share_Detail!$D$2:$D$1025,2020),0)</f>
        <v>0</v>
      </c>
      <c r="R26" s="98">
        <f>IFERROR(AVERAGEIFS(Storage_Share_Detail!$G$2:$G$1025,Storage_Share_Detail!$A$2:$A$1025,"Opti",Storage_Share_Detail!$B$2:$B$1025,"MESSAGE-GLOBIOM_SSP2-26",Storage_Share_Detail!$C$2:$C$1025,$A26,Storage_Share_Detail!$D$2:$D$1025,2030),0)</f>
        <v>0</v>
      </c>
      <c r="S26" s="98">
        <f>IFERROR(AVERAGEIFS(Storage_Share_Detail!$G$2:$G$1025,Storage_Share_Detail!$A$2:$A$1025,"Opti",Storage_Share_Detail!$B$2:$B$1025,"MESSAGE-GLOBIOM_SSP2-26",Storage_Share_Detail!$C$2:$C$1025,$A26,Storage_Share_Detail!$D$2:$D$1025,2040),0)</f>
        <v>0</v>
      </c>
      <c r="T26" s="98">
        <f>IFERROR(AVERAGEIFS(Storage_Share_Detail!$G$2:$G$1025,Storage_Share_Detail!$A$2:$A$1025,"Opti",Storage_Share_Detail!$B$2:$B$1025,"MESSAGE-GLOBIOM_SSP2-26",Storage_Share_Detail!$C$2:$C$1025,$A26,Storage_Share_Detail!$D$2:$D$1025,2050),0)</f>
        <v>0</v>
      </c>
      <c r="U26" s="99">
        <f>IFERROR(AVERAGEIFS(Storage_Share_Detail!$K$2:$K$1025,Storage_Share_Detail!$A$2:$A$1025,"Opti",Storage_Share_Detail!$B$2:$B$1025,"MESSAGE-GLOBIOM_SSP2-26",Storage_Share_Detail!$C$2:$C$1025,$A26),0)</f>
        <v>0</v>
      </c>
      <c r="V26" s="98">
        <f>IFERROR(AVERAGEIFS(Storage_Share_Detail!$G$2:$G$1025,Storage_Share_Detail!$A$2:$A$1025,"Init",Storage_Share_Detail!$B$2:$B$1025,"GCAM4_SSP4-26",Storage_Share_Detail!$C$2:$C$1025,$A26,Storage_Share_Detail!$D$2:$D$1025,2020),0)</f>
        <v>0</v>
      </c>
      <c r="W26" s="98">
        <f>IFERROR(AVERAGEIFS(Storage_Share_Detail!$G$2:$G$1025,Storage_Share_Detail!$A$2:$A$1025,"Init",Storage_Share_Detail!$B$2:$B$1025,"GCAM4_SSP4-26",Storage_Share_Detail!$C$2:$C$1025,$A26,Storage_Share_Detail!$D$2:$D$1025,2030),0)</f>
        <v>0</v>
      </c>
      <c r="X26" s="98">
        <f>IFERROR(AVERAGEIFS(Storage_Share_Detail!$G$2:$G$1025,Storage_Share_Detail!$A$2:$A$1025,"Init",Storage_Share_Detail!$B$2:$B$1025,"GCAM4_SSP4-26",Storage_Share_Detail!$C$2:$C$1025,$A26,Storage_Share_Detail!$D$2:$D$1025,2040),0)</f>
        <v>0</v>
      </c>
      <c r="Y26" s="98">
        <f>IFERROR(AVERAGEIFS(Storage_Share_Detail!$G$2:$G$1025,Storage_Share_Detail!$A$2:$A$1025,"Init",Storage_Share_Detail!$B$2:$B$1025,"GCAM4_SSP4-26",Storage_Share_Detail!$C$2:$C$1025,$A26,Storage_Share_Detail!$D$2:$D$1025,2050),0)</f>
        <v>0</v>
      </c>
      <c r="Z26" s="99">
        <f>IFERROR(AVERAGEIFS(Storage_Share_Detail!$K$2:$K$1025,Storage_Share_Detail!$A$2:$A$1025,"Init",Storage_Share_Detail!$B$2:$B$1025,"GCAM4_SSP4-26",Storage_Share_Detail!$C$2:$C$1025,$A26),0)</f>
        <v>0</v>
      </c>
      <c r="AA26" s="98">
        <f>IFERROR(AVERAGEIFS(Storage_Share_Detail!$G$2:$G$1025,Storage_Share_Detail!$A$2:$A$1025,"Opti",Storage_Share_Detail!$B$2:$B$1025,"GCAM4_SSP4-26",Storage_Share_Detail!$C$2:$C$1025,$A26,Storage_Share_Detail!$D$2:$D$1025,2020),0)</f>
        <v>0</v>
      </c>
      <c r="AB26" s="98">
        <f>IFERROR(AVERAGEIFS(Storage_Share_Detail!$G$2:$G$1025,Storage_Share_Detail!$A$2:$A$1025,"Opti",Storage_Share_Detail!$B$2:$B$1025,"GCAM4_SSP4-26",Storage_Share_Detail!$C$2:$C$1025,$A26,Storage_Share_Detail!$D$2:$D$1025,2030),0)</f>
        <v>0</v>
      </c>
      <c r="AC26" s="98">
        <f>IFERROR(AVERAGEIFS(Storage_Share_Detail!$G$2:$G$1025,Storage_Share_Detail!$A$2:$A$1025,"Opti",Storage_Share_Detail!$B$2:$B$1025,"GCAM4_SSP4-26",Storage_Share_Detail!$C$2:$C$1025,$A26,Storage_Share_Detail!$D$2:$D$1025,2040),0)</f>
        <v>0</v>
      </c>
      <c r="AD26" s="98">
        <f>IFERROR(AVERAGEIFS(Storage_Share_Detail!$G$2:$G$1025,Storage_Share_Detail!$A$2:$A$1025,"Opti",Storage_Share_Detail!$B$2:$B$1025,"GCAM4_SSP4-26",Storage_Share_Detail!$C$2:$C$1025,$A26,Storage_Share_Detail!$D$2:$D$1025,2050),0)</f>
        <v>0</v>
      </c>
      <c r="AE26" s="99">
        <f>IFERROR(AVERAGEIFS(Storage_Share_Detail!$K$2:$K$1025,Storage_Share_Detail!$A$2:$A$1025,"Opti",Storage_Share_Detail!$B$2:$B$1025,"GCAM4_SSP4-26",Storage_Share_Detail!$C$2:$C$1025,$A26),0)</f>
        <v>0</v>
      </c>
      <c r="AF26" s="98">
        <f>IFERROR(AVERAGEIFS(Storage_Share_Detail!$G$2:$G$1025,Storage_Share_Detail!$A$2:$A$1025,"Init",Storage_Share_Detail!$B$2:$B$1025,"REMIND-MAGPIE_SSP5-26",Storage_Share_Detail!$C$2:$C$1025,$A26,Storage_Share_Detail!$D$2:$D$1025,2020),0)</f>
        <v>0</v>
      </c>
      <c r="AG26" s="98">
        <f>IFERROR(AVERAGEIFS(Storage_Share_Detail!$G$2:$G$1025,Storage_Share_Detail!$A$2:$A$1025,"Init",Storage_Share_Detail!$B$2:$B$1025,"REMIND-MAGPIE_SSP5-26",Storage_Share_Detail!$C$2:$C$1025,$A26,Storage_Share_Detail!$D$2:$D$1025,2030),0)</f>
        <v>0</v>
      </c>
      <c r="AH26" s="98">
        <f>IFERROR(AVERAGEIFS(Storage_Share_Detail!$G$2:$G$1025,Storage_Share_Detail!$A$2:$A$1025,"Init",Storage_Share_Detail!$B$2:$B$1025,"REMIND-MAGPIE_SSP5-26",Storage_Share_Detail!$C$2:$C$1025,$A26,Storage_Share_Detail!$D$2:$D$1025,2040),0)</f>
        <v>0</v>
      </c>
      <c r="AI26" s="98">
        <f>IFERROR(AVERAGEIFS(Storage_Share_Detail!$G$2:$G$1025,Storage_Share_Detail!$A$2:$A$1025,"Init",Storage_Share_Detail!$B$2:$B$1025,"REMIND-MAGPIE_SSP5-26",Storage_Share_Detail!$C$2:$C$1025,$A26,Storage_Share_Detail!$D$2:$D$1025,2050),0)</f>
        <v>0</v>
      </c>
      <c r="AJ26" s="99">
        <f>IFERROR(AVERAGEIFS(Storage_Share_Detail!$K$2:$K$1025,Storage_Share_Detail!$A$2:$A$1025,"Init",Storage_Share_Detail!$B$2:$B$1025,"REMIND-MAGPIE_SSP5-26",Storage_Share_Detail!$C$2:$C$1025,$A26),0)</f>
        <v>0</v>
      </c>
      <c r="AK26" s="98">
        <f>IFERROR(AVERAGEIFS(Storage_Share_Detail!$G$2:$G$1025,Storage_Share_Detail!$A$2:$A$1025,"Opti",Storage_Share_Detail!$B$2:$B$1025,"REMIND-MAGPIE_SSP5-26",Storage_Share_Detail!$C$2:$C$1025,$A26,Storage_Share_Detail!$D$2:$D$1025,2020),0)</f>
        <v>0</v>
      </c>
      <c r="AL26" s="98">
        <f>IFERROR(AVERAGEIFS(Storage_Share_Detail!$G$2:$G$1025,Storage_Share_Detail!$A$2:$A$1025,"Opti",Storage_Share_Detail!$B$2:$B$1025,"REMIND-MAGPIE_SSP5-26",Storage_Share_Detail!$C$2:$C$1025,$A26,Storage_Share_Detail!$D$2:$D$1025,2030),0)</f>
        <v>0</v>
      </c>
      <c r="AM26" s="98">
        <f>IFERROR(AVERAGEIFS(Storage_Share_Detail!$G$2:$G$1025,Storage_Share_Detail!$A$2:$A$1025,"Opti",Storage_Share_Detail!$B$2:$B$1025,"REMIND-MAGPIE_SSP5-26",Storage_Share_Detail!$C$2:$C$1025,$A26,Storage_Share_Detail!$D$2:$D$1025,2040),0)</f>
        <v>0</v>
      </c>
      <c r="AN26" s="98">
        <f>IFERROR(AVERAGEIFS(Storage_Share_Detail!$G$2:$G$1025,Storage_Share_Detail!$A$2:$A$1025,"Opti",Storage_Share_Detail!$B$2:$B$1025,"REMIND-MAGPIE_SSP5-26",Storage_Share_Detail!$C$2:$C$1025,$A26,Storage_Share_Detail!$D$2:$D$1025,2050),0)</f>
        <v>0</v>
      </c>
      <c r="AO26" s="99">
        <f>IFERROR(AVERAGEIFS(Storage_Share_Detail!$K$2:$K$1025,Storage_Share_Detail!$A$2:$A$1025,"Opti",Storage_Share_Detail!$B$2:$B$1025,"REMIND-MAGPIE_SSP5-26",Storage_Share_Detail!$C$2:$C$1025,$A26),0)</f>
        <v>0</v>
      </c>
    </row>
    <row r="27" spans="1:41" x14ac:dyDescent="0.2">
      <c r="A27" s="102" t="s">
        <v>66</v>
      </c>
      <c r="B27" s="98">
        <f>IFERROR(AVERAGEIFS(Storage_Share_Detail!$G$2:$G$1025,Storage_Share_Detail!$A$2:$A$1025,"Init",Storage_Share_Detail!$B$2:$B$1025,"IMAGE_SSP1-26",Storage_Share_Detail!$C$2:$C$1025,$A27,Storage_Share_Detail!$D$2:$D$1025,2020),0)</f>
        <v>0</v>
      </c>
      <c r="C27" s="98">
        <f>IFERROR(AVERAGEIFS(Storage_Share_Detail!$G$2:$G$1025,Storage_Share_Detail!$A$2:$A$1025,"Init",Storage_Share_Detail!$B$2:$B$1025,"IMAGE_SSP1-26",Storage_Share_Detail!$C$2:$C$1025,$A27,Storage_Share_Detail!$D$2:$D$1025,2030),0)</f>
        <v>0</v>
      </c>
      <c r="D27" s="98">
        <f>IFERROR(AVERAGEIFS(Storage_Share_Detail!$G$2:$G$1025,Storage_Share_Detail!$A$2:$A$1025,"Init",Storage_Share_Detail!$B$2:$B$1025,"IMAGE_SSP1-26",Storage_Share_Detail!$C$2:$C$1025,$A27,Storage_Share_Detail!$D$2:$D$1025,2040),0)</f>
        <v>0</v>
      </c>
      <c r="E27" s="98">
        <f>IFERROR(AVERAGEIFS(Storage_Share_Detail!$G$2:$G$1025,Storage_Share_Detail!$A$2:$A$1025,"Init",Storage_Share_Detail!$B$2:$B$1025,"IMAGE_SSP1-26",Storage_Share_Detail!$C$2:$C$1025,$A27,Storage_Share_Detail!$D$2:$D$1025,2050),0)</f>
        <v>0</v>
      </c>
      <c r="F27" s="99">
        <f>IFERROR(AVERAGEIFS(Storage_Share_Detail!$K$2:$K$1025,Storage_Share_Detail!$A$2:$A$1025,"Init",Storage_Share_Detail!$B$2:$B$1025,"IMAGE_SSP1-26",Storage_Share_Detail!$C$2:$C$1025,$A27),0)</f>
        <v>0</v>
      </c>
      <c r="G27" s="98">
        <f>IFERROR(AVERAGEIFS(Storage_Share_Detail!$G$2:$G$1025,Storage_Share_Detail!$A$2:$A$1025,"Opti",Storage_Share_Detail!$B$2:$B$1025,"IMAGE_SSP1-26",Storage_Share_Detail!$C$2:$C$1025,$A27,Storage_Share_Detail!$D$2:$D$1025,2020),0)</f>
        <v>0</v>
      </c>
      <c r="H27" s="98">
        <f>IFERROR(AVERAGEIFS(Storage_Share_Detail!$G$2:$G$1025,Storage_Share_Detail!$A$2:$A$1025,"Opti",Storage_Share_Detail!$B$2:$B$1025,"IMAGE_SSP1-26",Storage_Share_Detail!$C$2:$C$1025,$A27,Storage_Share_Detail!$D$2:$D$1025,2030),0)</f>
        <v>0</v>
      </c>
      <c r="I27" s="98">
        <f>IFERROR(AVERAGEIFS(Storage_Share_Detail!$G$2:$G$1025,Storage_Share_Detail!$A$2:$A$1025,"Opti",Storage_Share_Detail!$B$2:$B$1025,"IMAGE_SSP1-26",Storage_Share_Detail!$C$2:$C$1025,$A27,Storage_Share_Detail!$D$2:$D$1025,2040),0)</f>
        <v>0</v>
      </c>
      <c r="J27" s="98">
        <f>IFERROR(AVERAGEIFS(Storage_Share_Detail!$G$2:$G$1025,Storage_Share_Detail!$A$2:$A$1025,"Opti",Storage_Share_Detail!$B$2:$B$1025,"IMAGE_SSP1-26",Storage_Share_Detail!$C$2:$C$1025,$A27,Storage_Share_Detail!$D$2:$D$1025,2050),0)</f>
        <v>0</v>
      </c>
      <c r="K27" s="99">
        <f>IFERROR(AVERAGEIFS(Storage_Share_Detail!$K$2:$K$1025,Storage_Share_Detail!$A$2:$A$1025,"Opti",Storage_Share_Detail!$B$2:$B$1025,"IMAGE_SSP1-26",Storage_Share_Detail!$C$2:$C$1025,$A27),0)</f>
        <v>0</v>
      </c>
      <c r="L27" s="98">
        <f>IFERROR(AVERAGEIFS(Storage_Share_Detail!$G$2:$G$1025,Storage_Share_Detail!$A$2:$A$1025,"Init",Storage_Share_Detail!$B$2:$B$1025,"MESSAGE-GLOBIOM_SSP2-26",Storage_Share_Detail!$C$2:$C$1025,$A27,Storage_Share_Detail!$D$2:$D$1025,2020),0)</f>
        <v>0</v>
      </c>
      <c r="M27" s="98">
        <f>IFERROR(AVERAGEIFS(Storage_Share_Detail!$G$2:$G$1025,Storage_Share_Detail!$A$2:$A$1025,"Init",Storage_Share_Detail!$B$2:$B$1025,"MESSAGE-GLOBIOM_SSP2-26",Storage_Share_Detail!$C$2:$C$1025,$A27,Storage_Share_Detail!$D$2:$D$1025,2030),0)</f>
        <v>0</v>
      </c>
      <c r="N27" s="98">
        <f>IFERROR(AVERAGEIFS(Storage_Share_Detail!$G$2:$G$1025,Storage_Share_Detail!$A$2:$A$1025,"Init",Storage_Share_Detail!$B$2:$B$1025,"MESSAGE-GLOBIOM_SSP2-26",Storage_Share_Detail!$C$2:$C$1025,$A27,Storage_Share_Detail!$D$2:$D$1025,2040),0)</f>
        <v>0</v>
      </c>
      <c r="O27" s="98">
        <f>IFERROR(AVERAGEIFS(Storage_Share_Detail!$G$2:$G$1025,Storage_Share_Detail!$A$2:$A$1025,"Init",Storage_Share_Detail!$B$2:$B$1025,"MESSAGE-GLOBIOM_SSP2-26",Storage_Share_Detail!$C$2:$C$1025,$A27,Storage_Share_Detail!$D$2:$D$1025,2050),0)</f>
        <v>0</v>
      </c>
      <c r="P27" s="99">
        <f>IFERROR(AVERAGEIFS(Storage_Share_Detail!$K$2:$K$1025,Storage_Share_Detail!$A$2:$A$1025,"Init",Storage_Share_Detail!$B$2:$B$1025,"MESSAGE-GLOBIOM_SSP2-26",Storage_Share_Detail!$C$2:$C$1025,$A27),0)</f>
        <v>0</v>
      </c>
      <c r="Q27" s="98">
        <f>IFERROR(AVERAGEIFS(Storage_Share_Detail!$G$2:$G$1025,Storage_Share_Detail!$A$2:$A$1025,"Opti",Storage_Share_Detail!$B$2:$B$1025,"MESSAGE-GLOBIOM_SSP2-26",Storage_Share_Detail!$C$2:$C$1025,$A27,Storage_Share_Detail!$D$2:$D$1025,2020),0)</f>
        <v>0</v>
      </c>
      <c r="R27" s="98">
        <f>IFERROR(AVERAGEIFS(Storage_Share_Detail!$G$2:$G$1025,Storage_Share_Detail!$A$2:$A$1025,"Opti",Storage_Share_Detail!$B$2:$B$1025,"MESSAGE-GLOBIOM_SSP2-26",Storage_Share_Detail!$C$2:$C$1025,$A27,Storage_Share_Detail!$D$2:$D$1025,2030),0)</f>
        <v>0</v>
      </c>
      <c r="S27" s="98">
        <f>IFERROR(AVERAGEIFS(Storage_Share_Detail!$G$2:$G$1025,Storage_Share_Detail!$A$2:$A$1025,"Opti",Storage_Share_Detail!$B$2:$B$1025,"MESSAGE-GLOBIOM_SSP2-26",Storage_Share_Detail!$C$2:$C$1025,$A27,Storage_Share_Detail!$D$2:$D$1025,2040),0)</f>
        <v>0</v>
      </c>
      <c r="T27" s="98">
        <f>IFERROR(AVERAGEIFS(Storage_Share_Detail!$G$2:$G$1025,Storage_Share_Detail!$A$2:$A$1025,"Opti",Storage_Share_Detail!$B$2:$B$1025,"MESSAGE-GLOBIOM_SSP2-26",Storage_Share_Detail!$C$2:$C$1025,$A27,Storage_Share_Detail!$D$2:$D$1025,2050),0)</f>
        <v>0</v>
      </c>
      <c r="U27" s="99">
        <f>IFERROR(AVERAGEIFS(Storage_Share_Detail!$K$2:$K$1025,Storage_Share_Detail!$A$2:$A$1025,"Opti",Storage_Share_Detail!$B$2:$B$1025,"MESSAGE-GLOBIOM_SSP2-26",Storage_Share_Detail!$C$2:$C$1025,$A27),0)</f>
        <v>0</v>
      </c>
      <c r="V27" s="98">
        <f>IFERROR(AVERAGEIFS(Storage_Share_Detail!$G$2:$G$1025,Storage_Share_Detail!$A$2:$A$1025,"Init",Storage_Share_Detail!$B$2:$B$1025,"GCAM4_SSP4-26",Storage_Share_Detail!$C$2:$C$1025,$A27,Storage_Share_Detail!$D$2:$D$1025,2020),0)</f>
        <v>0</v>
      </c>
      <c r="W27" s="98">
        <f>IFERROR(AVERAGEIFS(Storage_Share_Detail!$G$2:$G$1025,Storage_Share_Detail!$A$2:$A$1025,"Init",Storage_Share_Detail!$B$2:$B$1025,"GCAM4_SSP4-26",Storage_Share_Detail!$C$2:$C$1025,$A27,Storage_Share_Detail!$D$2:$D$1025,2030),0)</f>
        <v>0</v>
      </c>
      <c r="X27" s="98">
        <f>IFERROR(AVERAGEIFS(Storage_Share_Detail!$G$2:$G$1025,Storage_Share_Detail!$A$2:$A$1025,"Init",Storage_Share_Detail!$B$2:$B$1025,"GCAM4_SSP4-26",Storage_Share_Detail!$C$2:$C$1025,$A27,Storage_Share_Detail!$D$2:$D$1025,2040),0)</f>
        <v>0</v>
      </c>
      <c r="Y27" s="98">
        <f>IFERROR(AVERAGEIFS(Storage_Share_Detail!$G$2:$G$1025,Storage_Share_Detail!$A$2:$A$1025,"Init",Storage_Share_Detail!$B$2:$B$1025,"GCAM4_SSP4-26",Storage_Share_Detail!$C$2:$C$1025,$A27,Storage_Share_Detail!$D$2:$D$1025,2050),0)</f>
        <v>0</v>
      </c>
      <c r="Z27" s="99">
        <f>IFERROR(AVERAGEIFS(Storage_Share_Detail!$K$2:$K$1025,Storage_Share_Detail!$A$2:$A$1025,"Init",Storage_Share_Detail!$B$2:$B$1025,"GCAM4_SSP4-26",Storage_Share_Detail!$C$2:$C$1025,$A27),0)</f>
        <v>0</v>
      </c>
      <c r="AA27" s="98">
        <f>IFERROR(AVERAGEIFS(Storage_Share_Detail!$G$2:$G$1025,Storage_Share_Detail!$A$2:$A$1025,"Opti",Storage_Share_Detail!$B$2:$B$1025,"GCAM4_SSP4-26",Storage_Share_Detail!$C$2:$C$1025,$A27,Storage_Share_Detail!$D$2:$D$1025,2020),0)</f>
        <v>0</v>
      </c>
      <c r="AB27" s="98">
        <f>IFERROR(AVERAGEIFS(Storage_Share_Detail!$G$2:$G$1025,Storage_Share_Detail!$A$2:$A$1025,"Opti",Storage_Share_Detail!$B$2:$B$1025,"GCAM4_SSP4-26",Storage_Share_Detail!$C$2:$C$1025,$A27,Storage_Share_Detail!$D$2:$D$1025,2030),0)</f>
        <v>0</v>
      </c>
      <c r="AC27" s="98">
        <f>IFERROR(AVERAGEIFS(Storage_Share_Detail!$G$2:$G$1025,Storage_Share_Detail!$A$2:$A$1025,"Opti",Storage_Share_Detail!$B$2:$B$1025,"GCAM4_SSP4-26",Storage_Share_Detail!$C$2:$C$1025,$A27,Storage_Share_Detail!$D$2:$D$1025,2040),0)</f>
        <v>0</v>
      </c>
      <c r="AD27" s="98">
        <f>IFERROR(AVERAGEIFS(Storage_Share_Detail!$G$2:$G$1025,Storage_Share_Detail!$A$2:$A$1025,"Opti",Storage_Share_Detail!$B$2:$B$1025,"GCAM4_SSP4-26",Storage_Share_Detail!$C$2:$C$1025,$A27,Storage_Share_Detail!$D$2:$D$1025,2050),0)</f>
        <v>0</v>
      </c>
      <c r="AE27" s="99">
        <f>IFERROR(AVERAGEIFS(Storage_Share_Detail!$K$2:$K$1025,Storage_Share_Detail!$A$2:$A$1025,"Opti",Storage_Share_Detail!$B$2:$B$1025,"GCAM4_SSP4-26",Storage_Share_Detail!$C$2:$C$1025,$A27),0)</f>
        <v>0</v>
      </c>
      <c r="AF27" s="98">
        <f>IFERROR(AVERAGEIFS(Storage_Share_Detail!$G$2:$G$1025,Storage_Share_Detail!$A$2:$A$1025,"Init",Storage_Share_Detail!$B$2:$B$1025,"REMIND-MAGPIE_SSP5-26",Storage_Share_Detail!$C$2:$C$1025,$A27,Storage_Share_Detail!$D$2:$D$1025,2020),0)</f>
        <v>0</v>
      </c>
      <c r="AG27" s="98">
        <f>IFERROR(AVERAGEIFS(Storage_Share_Detail!$G$2:$G$1025,Storage_Share_Detail!$A$2:$A$1025,"Init",Storage_Share_Detail!$B$2:$B$1025,"REMIND-MAGPIE_SSP5-26",Storage_Share_Detail!$C$2:$C$1025,$A27,Storage_Share_Detail!$D$2:$D$1025,2030),0)</f>
        <v>0</v>
      </c>
      <c r="AH27" s="98">
        <f>IFERROR(AVERAGEIFS(Storage_Share_Detail!$G$2:$G$1025,Storage_Share_Detail!$A$2:$A$1025,"Init",Storage_Share_Detail!$B$2:$B$1025,"REMIND-MAGPIE_SSP5-26",Storage_Share_Detail!$C$2:$C$1025,$A27,Storage_Share_Detail!$D$2:$D$1025,2040),0)</f>
        <v>0</v>
      </c>
      <c r="AI27" s="98">
        <f>IFERROR(AVERAGEIFS(Storage_Share_Detail!$G$2:$G$1025,Storage_Share_Detail!$A$2:$A$1025,"Init",Storage_Share_Detail!$B$2:$B$1025,"REMIND-MAGPIE_SSP5-26",Storage_Share_Detail!$C$2:$C$1025,$A27,Storage_Share_Detail!$D$2:$D$1025,2050),0)</f>
        <v>0</v>
      </c>
      <c r="AJ27" s="99">
        <f>IFERROR(AVERAGEIFS(Storage_Share_Detail!$K$2:$K$1025,Storage_Share_Detail!$A$2:$A$1025,"Init",Storage_Share_Detail!$B$2:$B$1025,"REMIND-MAGPIE_SSP5-26",Storage_Share_Detail!$C$2:$C$1025,$A27),0)</f>
        <v>0</v>
      </c>
      <c r="AK27" s="98">
        <f>IFERROR(AVERAGEIFS(Storage_Share_Detail!$G$2:$G$1025,Storage_Share_Detail!$A$2:$A$1025,"Opti",Storage_Share_Detail!$B$2:$B$1025,"REMIND-MAGPIE_SSP5-26",Storage_Share_Detail!$C$2:$C$1025,$A27,Storage_Share_Detail!$D$2:$D$1025,2020),0)</f>
        <v>0</v>
      </c>
      <c r="AL27" s="98">
        <f>IFERROR(AVERAGEIFS(Storage_Share_Detail!$G$2:$G$1025,Storage_Share_Detail!$A$2:$A$1025,"Opti",Storage_Share_Detail!$B$2:$B$1025,"REMIND-MAGPIE_SSP5-26",Storage_Share_Detail!$C$2:$C$1025,$A27,Storage_Share_Detail!$D$2:$D$1025,2030),0)</f>
        <v>0</v>
      </c>
      <c r="AM27" s="98">
        <f>IFERROR(AVERAGEIFS(Storage_Share_Detail!$G$2:$G$1025,Storage_Share_Detail!$A$2:$A$1025,"Opti",Storage_Share_Detail!$B$2:$B$1025,"REMIND-MAGPIE_SSP5-26",Storage_Share_Detail!$C$2:$C$1025,$A27,Storage_Share_Detail!$D$2:$D$1025,2040),0)</f>
        <v>0</v>
      </c>
      <c r="AN27" s="98">
        <f>IFERROR(AVERAGEIFS(Storage_Share_Detail!$G$2:$G$1025,Storage_Share_Detail!$A$2:$A$1025,"Opti",Storage_Share_Detail!$B$2:$B$1025,"REMIND-MAGPIE_SSP5-26",Storage_Share_Detail!$C$2:$C$1025,$A27,Storage_Share_Detail!$D$2:$D$1025,2050),0)</f>
        <v>0</v>
      </c>
      <c r="AO27" s="99">
        <f>IFERROR(AVERAGEIFS(Storage_Share_Detail!$K$2:$K$1025,Storage_Share_Detail!$A$2:$A$1025,"Opti",Storage_Share_Detail!$B$2:$B$1025,"REMIND-MAGPIE_SSP5-26",Storage_Share_Detail!$C$2:$C$1025,$A27),0)</f>
        <v>0</v>
      </c>
    </row>
    <row r="28" spans="1:41" x14ac:dyDescent="0.2">
      <c r="A28" s="102" t="s">
        <v>67</v>
      </c>
      <c r="B28" s="98">
        <f>IFERROR(AVERAGEIFS(Storage_Share_Detail!$G$2:$G$1025,Storage_Share_Detail!$A$2:$A$1025,"Init",Storage_Share_Detail!$B$2:$B$1025,"IMAGE_SSP1-26",Storage_Share_Detail!$C$2:$C$1025,$A28,Storage_Share_Detail!$D$2:$D$1025,2020),0)</f>
        <v>0</v>
      </c>
      <c r="C28" s="98">
        <f>IFERROR(AVERAGEIFS(Storage_Share_Detail!$G$2:$G$1025,Storage_Share_Detail!$A$2:$A$1025,"Init",Storage_Share_Detail!$B$2:$B$1025,"IMAGE_SSP1-26",Storage_Share_Detail!$C$2:$C$1025,$A28,Storage_Share_Detail!$D$2:$D$1025,2030),0)</f>
        <v>0</v>
      </c>
      <c r="D28" s="98">
        <f>IFERROR(AVERAGEIFS(Storage_Share_Detail!$G$2:$G$1025,Storage_Share_Detail!$A$2:$A$1025,"Init",Storage_Share_Detail!$B$2:$B$1025,"IMAGE_SSP1-26",Storage_Share_Detail!$C$2:$C$1025,$A28,Storage_Share_Detail!$D$2:$D$1025,2040),0)</f>
        <v>0</v>
      </c>
      <c r="E28" s="98">
        <f>IFERROR(AVERAGEIFS(Storage_Share_Detail!$G$2:$G$1025,Storage_Share_Detail!$A$2:$A$1025,"Init",Storage_Share_Detail!$B$2:$B$1025,"IMAGE_SSP1-26",Storage_Share_Detail!$C$2:$C$1025,$A28,Storage_Share_Detail!$D$2:$D$1025,2050),0)</f>
        <v>0</v>
      </c>
      <c r="F28" s="99">
        <f>IFERROR(AVERAGEIFS(Storage_Share_Detail!$K$2:$K$1025,Storage_Share_Detail!$A$2:$A$1025,"Init",Storage_Share_Detail!$B$2:$B$1025,"IMAGE_SSP1-26",Storage_Share_Detail!$C$2:$C$1025,$A28),0)</f>
        <v>0</v>
      </c>
      <c r="G28" s="98">
        <f>IFERROR(AVERAGEIFS(Storage_Share_Detail!$G$2:$G$1025,Storage_Share_Detail!$A$2:$A$1025,"Opti",Storage_Share_Detail!$B$2:$B$1025,"IMAGE_SSP1-26",Storage_Share_Detail!$C$2:$C$1025,$A28,Storage_Share_Detail!$D$2:$D$1025,2020),0)</f>
        <v>0</v>
      </c>
      <c r="H28" s="98">
        <f>IFERROR(AVERAGEIFS(Storage_Share_Detail!$G$2:$G$1025,Storage_Share_Detail!$A$2:$A$1025,"Opti",Storage_Share_Detail!$B$2:$B$1025,"IMAGE_SSP1-26",Storage_Share_Detail!$C$2:$C$1025,$A28,Storage_Share_Detail!$D$2:$D$1025,2030),0)</f>
        <v>0</v>
      </c>
      <c r="I28" s="98">
        <f>IFERROR(AVERAGEIFS(Storage_Share_Detail!$G$2:$G$1025,Storage_Share_Detail!$A$2:$A$1025,"Opti",Storage_Share_Detail!$B$2:$B$1025,"IMAGE_SSP1-26",Storage_Share_Detail!$C$2:$C$1025,$A28,Storage_Share_Detail!$D$2:$D$1025,2040),0)</f>
        <v>0</v>
      </c>
      <c r="J28" s="98">
        <f>IFERROR(AVERAGEIFS(Storage_Share_Detail!$G$2:$G$1025,Storage_Share_Detail!$A$2:$A$1025,"Opti",Storage_Share_Detail!$B$2:$B$1025,"IMAGE_SSP1-26",Storage_Share_Detail!$C$2:$C$1025,$A28,Storage_Share_Detail!$D$2:$D$1025,2050),0)</f>
        <v>0</v>
      </c>
      <c r="K28" s="99">
        <f>IFERROR(AVERAGEIFS(Storage_Share_Detail!$K$2:$K$1025,Storage_Share_Detail!$A$2:$A$1025,"Opti",Storage_Share_Detail!$B$2:$B$1025,"IMAGE_SSP1-26",Storage_Share_Detail!$C$2:$C$1025,$A28),0)</f>
        <v>0</v>
      </c>
      <c r="L28" s="98">
        <f>IFERROR(AVERAGEIFS(Storage_Share_Detail!$G$2:$G$1025,Storage_Share_Detail!$A$2:$A$1025,"Init",Storage_Share_Detail!$B$2:$B$1025,"MESSAGE-GLOBIOM_SSP2-26",Storage_Share_Detail!$C$2:$C$1025,$A28,Storage_Share_Detail!$D$2:$D$1025,2020),0)</f>
        <v>0</v>
      </c>
      <c r="M28" s="98">
        <f>IFERROR(AVERAGEIFS(Storage_Share_Detail!$G$2:$G$1025,Storage_Share_Detail!$A$2:$A$1025,"Init",Storage_Share_Detail!$B$2:$B$1025,"MESSAGE-GLOBIOM_SSP2-26",Storage_Share_Detail!$C$2:$C$1025,$A28,Storage_Share_Detail!$D$2:$D$1025,2030),0)</f>
        <v>0</v>
      </c>
      <c r="N28" s="98">
        <f>IFERROR(AVERAGEIFS(Storage_Share_Detail!$G$2:$G$1025,Storage_Share_Detail!$A$2:$A$1025,"Init",Storage_Share_Detail!$B$2:$B$1025,"MESSAGE-GLOBIOM_SSP2-26",Storage_Share_Detail!$C$2:$C$1025,$A28,Storage_Share_Detail!$D$2:$D$1025,2040),0)</f>
        <v>0</v>
      </c>
      <c r="O28" s="98">
        <f>IFERROR(AVERAGEIFS(Storage_Share_Detail!$G$2:$G$1025,Storage_Share_Detail!$A$2:$A$1025,"Init",Storage_Share_Detail!$B$2:$B$1025,"MESSAGE-GLOBIOM_SSP2-26",Storage_Share_Detail!$C$2:$C$1025,$A28,Storage_Share_Detail!$D$2:$D$1025,2050),0)</f>
        <v>0</v>
      </c>
      <c r="P28" s="99">
        <f>IFERROR(AVERAGEIFS(Storage_Share_Detail!$K$2:$K$1025,Storage_Share_Detail!$A$2:$A$1025,"Init",Storage_Share_Detail!$B$2:$B$1025,"MESSAGE-GLOBIOM_SSP2-26",Storage_Share_Detail!$C$2:$C$1025,$A28),0)</f>
        <v>0</v>
      </c>
      <c r="Q28" s="98">
        <f>IFERROR(AVERAGEIFS(Storage_Share_Detail!$G$2:$G$1025,Storage_Share_Detail!$A$2:$A$1025,"Opti",Storage_Share_Detail!$B$2:$B$1025,"MESSAGE-GLOBIOM_SSP2-26",Storage_Share_Detail!$C$2:$C$1025,$A28,Storage_Share_Detail!$D$2:$D$1025,2020),0)</f>
        <v>0</v>
      </c>
      <c r="R28" s="98">
        <f>IFERROR(AVERAGEIFS(Storage_Share_Detail!$G$2:$G$1025,Storage_Share_Detail!$A$2:$A$1025,"Opti",Storage_Share_Detail!$B$2:$B$1025,"MESSAGE-GLOBIOM_SSP2-26",Storage_Share_Detail!$C$2:$C$1025,$A28,Storage_Share_Detail!$D$2:$D$1025,2030),0)</f>
        <v>0</v>
      </c>
      <c r="S28" s="98">
        <f>IFERROR(AVERAGEIFS(Storage_Share_Detail!$G$2:$G$1025,Storage_Share_Detail!$A$2:$A$1025,"Opti",Storage_Share_Detail!$B$2:$B$1025,"MESSAGE-GLOBIOM_SSP2-26",Storage_Share_Detail!$C$2:$C$1025,$A28,Storage_Share_Detail!$D$2:$D$1025,2040),0)</f>
        <v>0</v>
      </c>
      <c r="T28" s="98">
        <f>IFERROR(AVERAGEIFS(Storage_Share_Detail!$G$2:$G$1025,Storage_Share_Detail!$A$2:$A$1025,"Opti",Storage_Share_Detail!$B$2:$B$1025,"MESSAGE-GLOBIOM_SSP2-26",Storage_Share_Detail!$C$2:$C$1025,$A28,Storage_Share_Detail!$D$2:$D$1025,2050),0)</f>
        <v>0</v>
      </c>
      <c r="U28" s="99">
        <f>IFERROR(AVERAGEIFS(Storage_Share_Detail!$K$2:$K$1025,Storage_Share_Detail!$A$2:$A$1025,"Opti",Storage_Share_Detail!$B$2:$B$1025,"MESSAGE-GLOBIOM_SSP2-26",Storage_Share_Detail!$C$2:$C$1025,$A28),0)</f>
        <v>0</v>
      </c>
      <c r="V28" s="98">
        <f>IFERROR(AVERAGEIFS(Storage_Share_Detail!$G$2:$G$1025,Storage_Share_Detail!$A$2:$A$1025,"Init",Storage_Share_Detail!$B$2:$B$1025,"GCAM4_SSP4-26",Storage_Share_Detail!$C$2:$C$1025,$A28,Storage_Share_Detail!$D$2:$D$1025,2020),0)</f>
        <v>0</v>
      </c>
      <c r="W28" s="98">
        <f>IFERROR(AVERAGEIFS(Storage_Share_Detail!$G$2:$G$1025,Storage_Share_Detail!$A$2:$A$1025,"Init",Storage_Share_Detail!$B$2:$B$1025,"GCAM4_SSP4-26",Storage_Share_Detail!$C$2:$C$1025,$A28,Storage_Share_Detail!$D$2:$D$1025,2030),0)</f>
        <v>0</v>
      </c>
      <c r="X28" s="98">
        <f>IFERROR(AVERAGEIFS(Storage_Share_Detail!$G$2:$G$1025,Storage_Share_Detail!$A$2:$A$1025,"Init",Storage_Share_Detail!$B$2:$B$1025,"GCAM4_SSP4-26",Storage_Share_Detail!$C$2:$C$1025,$A28,Storage_Share_Detail!$D$2:$D$1025,2040),0)</f>
        <v>0</v>
      </c>
      <c r="Y28" s="98">
        <f>IFERROR(AVERAGEIFS(Storage_Share_Detail!$G$2:$G$1025,Storage_Share_Detail!$A$2:$A$1025,"Init",Storage_Share_Detail!$B$2:$B$1025,"GCAM4_SSP4-26",Storage_Share_Detail!$C$2:$C$1025,$A28,Storage_Share_Detail!$D$2:$D$1025,2050),0)</f>
        <v>0</v>
      </c>
      <c r="Z28" s="99">
        <f>IFERROR(AVERAGEIFS(Storage_Share_Detail!$K$2:$K$1025,Storage_Share_Detail!$A$2:$A$1025,"Init",Storage_Share_Detail!$B$2:$B$1025,"GCAM4_SSP4-26",Storage_Share_Detail!$C$2:$C$1025,$A28),0)</f>
        <v>0</v>
      </c>
      <c r="AA28" s="98">
        <f>IFERROR(AVERAGEIFS(Storage_Share_Detail!$G$2:$G$1025,Storage_Share_Detail!$A$2:$A$1025,"Opti",Storage_Share_Detail!$B$2:$B$1025,"GCAM4_SSP4-26",Storage_Share_Detail!$C$2:$C$1025,$A28,Storage_Share_Detail!$D$2:$D$1025,2020),0)</f>
        <v>0</v>
      </c>
      <c r="AB28" s="98">
        <f>IFERROR(AVERAGEIFS(Storage_Share_Detail!$G$2:$G$1025,Storage_Share_Detail!$A$2:$A$1025,"Opti",Storage_Share_Detail!$B$2:$B$1025,"GCAM4_SSP4-26",Storage_Share_Detail!$C$2:$C$1025,$A28,Storage_Share_Detail!$D$2:$D$1025,2030),0)</f>
        <v>0</v>
      </c>
      <c r="AC28" s="98">
        <f>IFERROR(AVERAGEIFS(Storage_Share_Detail!$G$2:$G$1025,Storage_Share_Detail!$A$2:$A$1025,"Opti",Storage_Share_Detail!$B$2:$B$1025,"GCAM4_SSP4-26",Storage_Share_Detail!$C$2:$C$1025,$A28,Storage_Share_Detail!$D$2:$D$1025,2040),0)</f>
        <v>0</v>
      </c>
      <c r="AD28" s="98">
        <f>IFERROR(AVERAGEIFS(Storage_Share_Detail!$G$2:$G$1025,Storage_Share_Detail!$A$2:$A$1025,"Opti",Storage_Share_Detail!$B$2:$B$1025,"GCAM4_SSP4-26",Storage_Share_Detail!$C$2:$C$1025,$A28,Storage_Share_Detail!$D$2:$D$1025,2050),0)</f>
        <v>0</v>
      </c>
      <c r="AE28" s="99">
        <f>IFERROR(AVERAGEIFS(Storage_Share_Detail!$K$2:$K$1025,Storage_Share_Detail!$A$2:$A$1025,"Opti",Storage_Share_Detail!$B$2:$B$1025,"GCAM4_SSP4-26",Storage_Share_Detail!$C$2:$C$1025,$A28),0)</f>
        <v>0</v>
      </c>
      <c r="AF28" s="98">
        <f>IFERROR(AVERAGEIFS(Storage_Share_Detail!$G$2:$G$1025,Storage_Share_Detail!$A$2:$A$1025,"Init",Storage_Share_Detail!$B$2:$B$1025,"REMIND-MAGPIE_SSP5-26",Storage_Share_Detail!$C$2:$C$1025,$A28,Storage_Share_Detail!$D$2:$D$1025,2020),0)</f>
        <v>0</v>
      </c>
      <c r="AG28" s="98">
        <f>IFERROR(AVERAGEIFS(Storage_Share_Detail!$G$2:$G$1025,Storage_Share_Detail!$A$2:$A$1025,"Init",Storage_Share_Detail!$B$2:$B$1025,"REMIND-MAGPIE_SSP5-26",Storage_Share_Detail!$C$2:$C$1025,$A28,Storage_Share_Detail!$D$2:$D$1025,2030),0)</f>
        <v>0</v>
      </c>
      <c r="AH28" s="98">
        <f>IFERROR(AVERAGEIFS(Storage_Share_Detail!$G$2:$G$1025,Storage_Share_Detail!$A$2:$A$1025,"Init",Storage_Share_Detail!$B$2:$B$1025,"REMIND-MAGPIE_SSP5-26",Storage_Share_Detail!$C$2:$C$1025,$A28,Storage_Share_Detail!$D$2:$D$1025,2040),0)</f>
        <v>0</v>
      </c>
      <c r="AI28" s="98">
        <f>IFERROR(AVERAGEIFS(Storage_Share_Detail!$G$2:$G$1025,Storage_Share_Detail!$A$2:$A$1025,"Init",Storage_Share_Detail!$B$2:$B$1025,"REMIND-MAGPIE_SSP5-26",Storage_Share_Detail!$C$2:$C$1025,$A28,Storage_Share_Detail!$D$2:$D$1025,2050),0)</f>
        <v>0</v>
      </c>
      <c r="AJ28" s="99">
        <f>IFERROR(AVERAGEIFS(Storage_Share_Detail!$K$2:$K$1025,Storage_Share_Detail!$A$2:$A$1025,"Init",Storage_Share_Detail!$B$2:$B$1025,"REMIND-MAGPIE_SSP5-26",Storage_Share_Detail!$C$2:$C$1025,$A28),0)</f>
        <v>0</v>
      </c>
      <c r="AK28" s="98">
        <f>IFERROR(AVERAGEIFS(Storage_Share_Detail!$G$2:$G$1025,Storage_Share_Detail!$A$2:$A$1025,"Opti",Storage_Share_Detail!$B$2:$B$1025,"REMIND-MAGPIE_SSP5-26",Storage_Share_Detail!$C$2:$C$1025,$A28,Storage_Share_Detail!$D$2:$D$1025,2020),0)</f>
        <v>0</v>
      </c>
      <c r="AL28" s="98">
        <f>IFERROR(AVERAGEIFS(Storage_Share_Detail!$G$2:$G$1025,Storage_Share_Detail!$A$2:$A$1025,"Opti",Storage_Share_Detail!$B$2:$B$1025,"REMIND-MAGPIE_SSP5-26",Storage_Share_Detail!$C$2:$C$1025,$A28,Storage_Share_Detail!$D$2:$D$1025,2030),0)</f>
        <v>0</v>
      </c>
      <c r="AM28" s="98">
        <f>IFERROR(AVERAGEIFS(Storage_Share_Detail!$G$2:$G$1025,Storage_Share_Detail!$A$2:$A$1025,"Opti",Storage_Share_Detail!$B$2:$B$1025,"REMIND-MAGPIE_SSP5-26",Storage_Share_Detail!$C$2:$C$1025,$A28,Storage_Share_Detail!$D$2:$D$1025,2040),0)</f>
        <v>0</v>
      </c>
      <c r="AN28" s="98">
        <f>IFERROR(AVERAGEIFS(Storage_Share_Detail!$G$2:$G$1025,Storage_Share_Detail!$A$2:$A$1025,"Opti",Storage_Share_Detail!$B$2:$B$1025,"REMIND-MAGPIE_SSP5-26",Storage_Share_Detail!$C$2:$C$1025,$A28,Storage_Share_Detail!$D$2:$D$1025,2050),0)</f>
        <v>0</v>
      </c>
      <c r="AO28" s="99">
        <f>IFERROR(AVERAGEIFS(Storage_Share_Detail!$K$2:$K$1025,Storage_Share_Detail!$A$2:$A$1025,"Opti",Storage_Share_Detail!$B$2:$B$1025,"REMIND-MAGPIE_SSP5-26",Storage_Share_Detail!$C$2:$C$1025,$A28),0)</f>
        <v>0</v>
      </c>
    </row>
    <row r="29" spans="1:41" x14ac:dyDescent="0.2">
      <c r="A29" s="102" t="s">
        <v>68</v>
      </c>
      <c r="B29" s="98">
        <f>IFERROR(AVERAGEIFS(Storage_Share_Detail!$G$2:$G$1025,Storage_Share_Detail!$A$2:$A$1025,"Init",Storage_Share_Detail!$B$2:$B$1025,"IMAGE_SSP1-26",Storage_Share_Detail!$C$2:$C$1025,$A29,Storage_Share_Detail!$D$2:$D$1025,2020),0)</f>
        <v>0</v>
      </c>
      <c r="C29" s="98">
        <f>IFERROR(AVERAGEIFS(Storage_Share_Detail!$G$2:$G$1025,Storage_Share_Detail!$A$2:$A$1025,"Init",Storage_Share_Detail!$B$2:$B$1025,"IMAGE_SSP1-26",Storage_Share_Detail!$C$2:$C$1025,$A29,Storage_Share_Detail!$D$2:$D$1025,2030),0)</f>
        <v>0</v>
      </c>
      <c r="D29" s="98">
        <f>IFERROR(AVERAGEIFS(Storage_Share_Detail!$G$2:$G$1025,Storage_Share_Detail!$A$2:$A$1025,"Init",Storage_Share_Detail!$B$2:$B$1025,"IMAGE_SSP1-26",Storage_Share_Detail!$C$2:$C$1025,$A29,Storage_Share_Detail!$D$2:$D$1025,2040),0)</f>
        <v>0</v>
      </c>
      <c r="E29" s="98">
        <f>IFERROR(AVERAGEIFS(Storage_Share_Detail!$G$2:$G$1025,Storage_Share_Detail!$A$2:$A$1025,"Init",Storage_Share_Detail!$B$2:$B$1025,"IMAGE_SSP1-26",Storage_Share_Detail!$C$2:$C$1025,$A29,Storage_Share_Detail!$D$2:$D$1025,2050),0)</f>
        <v>0</v>
      </c>
      <c r="F29" s="99">
        <f>IFERROR(AVERAGEIFS(Storage_Share_Detail!$K$2:$K$1025,Storage_Share_Detail!$A$2:$A$1025,"Init",Storage_Share_Detail!$B$2:$B$1025,"IMAGE_SSP1-26",Storage_Share_Detail!$C$2:$C$1025,$A29),0)</f>
        <v>0</v>
      </c>
      <c r="G29" s="98">
        <f>IFERROR(AVERAGEIFS(Storage_Share_Detail!$G$2:$G$1025,Storage_Share_Detail!$A$2:$A$1025,"Opti",Storage_Share_Detail!$B$2:$B$1025,"IMAGE_SSP1-26",Storage_Share_Detail!$C$2:$C$1025,$A29,Storage_Share_Detail!$D$2:$D$1025,2020),0)</f>
        <v>0</v>
      </c>
      <c r="H29" s="98">
        <f>IFERROR(AVERAGEIFS(Storage_Share_Detail!$G$2:$G$1025,Storage_Share_Detail!$A$2:$A$1025,"Opti",Storage_Share_Detail!$B$2:$B$1025,"IMAGE_SSP1-26",Storage_Share_Detail!$C$2:$C$1025,$A29,Storage_Share_Detail!$D$2:$D$1025,2030),0)</f>
        <v>0</v>
      </c>
      <c r="I29" s="98">
        <f>IFERROR(AVERAGEIFS(Storage_Share_Detail!$G$2:$G$1025,Storage_Share_Detail!$A$2:$A$1025,"Opti",Storage_Share_Detail!$B$2:$B$1025,"IMAGE_SSP1-26",Storage_Share_Detail!$C$2:$C$1025,$A29,Storage_Share_Detail!$D$2:$D$1025,2040),0)</f>
        <v>0</v>
      </c>
      <c r="J29" s="98">
        <f>IFERROR(AVERAGEIFS(Storage_Share_Detail!$G$2:$G$1025,Storage_Share_Detail!$A$2:$A$1025,"Opti",Storage_Share_Detail!$B$2:$B$1025,"IMAGE_SSP1-26",Storage_Share_Detail!$C$2:$C$1025,$A29,Storage_Share_Detail!$D$2:$D$1025,2050),0)</f>
        <v>0</v>
      </c>
      <c r="K29" s="99">
        <f>IFERROR(AVERAGEIFS(Storage_Share_Detail!$K$2:$K$1025,Storage_Share_Detail!$A$2:$A$1025,"Opti",Storage_Share_Detail!$B$2:$B$1025,"IMAGE_SSP1-26",Storage_Share_Detail!$C$2:$C$1025,$A29),0)</f>
        <v>0</v>
      </c>
      <c r="L29" s="98">
        <f>IFERROR(AVERAGEIFS(Storage_Share_Detail!$G$2:$G$1025,Storage_Share_Detail!$A$2:$A$1025,"Init",Storage_Share_Detail!$B$2:$B$1025,"MESSAGE-GLOBIOM_SSP2-26",Storage_Share_Detail!$C$2:$C$1025,$A29,Storage_Share_Detail!$D$2:$D$1025,2020),0)</f>
        <v>0</v>
      </c>
      <c r="M29" s="98">
        <f>IFERROR(AVERAGEIFS(Storage_Share_Detail!$G$2:$G$1025,Storage_Share_Detail!$A$2:$A$1025,"Init",Storage_Share_Detail!$B$2:$B$1025,"MESSAGE-GLOBIOM_SSP2-26",Storage_Share_Detail!$C$2:$C$1025,$A29,Storage_Share_Detail!$D$2:$D$1025,2030),0)</f>
        <v>0</v>
      </c>
      <c r="N29" s="98">
        <f>IFERROR(AVERAGEIFS(Storage_Share_Detail!$G$2:$G$1025,Storage_Share_Detail!$A$2:$A$1025,"Init",Storage_Share_Detail!$B$2:$B$1025,"MESSAGE-GLOBIOM_SSP2-26",Storage_Share_Detail!$C$2:$C$1025,$A29,Storage_Share_Detail!$D$2:$D$1025,2040),0)</f>
        <v>0</v>
      </c>
      <c r="O29" s="98">
        <f>IFERROR(AVERAGEIFS(Storage_Share_Detail!$G$2:$G$1025,Storage_Share_Detail!$A$2:$A$1025,"Init",Storage_Share_Detail!$B$2:$B$1025,"MESSAGE-GLOBIOM_SSP2-26",Storage_Share_Detail!$C$2:$C$1025,$A29,Storage_Share_Detail!$D$2:$D$1025,2050),0)</f>
        <v>0</v>
      </c>
      <c r="P29" s="99">
        <f>IFERROR(AVERAGEIFS(Storage_Share_Detail!$K$2:$K$1025,Storage_Share_Detail!$A$2:$A$1025,"Init",Storage_Share_Detail!$B$2:$B$1025,"MESSAGE-GLOBIOM_SSP2-26",Storage_Share_Detail!$C$2:$C$1025,$A29),0)</f>
        <v>0</v>
      </c>
      <c r="Q29" s="98">
        <f>IFERROR(AVERAGEIFS(Storage_Share_Detail!$G$2:$G$1025,Storage_Share_Detail!$A$2:$A$1025,"Opti",Storage_Share_Detail!$B$2:$B$1025,"MESSAGE-GLOBIOM_SSP2-26",Storage_Share_Detail!$C$2:$C$1025,$A29,Storage_Share_Detail!$D$2:$D$1025,2020),0)</f>
        <v>0</v>
      </c>
      <c r="R29" s="98">
        <f>IFERROR(AVERAGEIFS(Storage_Share_Detail!$G$2:$G$1025,Storage_Share_Detail!$A$2:$A$1025,"Opti",Storage_Share_Detail!$B$2:$B$1025,"MESSAGE-GLOBIOM_SSP2-26",Storage_Share_Detail!$C$2:$C$1025,$A29,Storage_Share_Detail!$D$2:$D$1025,2030),0)</f>
        <v>0</v>
      </c>
      <c r="S29" s="98">
        <f>IFERROR(AVERAGEIFS(Storage_Share_Detail!$G$2:$G$1025,Storage_Share_Detail!$A$2:$A$1025,"Opti",Storage_Share_Detail!$B$2:$B$1025,"MESSAGE-GLOBIOM_SSP2-26",Storage_Share_Detail!$C$2:$C$1025,$A29,Storage_Share_Detail!$D$2:$D$1025,2040),0)</f>
        <v>0</v>
      </c>
      <c r="T29" s="98">
        <f>IFERROR(AVERAGEIFS(Storage_Share_Detail!$G$2:$G$1025,Storage_Share_Detail!$A$2:$A$1025,"Opti",Storage_Share_Detail!$B$2:$B$1025,"MESSAGE-GLOBIOM_SSP2-26",Storage_Share_Detail!$C$2:$C$1025,$A29,Storage_Share_Detail!$D$2:$D$1025,2050),0)</f>
        <v>0</v>
      </c>
      <c r="U29" s="99">
        <f>IFERROR(AVERAGEIFS(Storage_Share_Detail!$K$2:$K$1025,Storage_Share_Detail!$A$2:$A$1025,"Opti",Storage_Share_Detail!$B$2:$B$1025,"MESSAGE-GLOBIOM_SSP2-26",Storage_Share_Detail!$C$2:$C$1025,$A29),0)</f>
        <v>0</v>
      </c>
      <c r="V29" s="98">
        <f>IFERROR(AVERAGEIFS(Storage_Share_Detail!$G$2:$G$1025,Storage_Share_Detail!$A$2:$A$1025,"Init",Storage_Share_Detail!$B$2:$B$1025,"GCAM4_SSP4-26",Storage_Share_Detail!$C$2:$C$1025,$A29,Storage_Share_Detail!$D$2:$D$1025,2020),0)</f>
        <v>0</v>
      </c>
      <c r="W29" s="98">
        <f>IFERROR(AVERAGEIFS(Storage_Share_Detail!$G$2:$G$1025,Storage_Share_Detail!$A$2:$A$1025,"Init",Storage_Share_Detail!$B$2:$B$1025,"GCAM4_SSP4-26",Storage_Share_Detail!$C$2:$C$1025,$A29,Storage_Share_Detail!$D$2:$D$1025,2030),0)</f>
        <v>0</v>
      </c>
      <c r="X29" s="98">
        <f>IFERROR(AVERAGEIFS(Storage_Share_Detail!$G$2:$G$1025,Storage_Share_Detail!$A$2:$A$1025,"Init",Storage_Share_Detail!$B$2:$B$1025,"GCAM4_SSP4-26",Storage_Share_Detail!$C$2:$C$1025,$A29,Storage_Share_Detail!$D$2:$D$1025,2040),0)</f>
        <v>0</v>
      </c>
      <c r="Y29" s="98">
        <f>IFERROR(AVERAGEIFS(Storage_Share_Detail!$G$2:$G$1025,Storage_Share_Detail!$A$2:$A$1025,"Init",Storage_Share_Detail!$B$2:$B$1025,"GCAM4_SSP4-26",Storage_Share_Detail!$C$2:$C$1025,$A29,Storage_Share_Detail!$D$2:$D$1025,2050),0)</f>
        <v>0</v>
      </c>
      <c r="Z29" s="99">
        <f>IFERROR(AVERAGEIFS(Storage_Share_Detail!$K$2:$K$1025,Storage_Share_Detail!$A$2:$A$1025,"Init",Storage_Share_Detail!$B$2:$B$1025,"GCAM4_SSP4-26",Storage_Share_Detail!$C$2:$C$1025,$A29),0)</f>
        <v>0</v>
      </c>
      <c r="AA29" s="98">
        <f>IFERROR(AVERAGEIFS(Storage_Share_Detail!$G$2:$G$1025,Storage_Share_Detail!$A$2:$A$1025,"Opti",Storage_Share_Detail!$B$2:$B$1025,"GCAM4_SSP4-26",Storage_Share_Detail!$C$2:$C$1025,$A29,Storage_Share_Detail!$D$2:$D$1025,2020),0)</f>
        <v>0</v>
      </c>
      <c r="AB29" s="98">
        <f>IFERROR(AVERAGEIFS(Storage_Share_Detail!$G$2:$G$1025,Storage_Share_Detail!$A$2:$A$1025,"Opti",Storage_Share_Detail!$B$2:$B$1025,"GCAM4_SSP4-26",Storage_Share_Detail!$C$2:$C$1025,$A29,Storage_Share_Detail!$D$2:$D$1025,2030),0)</f>
        <v>0</v>
      </c>
      <c r="AC29" s="98">
        <f>IFERROR(AVERAGEIFS(Storage_Share_Detail!$G$2:$G$1025,Storage_Share_Detail!$A$2:$A$1025,"Opti",Storage_Share_Detail!$B$2:$B$1025,"GCAM4_SSP4-26",Storage_Share_Detail!$C$2:$C$1025,$A29,Storage_Share_Detail!$D$2:$D$1025,2040),0)</f>
        <v>0</v>
      </c>
      <c r="AD29" s="98">
        <f>IFERROR(AVERAGEIFS(Storage_Share_Detail!$G$2:$G$1025,Storage_Share_Detail!$A$2:$A$1025,"Opti",Storage_Share_Detail!$B$2:$B$1025,"GCAM4_SSP4-26",Storage_Share_Detail!$C$2:$C$1025,$A29,Storage_Share_Detail!$D$2:$D$1025,2050),0)</f>
        <v>0</v>
      </c>
      <c r="AE29" s="99">
        <f>IFERROR(AVERAGEIFS(Storage_Share_Detail!$K$2:$K$1025,Storage_Share_Detail!$A$2:$A$1025,"Opti",Storage_Share_Detail!$B$2:$B$1025,"GCAM4_SSP4-26",Storage_Share_Detail!$C$2:$C$1025,$A29),0)</f>
        <v>0</v>
      </c>
      <c r="AF29" s="98">
        <f>IFERROR(AVERAGEIFS(Storage_Share_Detail!$G$2:$G$1025,Storage_Share_Detail!$A$2:$A$1025,"Init",Storage_Share_Detail!$B$2:$B$1025,"REMIND-MAGPIE_SSP5-26",Storage_Share_Detail!$C$2:$C$1025,$A29,Storage_Share_Detail!$D$2:$D$1025,2020),0)</f>
        <v>0</v>
      </c>
      <c r="AG29" s="98">
        <f>IFERROR(AVERAGEIFS(Storage_Share_Detail!$G$2:$G$1025,Storage_Share_Detail!$A$2:$A$1025,"Init",Storage_Share_Detail!$B$2:$B$1025,"REMIND-MAGPIE_SSP5-26",Storage_Share_Detail!$C$2:$C$1025,$A29,Storage_Share_Detail!$D$2:$D$1025,2030),0)</f>
        <v>0</v>
      </c>
      <c r="AH29" s="98">
        <f>IFERROR(AVERAGEIFS(Storage_Share_Detail!$G$2:$G$1025,Storage_Share_Detail!$A$2:$A$1025,"Init",Storage_Share_Detail!$B$2:$B$1025,"REMIND-MAGPIE_SSP5-26",Storage_Share_Detail!$C$2:$C$1025,$A29,Storage_Share_Detail!$D$2:$D$1025,2040),0)</f>
        <v>0</v>
      </c>
      <c r="AI29" s="98">
        <f>IFERROR(AVERAGEIFS(Storage_Share_Detail!$G$2:$G$1025,Storage_Share_Detail!$A$2:$A$1025,"Init",Storage_Share_Detail!$B$2:$B$1025,"REMIND-MAGPIE_SSP5-26",Storage_Share_Detail!$C$2:$C$1025,$A29,Storage_Share_Detail!$D$2:$D$1025,2050),0)</f>
        <v>0</v>
      </c>
      <c r="AJ29" s="99">
        <f>IFERROR(AVERAGEIFS(Storage_Share_Detail!$K$2:$K$1025,Storage_Share_Detail!$A$2:$A$1025,"Init",Storage_Share_Detail!$B$2:$B$1025,"REMIND-MAGPIE_SSP5-26",Storage_Share_Detail!$C$2:$C$1025,$A29),0)</f>
        <v>0</v>
      </c>
      <c r="AK29" s="98">
        <f>IFERROR(AVERAGEIFS(Storage_Share_Detail!$G$2:$G$1025,Storage_Share_Detail!$A$2:$A$1025,"Opti",Storage_Share_Detail!$B$2:$B$1025,"REMIND-MAGPIE_SSP5-26",Storage_Share_Detail!$C$2:$C$1025,$A29,Storage_Share_Detail!$D$2:$D$1025,2020),0)</f>
        <v>0</v>
      </c>
      <c r="AL29" s="98">
        <f>IFERROR(AVERAGEIFS(Storage_Share_Detail!$G$2:$G$1025,Storage_Share_Detail!$A$2:$A$1025,"Opti",Storage_Share_Detail!$B$2:$B$1025,"REMIND-MAGPIE_SSP5-26",Storage_Share_Detail!$C$2:$C$1025,$A29,Storage_Share_Detail!$D$2:$D$1025,2030),0)</f>
        <v>0</v>
      </c>
      <c r="AM29" s="98">
        <f>IFERROR(AVERAGEIFS(Storage_Share_Detail!$G$2:$G$1025,Storage_Share_Detail!$A$2:$A$1025,"Opti",Storage_Share_Detail!$B$2:$B$1025,"REMIND-MAGPIE_SSP5-26",Storage_Share_Detail!$C$2:$C$1025,$A29,Storage_Share_Detail!$D$2:$D$1025,2040),0)</f>
        <v>0</v>
      </c>
      <c r="AN29" s="98">
        <f>IFERROR(AVERAGEIFS(Storage_Share_Detail!$G$2:$G$1025,Storage_Share_Detail!$A$2:$A$1025,"Opti",Storage_Share_Detail!$B$2:$B$1025,"REMIND-MAGPIE_SSP5-26",Storage_Share_Detail!$C$2:$C$1025,$A29,Storage_Share_Detail!$D$2:$D$1025,2050),0)</f>
        <v>0</v>
      </c>
      <c r="AO29" s="99">
        <f>IFERROR(AVERAGEIFS(Storage_Share_Detail!$K$2:$K$1025,Storage_Share_Detail!$A$2:$A$1025,"Opti",Storage_Share_Detail!$B$2:$B$1025,"REMIND-MAGPIE_SSP5-26",Storage_Share_Detail!$C$2:$C$1025,$A29),0)</f>
        <v>0</v>
      </c>
    </row>
    <row r="30" spans="1:41" x14ac:dyDescent="0.2">
      <c r="A30" s="102" t="s">
        <v>69</v>
      </c>
      <c r="B30" s="98">
        <f>IFERROR(AVERAGEIFS(Storage_Share_Detail!$G$2:$G$1025,Storage_Share_Detail!$A$2:$A$1025,"Init",Storage_Share_Detail!$B$2:$B$1025,"IMAGE_SSP1-26",Storage_Share_Detail!$C$2:$C$1025,$A30,Storage_Share_Detail!$D$2:$D$1025,2020),0)</f>
        <v>0</v>
      </c>
      <c r="C30" s="98">
        <f>IFERROR(AVERAGEIFS(Storage_Share_Detail!$G$2:$G$1025,Storage_Share_Detail!$A$2:$A$1025,"Init",Storage_Share_Detail!$B$2:$B$1025,"IMAGE_SSP1-26",Storage_Share_Detail!$C$2:$C$1025,$A30,Storage_Share_Detail!$D$2:$D$1025,2030),0)</f>
        <v>0</v>
      </c>
      <c r="D30" s="98">
        <f>IFERROR(AVERAGEIFS(Storage_Share_Detail!$G$2:$G$1025,Storage_Share_Detail!$A$2:$A$1025,"Init",Storage_Share_Detail!$B$2:$B$1025,"IMAGE_SSP1-26",Storage_Share_Detail!$C$2:$C$1025,$A30,Storage_Share_Detail!$D$2:$D$1025,2040),0)</f>
        <v>0</v>
      </c>
      <c r="E30" s="98">
        <f>IFERROR(AVERAGEIFS(Storage_Share_Detail!$G$2:$G$1025,Storage_Share_Detail!$A$2:$A$1025,"Init",Storage_Share_Detail!$B$2:$B$1025,"IMAGE_SSP1-26",Storage_Share_Detail!$C$2:$C$1025,$A30,Storage_Share_Detail!$D$2:$D$1025,2050),0)</f>
        <v>0</v>
      </c>
      <c r="F30" s="99">
        <f>IFERROR(AVERAGEIFS(Storage_Share_Detail!$K$2:$K$1025,Storage_Share_Detail!$A$2:$A$1025,"Init",Storage_Share_Detail!$B$2:$B$1025,"IMAGE_SSP1-26",Storage_Share_Detail!$C$2:$C$1025,$A30),0)</f>
        <v>0</v>
      </c>
      <c r="G30" s="98">
        <f>IFERROR(AVERAGEIFS(Storage_Share_Detail!$G$2:$G$1025,Storage_Share_Detail!$A$2:$A$1025,"Opti",Storage_Share_Detail!$B$2:$B$1025,"IMAGE_SSP1-26",Storage_Share_Detail!$C$2:$C$1025,$A30,Storage_Share_Detail!$D$2:$D$1025,2020),0)</f>
        <v>0</v>
      </c>
      <c r="H30" s="98">
        <f>IFERROR(AVERAGEIFS(Storage_Share_Detail!$G$2:$G$1025,Storage_Share_Detail!$A$2:$A$1025,"Opti",Storage_Share_Detail!$B$2:$B$1025,"IMAGE_SSP1-26",Storage_Share_Detail!$C$2:$C$1025,$A30,Storage_Share_Detail!$D$2:$D$1025,2030),0)</f>
        <v>0</v>
      </c>
      <c r="I30" s="98">
        <f>IFERROR(AVERAGEIFS(Storage_Share_Detail!$G$2:$G$1025,Storage_Share_Detail!$A$2:$A$1025,"Opti",Storage_Share_Detail!$B$2:$B$1025,"IMAGE_SSP1-26",Storage_Share_Detail!$C$2:$C$1025,$A30,Storage_Share_Detail!$D$2:$D$1025,2040),0)</f>
        <v>0</v>
      </c>
      <c r="J30" s="98">
        <f>IFERROR(AVERAGEIFS(Storage_Share_Detail!$G$2:$G$1025,Storage_Share_Detail!$A$2:$A$1025,"Opti",Storage_Share_Detail!$B$2:$B$1025,"IMAGE_SSP1-26",Storage_Share_Detail!$C$2:$C$1025,$A30,Storage_Share_Detail!$D$2:$D$1025,2050),0)</f>
        <v>0</v>
      </c>
      <c r="K30" s="99">
        <f>IFERROR(AVERAGEIFS(Storage_Share_Detail!$K$2:$K$1025,Storage_Share_Detail!$A$2:$A$1025,"Opti",Storage_Share_Detail!$B$2:$B$1025,"IMAGE_SSP1-26",Storage_Share_Detail!$C$2:$C$1025,$A30),0)</f>
        <v>0</v>
      </c>
      <c r="L30" s="98">
        <f>IFERROR(AVERAGEIFS(Storage_Share_Detail!$G$2:$G$1025,Storage_Share_Detail!$A$2:$A$1025,"Init",Storage_Share_Detail!$B$2:$B$1025,"MESSAGE-GLOBIOM_SSP2-26",Storage_Share_Detail!$C$2:$C$1025,$A30,Storage_Share_Detail!$D$2:$D$1025,2020),0)</f>
        <v>0</v>
      </c>
      <c r="M30" s="98">
        <f>IFERROR(AVERAGEIFS(Storage_Share_Detail!$G$2:$G$1025,Storage_Share_Detail!$A$2:$A$1025,"Init",Storage_Share_Detail!$B$2:$B$1025,"MESSAGE-GLOBIOM_SSP2-26",Storage_Share_Detail!$C$2:$C$1025,$A30,Storage_Share_Detail!$D$2:$D$1025,2030),0)</f>
        <v>0</v>
      </c>
      <c r="N30" s="98">
        <f>IFERROR(AVERAGEIFS(Storage_Share_Detail!$G$2:$G$1025,Storage_Share_Detail!$A$2:$A$1025,"Init",Storage_Share_Detail!$B$2:$B$1025,"MESSAGE-GLOBIOM_SSP2-26",Storage_Share_Detail!$C$2:$C$1025,$A30,Storage_Share_Detail!$D$2:$D$1025,2040),0)</f>
        <v>0</v>
      </c>
      <c r="O30" s="98">
        <f>IFERROR(AVERAGEIFS(Storage_Share_Detail!$G$2:$G$1025,Storage_Share_Detail!$A$2:$A$1025,"Init",Storage_Share_Detail!$B$2:$B$1025,"MESSAGE-GLOBIOM_SSP2-26",Storage_Share_Detail!$C$2:$C$1025,$A30,Storage_Share_Detail!$D$2:$D$1025,2050),0)</f>
        <v>0</v>
      </c>
      <c r="P30" s="99">
        <f>IFERROR(AVERAGEIFS(Storage_Share_Detail!$K$2:$K$1025,Storage_Share_Detail!$A$2:$A$1025,"Init",Storage_Share_Detail!$B$2:$B$1025,"MESSAGE-GLOBIOM_SSP2-26",Storage_Share_Detail!$C$2:$C$1025,$A30),0)</f>
        <v>0</v>
      </c>
      <c r="Q30" s="98">
        <f>IFERROR(AVERAGEIFS(Storage_Share_Detail!$G$2:$G$1025,Storage_Share_Detail!$A$2:$A$1025,"Opti",Storage_Share_Detail!$B$2:$B$1025,"MESSAGE-GLOBIOM_SSP2-26",Storage_Share_Detail!$C$2:$C$1025,$A30,Storage_Share_Detail!$D$2:$D$1025,2020),0)</f>
        <v>0</v>
      </c>
      <c r="R30" s="98">
        <f>IFERROR(AVERAGEIFS(Storage_Share_Detail!$G$2:$G$1025,Storage_Share_Detail!$A$2:$A$1025,"Opti",Storage_Share_Detail!$B$2:$B$1025,"MESSAGE-GLOBIOM_SSP2-26",Storage_Share_Detail!$C$2:$C$1025,$A30,Storage_Share_Detail!$D$2:$D$1025,2030),0)</f>
        <v>0</v>
      </c>
      <c r="S30" s="98">
        <f>IFERROR(AVERAGEIFS(Storage_Share_Detail!$G$2:$G$1025,Storage_Share_Detail!$A$2:$A$1025,"Opti",Storage_Share_Detail!$B$2:$B$1025,"MESSAGE-GLOBIOM_SSP2-26",Storage_Share_Detail!$C$2:$C$1025,$A30,Storage_Share_Detail!$D$2:$D$1025,2040),0)</f>
        <v>0</v>
      </c>
      <c r="T30" s="98">
        <f>IFERROR(AVERAGEIFS(Storage_Share_Detail!$G$2:$G$1025,Storage_Share_Detail!$A$2:$A$1025,"Opti",Storage_Share_Detail!$B$2:$B$1025,"MESSAGE-GLOBIOM_SSP2-26",Storage_Share_Detail!$C$2:$C$1025,$A30,Storage_Share_Detail!$D$2:$D$1025,2050),0)</f>
        <v>0</v>
      </c>
      <c r="U30" s="99">
        <f>IFERROR(AVERAGEIFS(Storage_Share_Detail!$K$2:$K$1025,Storage_Share_Detail!$A$2:$A$1025,"Opti",Storage_Share_Detail!$B$2:$B$1025,"MESSAGE-GLOBIOM_SSP2-26",Storage_Share_Detail!$C$2:$C$1025,$A30),0)</f>
        <v>0</v>
      </c>
      <c r="V30" s="98">
        <f>IFERROR(AVERAGEIFS(Storage_Share_Detail!$G$2:$G$1025,Storage_Share_Detail!$A$2:$A$1025,"Init",Storage_Share_Detail!$B$2:$B$1025,"GCAM4_SSP4-26",Storage_Share_Detail!$C$2:$C$1025,$A30,Storage_Share_Detail!$D$2:$D$1025,2020),0)</f>
        <v>0</v>
      </c>
      <c r="W30" s="98">
        <f>IFERROR(AVERAGEIFS(Storage_Share_Detail!$G$2:$G$1025,Storage_Share_Detail!$A$2:$A$1025,"Init",Storage_Share_Detail!$B$2:$B$1025,"GCAM4_SSP4-26",Storage_Share_Detail!$C$2:$C$1025,$A30,Storage_Share_Detail!$D$2:$D$1025,2030),0)</f>
        <v>0</v>
      </c>
      <c r="X30" s="98">
        <f>IFERROR(AVERAGEIFS(Storage_Share_Detail!$G$2:$G$1025,Storage_Share_Detail!$A$2:$A$1025,"Init",Storage_Share_Detail!$B$2:$B$1025,"GCAM4_SSP4-26",Storage_Share_Detail!$C$2:$C$1025,$A30,Storage_Share_Detail!$D$2:$D$1025,2040),0)</f>
        <v>0</v>
      </c>
      <c r="Y30" s="98">
        <f>IFERROR(AVERAGEIFS(Storage_Share_Detail!$G$2:$G$1025,Storage_Share_Detail!$A$2:$A$1025,"Init",Storage_Share_Detail!$B$2:$B$1025,"GCAM4_SSP4-26",Storage_Share_Detail!$C$2:$C$1025,$A30,Storage_Share_Detail!$D$2:$D$1025,2050),0)</f>
        <v>0</v>
      </c>
      <c r="Z30" s="99">
        <f>IFERROR(AVERAGEIFS(Storage_Share_Detail!$K$2:$K$1025,Storage_Share_Detail!$A$2:$A$1025,"Init",Storage_Share_Detail!$B$2:$B$1025,"GCAM4_SSP4-26",Storage_Share_Detail!$C$2:$C$1025,$A30),0)</f>
        <v>0</v>
      </c>
      <c r="AA30" s="98">
        <f>IFERROR(AVERAGEIFS(Storage_Share_Detail!$G$2:$G$1025,Storage_Share_Detail!$A$2:$A$1025,"Opti",Storage_Share_Detail!$B$2:$B$1025,"GCAM4_SSP4-26",Storage_Share_Detail!$C$2:$C$1025,$A30,Storage_Share_Detail!$D$2:$D$1025,2020),0)</f>
        <v>0</v>
      </c>
      <c r="AB30" s="98">
        <f>IFERROR(AVERAGEIFS(Storage_Share_Detail!$G$2:$G$1025,Storage_Share_Detail!$A$2:$A$1025,"Opti",Storage_Share_Detail!$B$2:$B$1025,"GCAM4_SSP4-26",Storage_Share_Detail!$C$2:$C$1025,$A30,Storage_Share_Detail!$D$2:$D$1025,2030),0)</f>
        <v>0</v>
      </c>
      <c r="AC30" s="98">
        <f>IFERROR(AVERAGEIFS(Storage_Share_Detail!$G$2:$G$1025,Storage_Share_Detail!$A$2:$A$1025,"Opti",Storage_Share_Detail!$B$2:$B$1025,"GCAM4_SSP4-26",Storage_Share_Detail!$C$2:$C$1025,$A30,Storage_Share_Detail!$D$2:$D$1025,2040),0)</f>
        <v>0</v>
      </c>
      <c r="AD30" s="98">
        <f>IFERROR(AVERAGEIFS(Storage_Share_Detail!$G$2:$G$1025,Storage_Share_Detail!$A$2:$A$1025,"Opti",Storage_Share_Detail!$B$2:$B$1025,"GCAM4_SSP4-26",Storage_Share_Detail!$C$2:$C$1025,$A30,Storage_Share_Detail!$D$2:$D$1025,2050),0)</f>
        <v>0</v>
      </c>
      <c r="AE30" s="99">
        <f>IFERROR(AVERAGEIFS(Storage_Share_Detail!$K$2:$K$1025,Storage_Share_Detail!$A$2:$A$1025,"Opti",Storage_Share_Detail!$B$2:$B$1025,"GCAM4_SSP4-26",Storage_Share_Detail!$C$2:$C$1025,$A30),0)</f>
        <v>0</v>
      </c>
      <c r="AF30" s="98">
        <f>IFERROR(AVERAGEIFS(Storage_Share_Detail!$G$2:$G$1025,Storage_Share_Detail!$A$2:$A$1025,"Init",Storage_Share_Detail!$B$2:$B$1025,"REMIND-MAGPIE_SSP5-26",Storage_Share_Detail!$C$2:$C$1025,$A30,Storage_Share_Detail!$D$2:$D$1025,2020),0)</f>
        <v>0</v>
      </c>
      <c r="AG30" s="98">
        <f>IFERROR(AVERAGEIFS(Storage_Share_Detail!$G$2:$G$1025,Storage_Share_Detail!$A$2:$A$1025,"Init",Storage_Share_Detail!$B$2:$B$1025,"REMIND-MAGPIE_SSP5-26",Storage_Share_Detail!$C$2:$C$1025,$A30,Storage_Share_Detail!$D$2:$D$1025,2030),0)</f>
        <v>0</v>
      </c>
      <c r="AH30" s="98">
        <f>IFERROR(AVERAGEIFS(Storage_Share_Detail!$G$2:$G$1025,Storage_Share_Detail!$A$2:$A$1025,"Init",Storage_Share_Detail!$B$2:$B$1025,"REMIND-MAGPIE_SSP5-26",Storage_Share_Detail!$C$2:$C$1025,$A30,Storage_Share_Detail!$D$2:$D$1025,2040),0)</f>
        <v>0</v>
      </c>
      <c r="AI30" s="98">
        <f>IFERROR(AVERAGEIFS(Storage_Share_Detail!$G$2:$G$1025,Storage_Share_Detail!$A$2:$A$1025,"Init",Storage_Share_Detail!$B$2:$B$1025,"REMIND-MAGPIE_SSP5-26",Storage_Share_Detail!$C$2:$C$1025,$A30,Storage_Share_Detail!$D$2:$D$1025,2050),0)</f>
        <v>0</v>
      </c>
      <c r="AJ30" s="99">
        <f>IFERROR(AVERAGEIFS(Storage_Share_Detail!$K$2:$K$1025,Storage_Share_Detail!$A$2:$A$1025,"Init",Storage_Share_Detail!$B$2:$B$1025,"REMIND-MAGPIE_SSP5-26",Storage_Share_Detail!$C$2:$C$1025,$A30),0)</f>
        <v>0</v>
      </c>
      <c r="AK30" s="98">
        <f>IFERROR(AVERAGEIFS(Storage_Share_Detail!$G$2:$G$1025,Storage_Share_Detail!$A$2:$A$1025,"Opti",Storage_Share_Detail!$B$2:$B$1025,"REMIND-MAGPIE_SSP5-26",Storage_Share_Detail!$C$2:$C$1025,$A30,Storage_Share_Detail!$D$2:$D$1025,2020),0)</f>
        <v>0</v>
      </c>
      <c r="AL30" s="98">
        <f>IFERROR(AVERAGEIFS(Storage_Share_Detail!$G$2:$G$1025,Storage_Share_Detail!$A$2:$A$1025,"Opti",Storage_Share_Detail!$B$2:$B$1025,"REMIND-MAGPIE_SSP5-26",Storage_Share_Detail!$C$2:$C$1025,$A30,Storage_Share_Detail!$D$2:$D$1025,2030),0)</f>
        <v>0</v>
      </c>
      <c r="AM30" s="98">
        <f>IFERROR(AVERAGEIFS(Storage_Share_Detail!$G$2:$G$1025,Storage_Share_Detail!$A$2:$A$1025,"Opti",Storage_Share_Detail!$B$2:$B$1025,"REMIND-MAGPIE_SSP5-26",Storage_Share_Detail!$C$2:$C$1025,$A30,Storage_Share_Detail!$D$2:$D$1025,2040),0)</f>
        <v>0</v>
      </c>
      <c r="AN30" s="98">
        <f>IFERROR(AVERAGEIFS(Storage_Share_Detail!$G$2:$G$1025,Storage_Share_Detail!$A$2:$A$1025,"Opti",Storage_Share_Detail!$B$2:$B$1025,"REMIND-MAGPIE_SSP5-26",Storage_Share_Detail!$C$2:$C$1025,$A30,Storage_Share_Detail!$D$2:$D$1025,2050),0)</f>
        <v>0</v>
      </c>
      <c r="AO30" s="99">
        <f>IFERROR(AVERAGEIFS(Storage_Share_Detail!$K$2:$K$1025,Storage_Share_Detail!$A$2:$A$1025,"Opti",Storage_Share_Detail!$B$2:$B$1025,"REMIND-MAGPIE_SSP5-26",Storage_Share_Detail!$C$2:$C$1025,$A30),0)</f>
        <v>0</v>
      </c>
    </row>
    <row r="31" spans="1:41" x14ac:dyDescent="0.2">
      <c r="A31" s="102" t="s">
        <v>70</v>
      </c>
      <c r="B31" s="98">
        <f>IFERROR(AVERAGEIFS(Storage_Share_Detail!$G$2:$G$1025,Storage_Share_Detail!$A$2:$A$1025,"Init",Storage_Share_Detail!$B$2:$B$1025,"IMAGE_SSP1-26",Storage_Share_Detail!$C$2:$C$1025,$A31,Storage_Share_Detail!$D$2:$D$1025,2020),0)</f>
        <v>0</v>
      </c>
      <c r="C31" s="98">
        <f>IFERROR(AVERAGEIFS(Storage_Share_Detail!$G$2:$G$1025,Storage_Share_Detail!$A$2:$A$1025,"Init",Storage_Share_Detail!$B$2:$B$1025,"IMAGE_SSP1-26",Storage_Share_Detail!$C$2:$C$1025,$A31,Storage_Share_Detail!$D$2:$D$1025,2030),0)</f>
        <v>0</v>
      </c>
      <c r="D31" s="98">
        <f>IFERROR(AVERAGEIFS(Storage_Share_Detail!$G$2:$G$1025,Storage_Share_Detail!$A$2:$A$1025,"Init",Storage_Share_Detail!$B$2:$B$1025,"IMAGE_SSP1-26",Storage_Share_Detail!$C$2:$C$1025,$A31,Storage_Share_Detail!$D$2:$D$1025,2040),0)</f>
        <v>0</v>
      </c>
      <c r="E31" s="98">
        <f>IFERROR(AVERAGEIFS(Storage_Share_Detail!$G$2:$G$1025,Storage_Share_Detail!$A$2:$A$1025,"Init",Storage_Share_Detail!$B$2:$B$1025,"IMAGE_SSP1-26",Storage_Share_Detail!$C$2:$C$1025,$A31,Storage_Share_Detail!$D$2:$D$1025,2050),0)</f>
        <v>0</v>
      </c>
      <c r="F31" s="99">
        <f>IFERROR(AVERAGEIFS(Storage_Share_Detail!$K$2:$K$1025,Storage_Share_Detail!$A$2:$A$1025,"Init",Storage_Share_Detail!$B$2:$B$1025,"IMAGE_SSP1-26",Storage_Share_Detail!$C$2:$C$1025,$A31),0)</f>
        <v>0</v>
      </c>
      <c r="G31" s="98">
        <f>IFERROR(AVERAGEIFS(Storage_Share_Detail!$G$2:$G$1025,Storage_Share_Detail!$A$2:$A$1025,"Opti",Storage_Share_Detail!$B$2:$B$1025,"IMAGE_SSP1-26",Storage_Share_Detail!$C$2:$C$1025,$A31,Storage_Share_Detail!$D$2:$D$1025,2020),0)</f>
        <v>0</v>
      </c>
      <c r="H31" s="98">
        <f>IFERROR(AVERAGEIFS(Storage_Share_Detail!$G$2:$G$1025,Storage_Share_Detail!$A$2:$A$1025,"Opti",Storage_Share_Detail!$B$2:$B$1025,"IMAGE_SSP1-26",Storage_Share_Detail!$C$2:$C$1025,$A31,Storage_Share_Detail!$D$2:$D$1025,2030),0)</f>
        <v>0</v>
      </c>
      <c r="I31" s="98">
        <f>IFERROR(AVERAGEIFS(Storage_Share_Detail!$G$2:$G$1025,Storage_Share_Detail!$A$2:$A$1025,"Opti",Storage_Share_Detail!$B$2:$B$1025,"IMAGE_SSP1-26",Storage_Share_Detail!$C$2:$C$1025,$A31,Storage_Share_Detail!$D$2:$D$1025,2040),0)</f>
        <v>0</v>
      </c>
      <c r="J31" s="98">
        <f>IFERROR(AVERAGEIFS(Storage_Share_Detail!$G$2:$G$1025,Storage_Share_Detail!$A$2:$A$1025,"Opti",Storage_Share_Detail!$B$2:$B$1025,"IMAGE_SSP1-26",Storage_Share_Detail!$C$2:$C$1025,$A31,Storage_Share_Detail!$D$2:$D$1025,2050),0)</f>
        <v>0</v>
      </c>
      <c r="K31" s="99">
        <f>IFERROR(AVERAGEIFS(Storage_Share_Detail!$K$2:$K$1025,Storage_Share_Detail!$A$2:$A$1025,"Opti",Storage_Share_Detail!$B$2:$B$1025,"IMAGE_SSP1-26",Storage_Share_Detail!$C$2:$C$1025,$A31),0)</f>
        <v>0</v>
      </c>
      <c r="L31" s="98">
        <f>IFERROR(AVERAGEIFS(Storage_Share_Detail!$G$2:$G$1025,Storage_Share_Detail!$A$2:$A$1025,"Init",Storage_Share_Detail!$B$2:$B$1025,"MESSAGE-GLOBIOM_SSP2-26",Storage_Share_Detail!$C$2:$C$1025,$A31,Storage_Share_Detail!$D$2:$D$1025,2020),0)</f>
        <v>0</v>
      </c>
      <c r="M31" s="98">
        <f>IFERROR(AVERAGEIFS(Storage_Share_Detail!$G$2:$G$1025,Storage_Share_Detail!$A$2:$A$1025,"Init",Storage_Share_Detail!$B$2:$B$1025,"MESSAGE-GLOBIOM_SSP2-26",Storage_Share_Detail!$C$2:$C$1025,$A31,Storage_Share_Detail!$D$2:$D$1025,2030),0)</f>
        <v>0</v>
      </c>
      <c r="N31" s="98">
        <f>IFERROR(AVERAGEIFS(Storage_Share_Detail!$G$2:$G$1025,Storage_Share_Detail!$A$2:$A$1025,"Init",Storage_Share_Detail!$B$2:$B$1025,"MESSAGE-GLOBIOM_SSP2-26",Storage_Share_Detail!$C$2:$C$1025,$A31,Storage_Share_Detail!$D$2:$D$1025,2040),0)</f>
        <v>0</v>
      </c>
      <c r="O31" s="98">
        <f>IFERROR(AVERAGEIFS(Storage_Share_Detail!$G$2:$G$1025,Storage_Share_Detail!$A$2:$A$1025,"Init",Storage_Share_Detail!$B$2:$B$1025,"MESSAGE-GLOBIOM_SSP2-26",Storage_Share_Detail!$C$2:$C$1025,$A31,Storage_Share_Detail!$D$2:$D$1025,2050),0)</f>
        <v>0</v>
      </c>
      <c r="P31" s="99">
        <f>IFERROR(AVERAGEIFS(Storage_Share_Detail!$K$2:$K$1025,Storage_Share_Detail!$A$2:$A$1025,"Init",Storage_Share_Detail!$B$2:$B$1025,"MESSAGE-GLOBIOM_SSP2-26",Storage_Share_Detail!$C$2:$C$1025,$A31),0)</f>
        <v>0</v>
      </c>
      <c r="Q31" s="98">
        <f>IFERROR(AVERAGEIFS(Storage_Share_Detail!$G$2:$G$1025,Storage_Share_Detail!$A$2:$A$1025,"Opti",Storage_Share_Detail!$B$2:$B$1025,"MESSAGE-GLOBIOM_SSP2-26",Storage_Share_Detail!$C$2:$C$1025,$A31,Storage_Share_Detail!$D$2:$D$1025,2020),0)</f>
        <v>0</v>
      </c>
      <c r="R31" s="98">
        <f>IFERROR(AVERAGEIFS(Storage_Share_Detail!$G$2:$G$1025,Storage_Share_Detail!$A$2:$A$1025,"Opti",Storage_Share_Detail!$B$2:$B$1025,"MESSAGE-GLOBIOM_SSP2-26",Storage_Share_Detail!$C$2:$C$1025,$A31,Storage_Share_Detail!$D$2:$D$1025,2030),0)</f>
        <v>0</v>
      </c>
      <c r="S31" s="98">
        <f>IFERROR(AVERAGEIFS(Storage_Share_Detail!$G$2:$G$1025,Storage_Share_Detail!$A$2:$A$1025,"Opti",Storage_Share_Detail!$B$2:$B$1025,"MESSAGE-GLOBIOM_SSP2-26",Storage_Share_Detail!$C$2:$C$1025,$A31,Storage_Share_Detail!$D$2:$D$1025,2040),0)</f>
        <v>0</v>
      </c>
      <c r="T31" s="98">
        <f>IFERROR(AVERAGEIFS(Storage_Share_Detail!$G$2:$G$1025,Storage_Share_Detail!$A$2:$A$1025,"Opti",Storage_Share_Detail!$B$2:$B$1025,"MESSAGE-GLOBIOM_SSP2-26",Storage_Share_Detail!$C$2:$C$1025,$A31,Storage_Share_Detail!$D$2:$D$1025,2050),0)</f>
        <v>0</v>
      </c>
      <c r="U31" s="99">
        <f>IFERROR(AVERAGEIFS(Storage_Share_Detail!$K$2:$K$1025,Storage_Share_Detail!$A$2:$A$1025,"Opti",Storage_Share_Detail!$B$2:$B$1025,"MESSAGE-GLOBIOM_SSP2-26",Storage_Share_Detail!$C$2:$C$1025,$A31),0)</f>
        <v>0</v>
      </c>
      <c r="V31" s="98">
        <f>IFERROR(AVERAGEIFS(Storage_Share_Detail!$G$2:$G$1025,Storage_Share_Detail!$A$2:$A$1025,"Init",Storage_Share_Detail!$B$2:$B$1025,"GCAM4_SSP4-26",Storage_Share_Detail!$C$2:$C$1025,$A31,Storage_Share_Detail!$D$2:$D$1025,2020),0)</f>
        <v>0</v>
      </c>
      <c r="W31" s="98">
        <f>IFERROR(AVERAGEIFS(Storage_Share_Detail!$G$2:$G$1025,Storage_Share_Detail!$A$2:$A$1025,"Init",Storage_Share_Detail!$B$2:$B$1025,"GCAM4_SSP4-26",Storage_Share_Detail!$C$2:$C$1025,$A31,Storage_Share_Detail!$D$2:$D$1025,2030),0)</f>
        <v>0</v>
      </c>
      <c r="X31" s="98">
        <f>IFERROR(AVERAGEIFS(Storage_Share_Detail!$G$2:$G$1025,Storage_Share_Detail!$A$2:$A$1025,"Init",Storage_Share_Detail!$B$2:$B$1025,"GCAM4_SSP4-26",Storage_Share_Detail!$C$2:$C$1025,$A31,Storage_Share_Detail!$D$2:$D$1025,2040),0)</f>
        <v>0</v>
      </c>
      <c r="Y31" s="98">
        <f>IFERROR(AVERAGEIFS(Storage_Share_Detail!$G$2:$G$1025,Storage_Share_Detail!$A$2:$A$1025,"Init",Storage_Share_Detail!$B$2:$B$1025,"GCAM4_SSP4-26",Storage_Share_Detail!$C$2:$C$1025,$A31,Storage_Share_Detail!$D$2:$D$1025,2050),0)</f>
        <v>0</v>
      </c>
      <c r="Z31" s="99">
        <f>IFERROR(AVERAGEIFS(Storage_Share_Detail!$K$2:$K$1025,Storage_Share_Detail!$A$2:$A$1025,"Init",Storage_Share_Detail!$B$2:$B$1025,"GCAM4_SSP4-26",Storage_Share_Detail!$C$2:$C$1025,$A31),0)</f>
        <v>0</v>
      </c>
      <c r="AA31" s="98">
        <f>IFERROR(AVERAGEIFS(Storage_Share_Detail!$G$2:$G$1025,Storage_Share_Detail!$A$2:$A$1025,"Opti",Storage_Share_Detail!$B$2:$B$1025,"GCAM4_SSP4-26",Storage_Share_Detail!$C$2:$C$1025,$A31,Storage_Share_Detail!$D$2:$D$1025,2020),0)</f>
        <v>0</v>
      </c>
      <c r="AB31" s="98">
        <f>IFERROR(AVERAGEIFS(Storage_Share_Detail!$G$2:$G$1025,Storage_Share_Detail!$A$2:$A$1025,"Opti",Storage_Share_Detail!$B$2:$B$1025,"GCAM4_SSP4-26",Storage_Share_Detail!$C$2:$C$1025,$A31,Storage_Share_Detail!$D$2:$D$1025,2030),0)</f>
        <v>0</v>
      </c>
      <c r="AC31" s="98">
        <f>IFERROR(AVERAGEIFS(Storage_Share_Detail!$G$2:$G$1025,Storage_Share_Detail!$A$2:$A$1025,"Opti",Storage_Share_Detail!$B$2:$B$1025,"GCAM4_SSP4-26",Storage_Share_Detail!$C$2:$C$1025,$A31,Storage_Share_Detail!$D$2:$D$1025,2040),0)</f>
        <v>0</v>
      </c>
      <c r="AD31" s="98">
        <f>IFERROR(AVERAGEIFS(Storage_Share_Detail!$G$2:$G$1025,Storage_Share_Detail!$A$2:$A$1025,"Opti",Storage_Share_Detail!$B$2:$B$1025,"GCAM4_SSP4-26",Storage_Share_Detail!$C$2:$C$1025,$A31,Storage_Share_Detail!$D$2:$D$1025,2050),0)</f>
        <v>0</v>
      </c>
      <c r="AE31" s="99">
        <f>IFERROR(AVERAGEIFS(Storage_Share_Detail!$K$2:$K$1025,Storage_Share_Detail!$A$2:$A$1025,"Opti",Storage_Share_Detail!$B$2:$B$1025,"GCAM4_SSP4-26",Storage_Share_Detail!$C$2:$C$1025,$A31),0)</f>
        <v>0</v>
      </c>
      <c r="AF31" s="98">
        <f>IFERROR(AVERAGEIFS(Storage_Share_Detail!$G$2:$G$1025,Storage_Share_Detail!$A$2:$A$1025,"Init",Storage_Share_Detail!$B$2:$B$1025,"REMIND-MAGPIE_SSP5-26",Storage_Share_Detail!$C$2:$C$1025,$A31,Storage_Share_Detail!$D$2:$D$1025,2020),0)</f>
        <v>0</v>
      </c>
      <c r="AG31" s="98">
        <f>IFERROR(AVERAGEIFS(Storage_Share_Detail!$G$2:$G$1025,Storage_Share_Detail!$A$2:$A$1025,"Init",Storage_Share_Detail!$B$2:$B$1025,"REMIND-MAGPIE_SSP5-26",Storage_Share_Detail!$C$2:$C$1025,$A31,Storage_Share_Detail!$D$2:$D$1025,2030),0)</f>
        <v>0</v>
      </c>
      <c r="AH31" s="98">
        <f>IFERROR(AVERAGEIFS(Storage_Share_Detail!$G$2:$G$1025,Storage_Share_Detail!$A$2:$A$1025,"Init",Storage_Share_Detail!$B$2:$B$1025,"REMIND-MAGPIE_SSP5-26",Storage_Share_Detail!$C$2:$C$1025,$A31,Storage_Share_Detail!$D$2:$D$1025,2040),0)</f>
        <v>0</v>
      </c>
      <c r="AI31" s="98">
        <f>IFERROR(AVERAGEIFS(Storage_Share_Detail!$G$2:$G$1025,Storage_Share_Detail!$A$2:$A$1025,"Init",Storage_Share_Detail!$B$2:$B$1025,"REMIND-MAGPIE_SSP5-26",Storage_Share_Detail!$C$2:$C$1025,$A31,Storage_Share_Detail!$D$2:$D$1025,2050),0)</f>
        <v>0</v>
      </c>
      <c r="AJ31" s="99">
        <f>IFERROR(AVERAGEIFS(Storage_Share_Detail!$K$2:$K$1025,Storage_Share_Detail!$A$2:$A$1025,"Init",Storage_Share_Detail!$B$2:$B$1025,"REMIND-MAGPIE_SSP5-26",Storage_Share_Detail!$C$2:$C$1025,$A31),0)</f>
        <v>0</v>
      </c>
      <c r="AK31" s="98">
        <f>IFERROR(AVERAGEIFS(Storage_Share_Detail!$G$2:$G$1025,Storage_Share_Detail!$A$2:$A$1025,"Opti",Storage_Share_Detail!$B$2:$B$1025,"REMIND-MAGPIE_SSP5-26",Storage_Share_Detail!$C$2:$C$1025,$A31,Storage_Share_Detail!$D$2:$D$1025,2020),0)</f>
        <v>0</v>
      </c>
      <c r="AL31" s="98">
        <f>IFERROR(AVERAGEIFS(Storage_Share_Detail!$G$2:$G$1025,Storage_Share_Detail!$A$2:$A$1025,"Opti",Storage_Share_Detail!$B$2:$B$1025,"REMIND-MAGPIE_SSP5-26",Storage_Share_Detail!$C$2:$C$1025,$A31,Storage_Share_Detail!$D$2:$D$1025,2030),0)</f>
        <v>0</v>
      </c>
      <c r="AM31" s="98">
        <f>IFERROR(AVERAGEIFS(Storage_Share_Detail!$G$2:$G$1025,Storage_Share_Detail!$A$2:$A$1025,"Opti",Storage_Share_Detail!$B$2:$B$1025,"REMIND-MAGPIE_SSP5-26",Storage_Share_Detail!$C$2:$C$1025,$A31,Storage_Share_Detail!$D$2:$D$1025,2040),0)</f>
        <v>0</v>
      </c>
      <c r="AN31" s="98">
        <f>IFERROR(AVERAGEIFS(Storage_Share_Detail!$G$2:$G$1025,Storage_Share_Detail!$A$2:$A$1025,"Opti",Storage_Share_Detail!$B$2:$B$1025,"REMIND-MAGPIE_SSP5-26",Storage_Share_Detail!$C$2:$C$1025,$A31,Storage_Share_Detail!$D$2:$D$1025,2050),0)</f>
        <v>0</v>
      </c>
      <c r="AO31" s="99">
        <f>IFERROR(AVERAGEIFS(Storage_Share_Detail!$K$2:$K$1025,Storage_Share_Detail!$A$2:$A$1025,"Opti",Storage_Share_Detail!$B$2:$B$1025,"REMIND-MAGPIE_SSP5-26",Storage_Share_Detail!$C$2:$C$1025,$A31),0)</f>
        <v>0</v>
      </c>
    </row>
    <row r="32" spans="1:41" x14ac:dyDescent="0.2">
      <c r="A32" s="102" t="s">
        <v>71</v>
      </c>
      <c r="B32" s="98">
        <f>IFERROR(AVERAGEIFS(Storage_Share_Detail!$G$2:$G$1025,Storage_Share_Detail!$A$2:$A$1025,"Init",Storage_Share_Detail!$B$2:$B$1025,"IMAGE_SSP1-26",Storage_Share_Detail!$C$2:$C$1025,$A32,Storage_Share_Detail!$D$2:$D$1025,2020),0)</f>
        <v>0</v>
      </c>
      <c r="C32" s="98">
        <f>IFERROR(AVERAGEIFS(Storage_Share_Detail!$G$2:$G$1025,Storage_Share_Detail!$A$2:$A$1025,"Init",Storage_Share_Detail!$B$2:$B$1025,"IMAGE_SSP1-26",Storage_Share_Detail!$C$2:$C$1025,$A32,Storage_Share_Detail!$D$2:$D$1025,2030),0)</f>
        <v>0</v>
      </c>
      <c r="D32" s="98">
        <f>IFERROR(AVERAGEIFS(Storage_Share_Detail!$G$2:$G$1025,Storage_Share_Detail!$A$2:$A$1025,"Init",Storage_Share_Detail!$B$2:$B$1025,"IMAGE_SSP1-26",Storage_Share_Detail!$C$2:$C$1025,$A32,Storage_Share_Detail!$D$2:$D$1025,2040),0)</f>
        <v>0</v>
      </c>
      <c r="E32" s="98">
        <f>IFERROR(AVERAGEIFS(Storage_Share_Detail!$G$2:$G$1025,Storage_Share_Detail!$A$2:$A$1025,"Init",Storage_Share_Detail!$B$2:$B$1025,"IMAGE_SSP1-26",Storage_Share_Detail!$C$2:$C$1025,$A32,Storage_Share_Detail!$D$2:$D$1025,2050),0)</f>
        <v>0</v>
      </c>
      <c r="F32" s="99">
        <f>IFERROR(AVERAGEIFS(Storage_Share_Detail!$K$2:$K$1025,Storage_Share_Detail!$A$2:$A$1025,"Init",Storage_Share_Detail!$B$2:$B$1025,"IMAGE_SSP1-26",Storage_Share_Detail!$C$2:$C$1025,$A32),0)</f>
        <v>0</v>
      </c>
      <c r="G32" s="98">
        <f>IFERROR(AVERAGEIFS(Storage_Share_Detail!$G$2:$G$1025,Storage_Share_Detail!$A$2:$A$1025,"Opti",Storage_Share_Detail!$B$2:$B$1025,"IMAGE_SSP1-26",Storage_Share_Detail!$C$2:$C$1025,$A32,Storage_Share_Detail!$D$2:$D$1025,2020),0)</f>
        <v>0</v>
      </c>
      <c r="H32" s="98">
        <f>IFERROR(AVERAGEIFS(Storage_Share_Detail!$G$2:$G$1025,Storage_Share_Detail!$A$2:$A$1025,"Opti",Storage_Share_Detail!$B$2:$B$1025,"IMAGE_SSP1-26",Storage_Share_Detail!$C$2:$C$1025,$A32,Storage_Share_Detail!$D$2:$D$1025,2030),0)</f>
        <v>0</v>
      </c>
      <c r="I32" s="98">
        <f>IFERROR(AVERAGEIFS(Storage_Share_Detail!$G$2:$G$1025,Storage_Share_Detail!$A$2:$A$1025,"Opti",Storage_Share_Detail!$B$2:$B$1025,"IMAGE_SSP1-26",Storage_Share_Detail!$C$2:$C$1025,$A32,Storage_Share_Detail!$D$2:$D$1025,2040),0)</f>
        <v>0</v>
      </c>
      <c r="J32" s="98">
        <f>IFERROR(AVERAGEIFS(Storage_Share_Detail!$G$2:$G$1025,Storage_Share_Detail!$A$2:$A$1025,"Opti",Storage_Share_Detail!$B$2:$B$1025,"IMAGE_SSP1-26",Storage_Share_Detail!$C$2:$C$1025,$A32,Storage_Share_Detail!$D$2:$D$1025,2050),0)</f>
        <v>0</v>
      </c>
      <c r="K32" s="99">
        <f>IFERROR(AVERAGEIFS(Storage_Share_Detail!$K$2:$K$1025,Storage_Share_Detail!$A$2:$A$1025,"Opti",Storage_Share_Detail!$B$2:$B$1025,"IMAGE_SSP1-26",Storage_Share_Detail!$C$2:$C$1025,$A32),0)</f>
        <v>0</v>
      </c>
      <c r="L32" s="98">
        <f>IFERROR(AVERAGEIFS(Storage_Share_Detail!$G$2:$G$1025,Storage_Share_Detail!$A$2:$A$1025,"Init",Storage_Share_Detail!$B$2:$B$1025,"MESSAGE-GLOBIOM_SSP2-26",Storage_Share_Detail!$C$2:$C$1025,$A32,Storage_Share_Detail!$D$2:$D$1025,2020),0)</f>
        <v>0</v>
      </c>
      <c r="M32" s="98">
        <f>IFERROR(AVERAGEIFS(Storage_Share_Detail!$G$2:$G$1025,Storage_Share_Detail!$A$2:$A$1025,"Init",Storage_Share_Detail!$B$2:$B$1025,"MESSAGE-GLOBIOM_SSP2-26",Storage_Share_Detail!$C$2:$C$1025,$A32,Storage_Share_Detail!$D$2:$D$1025,2030),0)</f>
        <v>0</v>
      </c>
      <c r="N32" s="98">
        <f>IFERROR(AVERAGEIFS(Storage_Share_Detail!$G$2:$G$1025,Storage_Share_Detail!$A$2:$A$1025,"Init",Storage_Share_Detail!$B$2:$B$1025,"MESSAGE-GLOBIOM_SSP2-26",Storage_Share_Detail!$C$2:$C$1025,$A32,Storage_Share_Detail!$D$2:$D$1025,2040),0)</f>
        <v>0</v>
      </c>
      <c r="O32" s="98">
        <f>IFERROR(AVERAGEIFS(Storage_Share_Detail!$G$2:$G$1025,Storage_Share_Detail!$A$2:$A$1025,"Init",Storage_Share_Detail!$B$2:$B$1025,"MESSAGE-GLOBIOM_SSP2-26",Storage_Share_Detail!$C$2:$C$1025,$A32,Storage_Share_Detail!$D$2:$D$1025,2050),0)</f>
        <v>0</v>
      </c>
      <c r="P32" s="99">
        <f>IFERROR(AVERAGEIFS(Storage_Share_Detail!$K$2:$K$1025,Storage_Share_Detail!$A$2:$A$1025,"Init",Storage_Share_Detail!$B$2:$B$1025,"MESSAGE-GLOBIOM_SSP2-26",Storage_Share_Detail!$C$2:$C$1025,$A32),0)</f>
        <v>0</v>
      </c>
      <c r="Q32" s="98">
        <f>IFERROR(AVERAGEIFS(Storage_Share_Detail!$G$2:$G$1025,Storage_Share_Detail!$A$2:$A$1025,"Opti",Storage_Share_Detail!$B$2:$B$1025,"MESSAGE-GLOBIOM_SSP2-26",Storage_Share_Detail!$C$2:$C$1025,$A32,Storage_Share_Detail!$D$2:$D$1025,2020),0)</f>
        <v>0</v>
      </c>
      <c r="R32" s="98">
        <f>IFERROR(AVERAGEIFS(Storage_Share_Detail!$G$2:$G$1025,Storage_Share_Detail!$A$2:$A$1025,"Opti",Storage_Share_Detail!$B$2:$B$1025,"MESSAGE-GLOBIOM_SSP2-26",Storage_Share_Detail!$C$2:$C$1025,$A32,Storage_Share_Detail!$D$2:$D$1025,2030),0)</f>
        <v>0</v>
      </c>
      <c r="S32" s="98">
        <f>IFERROR(AVERAGEIFS(Storage_Share_Detail!$G$2:$G$1025,Storage_Share_Detail!$A$2:$A$1025,"Opti",Storage_Share_Detail!$B$2:$B$1025,"MESSAGE-GLOBIOM_SSP2-26",Storage_Share_Detail!$C$2:$C$1025,$A32,Storage_Share_Detail!$D$2:$D$1025,2040),0)</f>
        <v>0</v>
      </c>
      <c r="T32" s="98">
        <f>IFERROR(AVERAGEIFS(Storage_Share_Detail!$G$2:$G$1025,Storage_Share_Detail!$A$2:$A$1025,"Opti",Storage_Share_Detail!$B$2:$B$1025,"MESSAGE-GLOBIOM_SSP2-26",Storage_Share_Detail!$C$2:$C$1025,$A32,Storage_Share_Detail!$D$2:$D$1025,2050),0)</f>
        <v>0</v>
      </c>
      <c r="U32" s="99">
        <f>IFERROR(AVERAGEIFS(Storage_Share_Detail!$K$2:$K$1025,Storage_Share_Detail!$A$2:$A$1025,"Opti",Storage_Share_Detail!$B$2:$B$1025,"MESSAGE-GLOBIOM_SSP2-26",Storage_Share_Detail!$C$2:$C$1025,$A32),0)</f>
        <v>0</v>
      </c>
      <c r="V32" s="98">
        <f>IFERROR(AVERAGEIFS(Storage_Share_Detail!$G$2:$G$1025,Storage_Share_Detail!$A$2:$A$1025,"Init",Storage_Share_Detail!$B$2:$B$1025,"GCAM4_SSP4-26",Storage_Share_Detail!$C$2:$C$1025,$A32,Storage_Share_Detail!$D$2:$D$1025,2020),0)</f>
        <v>0</v>
      </c>
      <c r="W32" s="98">
        <f>IFERROR(AVERAGEIFS(Storage_Share_Detail!$G$2:$G$1025,Storage_Share_Detail!$A$2:$A$1025,"Init",Storage_Share_Detail!$B$2:$B$1025,"GCAM4_SSP4-26",Storage_Share_Detail!$C$2:$C$1025,$A32,Storage_Share_Detail!$D$2:$D$1025,2030),0)</f>
        <v>0</v>
      </c>
      <c r="X32" s="98">
        <f>IFERROR(AVERAGEIFS(Storage_Share_Detail!$G$2:$G$1025,Storage_Share_Detail!$A$2:$A$1025,"Init",Storage_Share_Detail!$B$2:$B$1025,"GCAM4_SSP4-26",Storage_Share_Detail!$C$2:$C$1025,$A32,Storage_Share_Detail!$D$2:$D$1025,2040),0)</f>
        <v>0</v>
      </c>
      <c r="Y32" s="98">
        <f>IFERROR(AVERAGEIFS(Storage_Share_Detail!$G$2:$G$1025,Storage_Share_Detail!$A$2:$A$1025,"Init",Storage_Share_Detail!$B$2:$B$1025,"GCAM4_SSP4-26",Storage_Share_Detail!$C$2:$C$1025,$A32,Storage_Share_Detail!$D$2:$D$1025,2050),0)</f>
        <v>0</v>
      </c>
      <c r="Z32" s="99">
        <f>IFERROR(AVERAGEIFS(Storage_Share_Detail!$K$2:$K$1025,Storage_Share_Detail!$A$2:$A$1025,"Init",Storage_Share_Detail!$B$2:$B$1025,"GCAM4_SSP4-26",Storage_Share_Detail!$C$2:$C$1025,$A32),0)</f>
        <v>0</v>
      </c>
      <c r="AA32" s="98">
        <f>IFERROR(AVERAGEIFS(Storage_Share_Detail!$G$2:$G$1025,Storage_Share_Detail!$A$2:$A$1025,"Opti",Storage_Share_Detail!$B$2:$B$1025,"GCAM4_SSP4-26",Storage_Share_Detail!$C$2:$C$1025,$A32,Storage_Share_Detail!$D$2:$D$1025,2020),0)</f>
        <v>0</v>
      </c>
      <c r="AB32" s="98">
        <f>IFERROR(AVERAGEIFS(Storage_Share_Detail!$G$2:$G$1025,Storage_Share_Detail!$A$2:$A$1025,"Opti",Storage_Share_Detail!$B$2:$B$1025,"GCAM4_SSP4-26",Storage_Share_Detail!$C$2:$C$1025,$A32,Storage_Share_Detail!$D$2:$D$1025,2030),0)</f>
        <v>0</v>
      </c>
      <c r="AC32" s="98">
        <f>IFERROR(AVERAGEIFS(Storage_Share_Detail!$G$2:$G$1025,Storage_Share_Detail!$A$2:$A$1025,"Opti",Storage_Share_Detail!$B$2:$B$1025,"GCAM4_SSP4-26",Storage_Share_Detail!$C$2:$C$1025,$A32,Storage_Share_Detail!$D$2:$D$1025,2040),0)</f>
        <v>0</v>
      </c>
      <c r="AD32" s="98">
        <f>IFERROR(AVERAGEIFS(Storage_Share_Detail!$G$2:$G$1025,Storage_Share_Detail!$A$2:$A$1025,"Opti",Storage_Share_Detail!$B$2:$B$1025,"GCAM4_SSP4-26",Storage_Share_Detail!$C$2:$C$1025,$A32,Storage_Share_Detail!$D$2:$D$1025,2050),0)</f>
        <v>0</v>
      </c>
      <c r="AE32" s="99">
        <f>IFERROR(AVERAGEIFS(Storage_Share_Detail!$K$2:$K$1025,Storage_Share_Detail!$A$2:$A$1025,"Opti",Storage_Share_Detail!$B$2:$B$1025,"GCAM4_SSP4-26",Storage_Share_Detail!$C$2:$C$1025,$A32),0)</f>
        <v>0</v>
      </c>
      <c r="AF32" s="98">
        <f>IFERROR(AVERAGEIFS(Storage_Share_Detail!$G$2:$G$1025,Storage_Share_Detail!$A$2:$A$1025,"Init",Storage_Share_Detail!$B$2:$B$1025,"REMIND-MAGPIE_SSP5-26",Storage_Share_Detail!$C$2:$C$1025,$A32,Storage_Share_Detail!$D$2:$D$1025,2020),0)</f>
        <v>0</v>
      </c>
      <c r="AG32" s="98">
        <f>IFERROR(AVERAGEIFS(Storage_Share_Detail!$G$2:$G$1025,Storage_Share_Detail!$A$2:$A$1025,"Init",Storage_Share_Detail!$B$2:$B$1025,"REMIND-MAGPIE_SSP5-26",Storage_Share_Detail!$C$2:$C$1025,$A32,Storage_Share_Detail!$D$2:$D$1025,2030),0)</f>
        <v>0</v>
      </c>
      <c r="AH32" s="98">
        <f>IFERROR(AVERAGEIFS(Storage_Share_Detail!$G$2:$G$1025,Storage_Share_Detail!$A$2:$A$1025,"Init",Storage_Share_Detail!$B$2:$B$1025,"REMIND-MAGPIE_SSP5-26",Storage_Share_Detail!$C$2:$C$1025,$A32,Storage_Share_Detail!$D$2:$D$1025,2040),0)</f>
        <v>0</v>
      </c>
      <c r="AI32" s="98">
        <f>IFERROR(AVERAGEIFS(Storage_Share_Detail!$G$2:$G$1025,Storage_Share_Detail!$A$2:$A$1025,"Init",Storage_Share_Detail!$B$2:$B$1025,"REMIND-MAGPIE_SSP5-26",Storage_Share_Detail!$C$2:$C$1025,$A32,Storage_Share_Detail!$D$2:$D$1025,2050),0)</f>
        <v>0</v>
      </c>
      <c r="AJ32" s="99">
        <f>IFERROR(AVERAGEIFS(Storage_Share_Detail!$K$2:$K$1025,Storage_Share_Detail!$A$2:$A$1025,"Init",Storage_Share_Detail!$B$2:$B$1025,"REMIND-MAGPIE_SSP5-26",Storage_Share_Detail!$C$2:$C$1025,$A32),0)</f>
        <v>0</v>
      </c>
      <c r="AK32" s="98">
        <f>IFERROR(AVERAGEIFS(Storage_Share_Detail!$G$2:$G$1025,Storage_Share_Detail!$A$2:$A$1025,"Opti",Storage_Share_Detail!$B$2:$B$1025,"REMIND-MAGPIE_SSP5-26",Storage_Share_Detail!$C$2:$C$1025,$A32,Storage_Share_Detail!$D$2:$D$1025,2020),0)</f>
        <v>0</v>
      </c>
      <c r="AL32" s="98">
        <f>IFERROR(AVERAGEIFS(Storage_Share_Detail!$G$2:$G$1025,Storage_Share_Detail!$A$2:$A$1025,"Opti",Storage_Share_Detail!$B$2:$B$1025,"REMIND-MAGPIE_SSP5-26",Storage_Share_Detail!$C$2:$C$1025,$A32,Storage_Share_Detail!$D$2:$D$1025,2030),0)</f>
        <v>0</v>
      </c>
      <c r="AM32" s="98">
        <f>IFERROR(AVERAGEIFS(Storage_Share_Detail!$G$2:$G$1025,Storage_Share_Detail!$A$2:$A$1025,"Opti",Storage_Share_Detail!$B$2:$B$1025,"REMIND-MAGPIE_SSP5-26",Storage_Share_Detail!$C$2:$C$1025,$A32,Storage_Share_Detail!$D$2:$D$1025,2040),0)</f>
        <v>0</v>
      </c>
      <c r="AN32" s="98">
        <f>IFERROR(AVERAGEIFS(Storage_Share_Detail!$G$2:$G$1025,Storage_Share_Detail!$A$2:$A$1025,"Opti",Storage_Share_Detail!$B$2:$B$1025,"REMIND-MAGPIE_SSP5-26",Storage_Share_Detail!$C$2:$C$1025,$A32,Storage_Share_Detail!$D$2:$D$1025,2050),0)</f>
        <v>0</v>
      </c>
      <c r="AO32" s="99">
        <f>IFERROR(AVERAGEIFS(Storage_Share_Detail!$K$2:$K$1025,Storage_Share_Detail!$A$2:$A$1025,"Opti",Storage_Share_Detail!$B$2:$B$1025,"REMIND-MAGPIE_SSP5-26",Storage_Share_Detail!$C$2:$C$1025,$A32),0)</f>
        <v>0</v>
      </c>
    </row>
    <row r="33" spans="1:41" x14ac:dyDescent="0.2">
      <c r="A33" s="102" t="s">
        <v>73</v>
      </c>
      <c r="B33" s="98">
        <f>IFERROR(AVERAGEIFS(Storage_Share_Detail!$G$2:$G$1025,Storage_Share_Detail!$A$2:$A$1025,"Init",Storage_Share_Detail!$B$2:$B$1025,"IMAGE_SSP1-26",Storage_Share_Detail!$C$2:$C$1025,$A33,Storage_Share_Detail!$D$2:$D$1025,2020),0)</f>
        <v>0</v>
      </c>
      <c r="C33" s="98">
        <f>IFERROR(AVERAGEIFS(Storage_Share_Detail!$G$2:$G$1025,Storage_Share_Detail!$A$2:$A$1025,"Init",Storage_Share_Detail!$B$2:$B$1025,"IMAGE_SSP1-26",Storage_Share_Detail!$C$2:$C$1025,$A33,Storage_Share_Detail!$D$2:$D$1025,2030),0)</f>
        <v>0</v>
      </c>
      <c r="D33" s="98">
        <f>IFERROR(AVERAGEIFS(Storage_Share_Detail!$G$2:$G$1025,Storage_Share_Detail!$A$2:$A$1025,"Init",Storage_Share_Detail!$B$2:$B$1025,"IMAGE_SSP1-26",Storage_Share_Detail!$C$2:$C$1025,$A33,Storage_Share_Detail!$D$2:$D$1025,2040),0)</f>
        <v>0</v>
      </c>
      <c r="E33" s="98">
        <f>IFERROR(AVERAGEIFS(Storage_Share_Detail!$G$2:$G$1025,Storage_Share_Detail!$A$2:$A$1025,"Init",Storage_Share_Detail!$B$2:$B$1025,"IMAGE_SSP1-26",Storage_Share_Detail!$C$2:$C$1025,$A33,Storage_Share_Detail!$D$2:$D$1025,2050),0)</f>
        <v>0</v>
      </c>
      <c r="F33" s="99">
        <f>IFERROR(AVERAGEIFS(Storage_Share_Detail!$K$2:$K$1025,Storage_Share_Detail!$A$2:$A$1025,"Init",Storage_Share_Detail!$B$2:$B$1025,"IMAGE_SSP1-26",Storage_Share_Detail!$C$2:$C$1025,$A33),0)</f>
        <v>0</v>
      </c>
      <c r="G33" s="98">
        <f>IFERROR(AVERAGEIFS(Storage_Share_Detail!$G$2:$G$1025,Storage_Share_Detail!$A$2:$A$1025,"Opti",Storage_Share_Detail!$B$2:$B$1025,"IMAGE_SSP1-26",Storage_Share_Detail!$C$2:$C$1025,$A33,Storage_Share_Detail!$D$2:$D$1025,2020),0)</f>
        <v>0</v>
      </c>
      <c r="H33" s="98">
        <f>IFERROR(AVERAGEIFS(Storage_Share_Detail!$G$2:$G$1025,Storage_Share_Detail!$A$2:$A$1025,"Opti",Storage_Share_Detail!$B$2:$B$1025,"IMAGE_SSP1-26",Storage_Share_Detail!$C$2:$C$1025,$A33,Storage_Share_Detail!$D$2:$D$1025,2030),0)</f>
        <v>0</v>
      </c>
      <c r="I33" s="98">
        <f>IFERROR(AVERAGEIFS(Storage_Share_Detail!$G$2:$G$1025,Storage_Share_Detail!$A$2:$A$1025,"Opti",Storage_Share_Detail!$B$2:$B$1025,"IMAGE_SSP1-26",Storage_Share_Detail!$C$2:$C$1025,$A33,Storage_Share_Detail!$D$2:$D$1025,2040),0)</f>
        <v>0</v>
      </c>
      <c r="J33" s="98">
        <f>IFERROR(AVERAGEIFS(Storage_Share_Detail!$G$2:$G$1025,Storage_Share_Detail!$A$2:$A$1025,"Opti",Storage_Share_Detail!$B$2:$B$1025,"IMAGE_SSP1-26",Storage_Share_Detail!$C$2:$C$1025,$A33,Storage_Share_Detail!$D$2:$D$1025,2050),0)</f>
        <v>0</v>
      </c>
      <c r="K33" s="99">
        <f>IFERROR(AVERAGEIFS(Storage_Share_Detail!$K$2:$K$1025,Storage_Share_Detail!$A$2:$A$1025,"Opti",Storage_Share_Detail!$B$2:$B$1025,"IMAGE_SSP1-26",Storage_Share_Detail!$C$2:$C$1025,$A33),0)</f>
        <v>0</v>
      </c>
      <c r="L33" s="98">
        <f>IFERROR(AVERAGEIFS(Storage_Share_Detail!$G$2:$G$1025,Storage_Share_Detail!$A$2:$A$1025,"Init",Storage_Share_Detail!$B$2:$B$1025,"MESSAGE-GLOBIOM_SSP2-26",Storage_Share_Detail!$C$2:$C$1025,$A33,Storage_Share_Detail!$D$2:$D$1025,2020),0)</f>
        <v>0</v>
      </c>
      <c r="M33" s="98">
        <f>IFERROR(AVERAGEIFS(Storage_Share_Detail!$G$2:$G$1025,Storage_Share_Detail!$A$2:$A$1025,"Init",Storage_Share_Detail!$B$2:$B$1025,"MESSAGE-GLOBIOM_SSP2-26",Storage_Share_Detail!$C$2:$C$1025,$A33,Storage_Share_Detail!$D$2:$D$1025,2030),0)</f>
        <v>0</v>
      </c>
      <c r="N33" s="98">
        <f>IFERROR(AVERAGEIFS(Storage_Share_Detail!$G$2:$G$1025,Storage_Share_Detail!$A$2:$A$1025,"Init",Storage_Share_Detail!$B$2:$B$1025,"MESSAGE-GLOBIOM_SSP2-26",Storage_Share_Detail!$C$2:$C$1025,$A33,Storage_Share_Detail!$D$2:$D$1025,2040),0)</f>
        <v>0</v>
      </c>
      <c r="O33" s="98">
        <f>IFERROR(AVERAGEIFS(Storage_Share_Detail!$G$2:$G$1025,Storage_Share_Detail!$A$2:$A$1025,"Init",Storage_Share_Detail!$B$2:$B$1025,"MESSAGE-GLOBIOM_SSP2-26",Storage_Share_Detail!$C$2:$C$1025,$A33,Storage_Share_Detail!$D$2:$D$1025,2050),0)</f>
        <v>0</v>
      </c>
      <c r="P33" s="99">
        <f>IFERROR(AVERAGEIFS(Storage_Share_Detail!$K$2:$K$1025,Storage_Share_Detail!$A$2:$A$1025,"Init",Storage_Share_Detail!$B$2:$B$1025,"MESSAGE-GLOBIOM_SSP2-26",Storage_Share_Detail!$C$2:$C$1025,$A33),0)</f>
        <v>0</v>
      </c>
      <c r="Q33" s="98">
        <f>IFERROR(AVERAGEIFS(Storage_Share_Detail!$G$2:$G$1025,Storage_Share_Detail!$A$2:$A$1025,"Opti",Storage_Share_Detail!$B$2:$B$1025,"MESSAGE-GLOBIOM_SSP2-26",Storage_Share_Detail!$C$2:$C$1025,$A33,Storage_Share_Detail!$D$2:$D$1025,2020),0)</f>
        <v>0</v>
      </c>
      <c r="R33" s="98">
        <f>IFERROR(AVERAGEIFS(Storage_Share_Detail!$G$2:$G$1025,Storage_Share_Detail!$A$2:$A$1025,"Opti",Storage_Share_Detail!$B$2:$B$1025,"MESSAGE-GLOBIOM_SSP2-26",Storage_Share_Detail!$C$2:$C$1025,$A33,Storage_Share_Detail!$D$2:$D$1025,2030),0)</f>
        <v>0</v>
      </c>
      <c r="S33" s="98">
        <f>IFERROR(AVERAGEIFS(Storage_Share_Detail!$G$2:$G$1025,Storage_Share_Detail!$A$2:$A$1025,"Opti",Storage_Share_Detail!$B$2:$B$1025,"MESSAGE-GLOBIOM_SSP2-26",Storage_Share_Detail!$C$2:$C$1025,$A33,Storage_Share_Detail!$D$2:$D$1025,2040),0)</f>
        <v>0</v>
      </c>
      <c r="T33" s="98">
        <f>IFERROR(AVERAGEIFS(Storage_Share_Detail!$G$2:$G$1025,Storage_Share_Detail!$A$2:$A$1025,"Opti",Storage_Share_Detail!$B$2:$B$1025,"MESSAGE-GLOBIOM_SSP2-26",Storage_Share_Detail!$C$2:$C$1025,$A33,Storage_Share_Detail!$D$2:$D$1025,2050),0)</f>
        <v>0</v>
      </c>
      <c r="U33" s="99">
        <f>IFERROR(AVERAGEIFS(Storage_Share_Detail!$K$2:$K$1025,Storage_Share_Detail!$A$2:$A$1025,"Opti",Storage_Share_Detail!$B$2:$B$1025,"MESSAGE-GLOBIOM_SSP2-26",Storage_Share_Detail!$C$2:$C$1025,$A33),0)</f>
        <v>0</v>
      </c>
      <c r="V33" s="98">
        <f>IFERROR(AVERAGEIFS(Storage_Share_Detail!$G$2:$G$1025,Storage_Share_Detail!$A$2:$A$1025,"Init",Storage_Share_Detail!$B$2:$B$1025,"GCAM4_SSP4-26",Storage_Share_Detail!$C$2:$C$1025,$A33,Storage_Share_Detail!$D$2:$D$1025,2020),0)</f>
        <v>0</v>
      </c>
      <c r="W33" s="98">
        <f>IFERROR(AVERAGEIFS(Storage_Share_Detail!$G$2:$G$1025,Storage_Share_Detail!$A$2:$A$1025,"Init",Storage_Share_Detail!$B$2:$B$1025,"GCAM4_SSP4-26",Storage_Share_Detail!$C$2:$C$1025,$A33,Storage_Share_Detail!$D$2:$D$1025,2030),0)</f>
        <v>0</v>
      </c>
      <c r="X33" s="98">
        <f>IFERROR(AVERAGEIFS(Storage_Share_Detail!$G$2:$G$1025,Storage_Share_Detail!$A$2:$A$1025,"Init",Storage_Share_Detail!$B$2:$B$1025,"GCAM4_SSP4-26",Storage_Share_Detail!$C$2:$C$1025,$A33,Storage_Share_Detail!$D$2:$D$1025,2040),0)</f>
        <v>0</v>
      </c>
      <c r="Y33" s="98">
        <f>IFERROR(AVERAGEIFS(Storage_Share_Detail!$G$2:$G$1025,Storage_Share_Detail!$A$2:$A$1025,"Init",Storage_Share_Detail!$B$2:$B$1025,"GCAM4_SSP4-26",Storage_Share_Detail!$C$2:$C$1025,$A33,Storage_Share_Detail!$D$2:$D$1025,2050),0)</f>
        <v>0</v>
      </c>
      <c r="Z33" s="99">
        <f>IFERROR(AVERAGEIFS(Storage_Share_Detail!$K$2:$K$1025,Storage_Share_Detail!$A$2:$A$1025,"Init",Storage_Share_Detail!$B$2:$B$1025,"GCAM4_SSP4-26",Storage_Share_Detail!$C$2:$C$1025,$A33),0)</f>
        <v>0</v>
      </c>
      <c r="AA33" s="98">
        <f>IFERROR(AVERAGEIFS(Storage_Share_Detail!$G$2:$G$1025,Storage_Share_Detail!$A$2:$A$1025,"Opti",Storage_Share_Detail!$B$2:$B$1025,"GCAM4_SSP4-26",Storage_Share_Detail!$C$2:$C$1025,$A33,Storage_Share_Detail!$D$2:$D$1025,2020),0)</f>
        <v>0</v>
      </c>
      <c r="AB33" s="98">
        <f>IFERROR(AVERAGEIFS(Storage_Share_Detail!$G$2:$G$1025,Storage_Share_Detail!$A$2:$A$1025,"Opti",Storage_Share_Detail!$B$2:$B$1025,"GCAM4_SSP4-26",Storage_Share_Detail!$C$2:$C$1025,$A33,Storage_Share_Detail!$D$2:$D$1025,2030),0)</f>
        <v>0</v>
      </c>
      <c r="AC33" s="98">
        <f>IFERROR(AVERAGEIFS(Storage_Share_Detail!$G$2:$G$1025,Storage_Share_Detail!$A$2:$A$1025,"Opti",Storage_Share_Detail!$B$2:$B$1025,"GCAM4_SSP4-26",Storage_Share_Detail!$C$2:$C$1025,$A33,Storage_Share_Detail!$D$2:$D$1025,2040),0)</f>
        <v>0</v>
      </c>
      <c r="AD33" s="98">
        <f>IFERROR(AVERAGEIFS(Storage_Share_Detail!$G$2:$G$1025,Storage_Share_Detail!$A$2:$A$1025,"Opti",Storage_Share_Detail!$B$2:$B$1025,"GCAM4_SSP4-26",Storage_Share_Detail!$C$2:$C$1025,$A33,Storage_Share_Detail!$D$2:$D$1025,2050),0)</f>
        <v>0</v>
      </c>
      <c r="AE33" s="99">
        <f>IFERROR(AVERAGEIFS(Storage_Share_Detail!$K$2:$K$1025,Storage_Share_Detail!$A$2:$A$1025,"Opti",Storage_Share_Detail!$B$2:$B$1025,"GCAM4_SSP4-26",Storage_Share_Detail!$C$2:$C$1025,$A33),0)</f>
        <v>0</v>
      </c>
      <c r="AF33" s="98">
        <f>IFERROR(AVERAGEIFS(Storage_Share_Detail!$G$2:$G$1025,Storage_Share_Detail!$A$2:$A$1025,"Init",Storage_Share_Detail!$B$2:$B$1025,"REMIND-MAGPIE_SSP5-26",Storage_Share_Detail!$C$2:$C$1025,$A33,Storage_Share_Detail!$D$2:$D$1025,2020),0)</f>
        <v>0</v>
      </c>
      <c r="AG33" s="98">
        <f>IFERROR(AVERAGEIFS(Storage_Share_Detail!$G$2:$G$1025,Storage_Share_Detail!$A$2:$A$1025,"Init",Storage_Share_Detail!$B$2:$B$1025,"REMIND-MAGPIE_SSP5-26",Storage_Share_Detail!$C$2:$C$1025,$A33,Storage_Share_Detail!$D$2:$D$1025,2030),0)</f>
        <v>0</v>
      </c>
      <c r="AH33" s="98">
        <f>IFERROR(AVERAGEIFS(Storage_Share_Detail!$G$2:$G$1025,Storage_Share_Detail!$A$2:$A$1025,"Init",Storage_Share_Detail!$B$2:$B$1025,"REMIND-MAGPIE_SSP5-26",Storage_Share_Detail!$C$2:$C$1025,$A33,Storage_Share_Detail!$D$2:$D$1025,2040),0)</f>
        <v>0</v>
      </c>
      <c r="AI33" s="98">
        <f>IFERROR(AVERAGEIFS(Storage_Share_Detail!$G$2:$G$1025,Storage_Share_Detail!$A$2:$A$1025,"Init",Storage_Share_Detail!$B$2:$B$1025,"REMIND-MAGPIE_SSP5-26",Storage_Share_Detail!$C$2:$C$1025,$A33,Storage_Share_Detail!$D$2:$D$1025,2050),0)</f>
        <v>0</v>
      </c>
      <c r="AJ33" s="99">
        <f>IFERROR(AVERAGEIFS(Storage_Share_Detail!$K$2:$K$1025,Storage_Share_Detail!$A$2:$A$1025,"Init",Storage_Share_Detail!$B$2:$B$1025,"REMIND-MAGPIE_SSP5-26",Storage_Share_Detail!$C$2:$C$1025,$A33),0)</f>
        <v>0</v>
      </c>
      <c r="AK33" s="98">
        <f>IFERROR(AVERAGEIFS(Storage_Share_Detail!$G$2:$G$1025,Storage_Share_Detail!$A$2:$A$1025,"Opti",Storage_Share_Detail!$B$2:$B$1025,"REMIND-MAGPIE_SSP5-26",Storage_Share_Detail!$C$2:$C$1025,$A33,Storage_Share_Detail!$D$2:$D$1025,2020),0)</f>
        <v>0</v>
      </c>
      <c r="AL33" s="98">
        <f>IFERROR(AVERAGEIFS(Storage_Share_Detail!$G$2:$G$1025,Storage_Share_Detail!$A$2:$A$1025,"Opti",Storage_Share_Detail!$B$2:$B$1025,"REMIND-MAGPIE_SSP5-26",Storage_Share_Detail!$C$2:$C$1025,$A33,Storage_Share_Detail!$D$2:$D$1025,2030),0)</f>
        <v>0</v>
      </c>
      <c r="AM33" s="98">
        <f>IFERROR(AVERAGEIFS(Storage_Share_Detail!$G$2:$G$1025,Storage_Share_Detail!$A$2:$A$1025,"Opti",Storage_Share_Detail!$B$2:$B$1025,"REMIND-MAGPIE_SSP5-26",Storage_Share_Detail!$C$2:$C$1025,$A33,Storage_Share_Detail!$D$2:$D$1025,2040),0)</f>
        <v>0</v>
      </c>
      <c r="AN33" s="98">
        <f>IFERROR(AVERAGEIFS(Storage_Share_Detail!$G$2:$G$1025,Storage_Share_Detail!$A$2:$A$1025,"Opti",Storage_Share_Detail!$B$2:$B$1025,"REMIND-MAGPIE_SSP5-26",Storage_Share_Detail!$C$2:$C$1025,$A33,Storage_Share_Detail!$D$2:$D$1025,2050),0)</f>
        <v>0</v>
      </c>
      <c r="AO33" s="99">
        <f>IFERROR(AVERAGEIFS(Storage_Share_Detail!$K$2:$K$1025,Storage_Share_Detail!$A$2:$A$1025,"Opti",Storage_Share_Detail!$B$2:$B$1025,"REMIND-MAGPIE_SSP5-26",Storage_Share_Detail!$C$2:$C$1025,$A33),0)</f>
        <v>0</v>
      </c>
    </row>
    <row r="34" spans="1:41" x14ac:dyDescent="0.2">
      <c r="A34" s="102" t="s">
        <v>74</v>
      </c>
      <c r="B34" s="98">
        <f>IFERROR(AVERAGEIFS(Storage_Share_Detail!$G$2:$G$1025,Storage_Share_Detail!$A$2:$A$1025,"Init",Storage_Share_Detail!$B$2:$B$1025,"IMAGE_SSP1-26",Storage_Share_Detail!$C$2:$C$1025,$A34,Storage_Share_Detail!$D$2:$D$1025,2020),0)</f>
        <v>0</v>
      </c>
      <c r="C34" s="98">
        <f>IFERROR(AVERAGEIFS(Storage_Share_Detail!$G$2:$G$1025,Storage_Share_Detail!$A$2:$A$1025,"Init",Storage_Share_Detail!$B$2:$B$1025,"IMAGE_SSP1-26",Storage_Share_Detail!$C$2:$C$1025,$A34,Storage_Share_Detail!$D$2:$D$1025,2030),0)</f>
        <v>0</v>
      </c>
      <c r="D34" s="98">
        <f>IFERROR(AVERAGEIFS(Storage_Share_Detail!$G$2:$G$1025,Storage_Share_Detail!$A$2:$A$1025,"Init",Storage_Share_Detail!$B$2:$B$1025,"IMAGE_SSP1-26",Storage_Share_Detail!$C$2:$C$1025,$A34,Storage_Share_Detail!$D$2:$D$1025,2040),0)</f>
        <v>0</v>
      </c>
      <c r="E34" s="98">
        <f>IFERROR(AVERAGEIFS(Storage_Share_Detail!$G$2:$G$1025,Storage_Share_Detail!$A$2:$A$1025,"Init",Storage_Share_Detail!$B$2:$B$1025,"IMAGE_SSP1-26",Storage_Share_Detail!$C$2:$C$1025,$A34,Storage_Share_Detail!$D$2:$D$1025,2050),0)</f>
        <v>0</v>
      </c>
      <c r="F34" s="99">
        <f>IFERROR(AVERAGEIFS(Storage_Share_Detail!$K$2:$K$1025,Storage_Share_Detail!$A$2:$A$1025,"Init",Storage_Share_Detail!$B$2:$B$1025,"IMAGE_SSP1-26",Storage_Share_Detail!$C$2:$C$1025,$A34),0)</f>
        <v>0</v>
      </c>
      <c r="G34" s="98">
        <f>IFERROR(AVERAGEIFS(Storage_Share_Detail!$G$2:$G$1025,Storage_Share_Detail!$A$2:$A$1025,"Opti",Storage_Share_Detail!$B$2:$B$1025,"IMAGE_SSP1-26",Storage_Share_Detail!$C$2:$C$1025,$A34,Storage_Share_Detail!$D$2:$D$1025,2020),0)</f>
        <v>0</v>
      </c>
      <c r="H34" s="98">
        <f>IFERROR(AVERAGEIFS(Storage_Share_Detail!$G$2:$G$1025,Storage_Share_Detail!$A$2:$A$1025,"Opti",Storage_Share_Detail!$B$2:$B$1025,"IMAGE_SSP1-26",Storage_Share_Detail!$C$2:$C$1025,$A34,Storage_Share_Detail!$D$2:$D$1025,2030),0)</f>
        <v>0</v>
      </c>
      <c r="I34" s="98">
        <f>IFERROR(AVERAGEIFS(Storage_Share_Detail!$G$2:$G$1025,Storage_Share_Detail!$A$2:$A$1025,"Opti",Storage_Share_Detail!$B$2:$B$1025,"IMAGE_SSP1-26",Storage_Share_Detail!$C$2:$C$1025,$A34,Storage_Share_Detail!$D$2:$D$1025,2040),0)</f>
        <v>0</v>
      </c>
      <c r="J34" s="98">
        <f>IFERROR(AVERAGEIFS(Storage_Share_Detail!$G$2:$G$1025,Storage_Share_Detail!$A$2:$A$1025,"Opti",Storage_Share_Detail!$B$2:$B$1025,"IMAGE_SSP1-26",Storage_Share_Detail!$C$2:$C$1025,$A34,Storage_Share_Detail!$D$2:$D$1025,2050),0)</f>
        <v>0</v>
      </c>
      <c r="K34" s="99">
        <f>IFERROR(AVERAGEIFS(Storage_Share_Detail!$K$2:$K$1025,Storage_Share_Detail!$A$2:$A$1025,"Opti",Storage_Share_Detail!$B$2:$B$1025,"IMAGE_SSP1-26",Storage_Share_Detail!$C$2:$C$1025,$A34),0)</f>
        <v>0</v>
      </c>
      <c r="L34" s="98">
        <f>IFERROR(AVERAGEIFS(Storage_Share_Detail!$G$2:$G$1025,Storage_Share_Detail!$A$2:$A$1025,"Init",Storage_Share_Detail!$B$2:$B$1025,"MESSAGE-GLOBIOM_SSP2-26",Storage_Share_Detail!$C$2:$C$1025,$A34,Storage_Share_Detail!$D$2:$D$1025,2020),0)</f>
        <v>0</v>
      </c>
      <c r="M34" s="98">
        <f>IFERROR(AVERAGEIFS(Storage_Share_Detail!$G$2:$G$1025,Storage_Share_Detail!$A$2:$A$1025,"Init",Storage_Share_Detail!$B$2:$B$1025,"MESSAGE-GLOBIOM_SSP2-26",Storage_Share_Detail!$C$2:$C$1025,$A34,Storage_Share_Detail!$D$2:$D$1025,2030),0)</f>
        <v>0</v>
      </c>
      <c r="N34" s="98">
        <f>IFERROR(AVERAGEIFS(Storage_Share_Detail!$G$2:$G$1025,Storage_Share_Detail!$A$2:$A$1025,"Init",Storage_Share_Detail!$B$2:$B$1025,"MESSAGE-GLOBIOM_SSP2-26",Storage_Share_Detail!$C$2:$C$1025,$A34,Storage_Share_Detail!$D$2:$D$1025,2040),0)</f>
        <v>0</v>
      </c>
      <c r="O34" s="98">
        <f>IFERROR(AVERAGEIFS(Storage_Share_Detail!$G$2:$G$1025,Storage_Share_Detail!$A$2:$A$1025,"Init",Storage_Share_Detail!$B$2:$B$1025,"MESSAGE-GLOBIOM_SSP2-26",Storage_Share_Detail!$C$2:$C$1025,$A34,Storage_Share_Detail!$D$2:$D$1025,2050),0)</f>
        <v>0</v>
      </c>
      <c r="P34" s="99">
        <f>IFERROR(AVERAGEIFS(Storage_Share_Detail!$K$2:$K$1025,Storage_Share_Detail!$A$2:$A$1025,"Init",Storage_Share_Detail!$B$2:$B$1025,"MESSAGE-GLOBIOM_SSP2-26",Storage_Share_Detail!$C$2:$C$1025,$A34),0)</f>
        <v>0</v>
      </c>
      <c r="Q34" s="98">
        <f>IFERROR(AVERAGEIFS(Storage_Share_Detail!$G$2:$G$1025,Storage_Share_Detail!$A$2:$A$1025,"Opti",Storage_Share_Detail!$B$2:$B$1025,"MESSAGE-GLOBIOM_SSP2-26",Storage_Share_Detail!$C$2:$C$1025,$A34,Storage_Share_Detail!$D$2:$D$1025,2020),0)</f>
        <v>0</v>
      </c>
      <c r="R34" s="98">
        <f>IFERROR(AVERAGEIFS(Storage_Share_Detail!$G$2:$G$1025,Storage_Share_Detail!$A$2:$A$1025,"Opti",Storage_Share_Detail!$B$2:$B$1025,"MESSAGE-GLOBIOM_SSP2-26",Storage_Share_Detail!$C$2:$C$1025,$A34,Storage_Share_Detail!$D$2:$D$1025,2030),0)</f>
        <v>0</v>
      </c>
      <c r="S34" s="98">
        <f>IFERROR(AVERAGEIFS(Storage_Share_Detail!$G$2:$G$1025,Storage_Share_Detail!$A$2:$A$1025,"Opti",Storage_Share_Detail!$B$2:$B$1025,"MESSAGE-GLOBIOM_SSP2-26",Storage_Share_Detail!$C$2:$C$1025,$A34,Storage_Share_Detail!$D$2:$D$1025,2040),0)</f>
        <v>0</v>
      </c>
      <c r="T34" s="98">
        <f>IFERROR(AVERAGEIFS(Storage_Share_Detail!$G$2:$G$1025,Storage_Share_Detail!$A$2:$A$1025,"Opti",Storage_Share_Detail!$B$2:$B$1025,"MESSAGE-GLOBIOM_SSP2-26",Storage_Share_Detail!$C$2:$C$1025,$A34,Storage_Share_Detail!$D$2:$D$1025,2050),0)</f>
        <v>0</v>
      </c>
      <c r="U34" s="99">
        <f>IFERROR(AVERAGEIFS(Storage_Share_Detail!$K$2:$K$1025,Storage_Share_Detail!$A$2:$A$1025,"Opti",Storage_Share_Detail!$B$2:$B$1025,"MESSAGE-GLOBIOM_SSP2-26",Storage_Share_Detail!$C$2:$C$1025,$A34),0)</f>
        <v>0</v>
      </c>
      <c r="V34" s="98">
        <f>IFERROR(AVERAGEIFS(Storage_Share_Detail!$G$2:$G$1025,Storage_Share_Detail!$A$2:$A$1025,"Init",Storage_Share_Detail!$B$2:$B$1025,"GCAM4_SSP4-26",Storage_Share_Detail!$C$2:$C$1025,$A34,Storage_Share_Detail!$D$2:$D$1025,2020),0)</f>
        <v>0</v>
      </c>
      <c r="W34" s="98">
        <f>IFERROR(AVERAGEIFS(Storage_Share_Detail!$G$2:$G$1025,Storage_Share_Detail!$A$2:$A$1025,"Init",Storage_Share_Detail!$B$2:$B$1025,"GCAM4_SSP4-26",Storage_Share_Detail!$C$2:$C$1025,$A34,Storage_Share_Detail!$D$2:$D$1025,2030),0)</f>
        <v>0</v>
      </c>
      <c r="X34" s="98">
        <f>IFERROR(AVERAGEIFS(Storage_Share_Detail!$G$2:$G$1025,Storage_Share_Detail!$A$2:$A$1025,"Init",Storage_Share_Detail!$B$2:$B$1025,"GCAM4_SSP4-26",Storage_Share_Detail!$C$2:$C$1025,$A34,Storage_Share_Detail!$D$2:$D$1025,2040),0)</f>
        <v>0</v>
      </c>
      <c r="Y34" s="98">
        <f>IFERROR(AVERAGEIFS(Storage_Share_Detail!$G$2:$G$1025,Storage_Share_Detail!$A$2:$A$1025,"Init",Storage_Share_Detail!$B$2:$B$1025,"GCAM4_SSP4-26",Storage_Share_Detail!$C$2:$C$1025,$A34,Storage_Share_Detail!$D$2:$D$1025,2050),0)</f>
        <v>0</v>
      </c>
      <c r="Z34" s="99">
        <f>IFERROR(AVERAGEIFS(Storage_Share_Detail!$K$2:$K$1025,Storage_Share_Detail!$A$2:$A$1025,"Init",Storage_Share_Detail!$B$2:$B$1025,"GCAM4_SSP4-26",Storage_Share_Detail!$C$2:$C$1025,$A34),0)</f>
        <v>0</v>
      </c>
      <c r="AA34" s="98">
        <f>IFERROR(AVERAGEIFS(Storage_Share_Detail!$G$2:$G$1025,Storage_Share_Detail!$A$2:$A$1025,"Opti",Storage_Share_Detail!$B$2:$B$1025,"GCAM4_SSP4-26",Storage_Share_Detail!$C$2:$C$1025,$A34,Storage_Share_Detail!$D$2:$D$1025,2020),0)</f>
        <v>0</v>
      </c>
      <c r="AB34" s="98">
        <f>IFERROR(AVERAGEIFS(Storage_Share_Detail!$G$2:$G$1025,Storage_Share_Detail!$A$2:$A$1025,"Opti",Storage_Share_Detail!$B$2:$B$1025,"GCAM4_SSP4-26",Storage_Share_Detail!$C$2:$C$1025,$A34,Storage_Share_Detail!$D$2:$D$1025,2030),0)</f>
        <v>0</v>
      </c>
      <c r="AC34" s="98">
        <f>IFERROR(AVERAGEIFS(Storage_Share_Detail!$G$2:$G$1025,Storage_Share_Detail!$A$2:$A$1025,"Opti",Storage_Share_Detail!$B$2:$B$1025,"GCAM4_SSP4-26",Storage_Share_Detail!$C$2:$C$1025,$A34,Storage_Share_Detail!$D$2:$D$1025,2040),0)</f>
        <v>0</v>
      </c>
      <c r="AD34" s="98">
        <f>IFERROR(AVERAGEIFS(Storage_Share_Detail!$G$2:$G$1025,Storage_Share_Detail!$A$2:$A$1025,"Opti",Storage_Share_Detail!$B$2:$B$1025,"GCAM4_SSP4-26",Storage_Share_Detail!$C$2:$C$1025,$A34,Storage_Share_Detail!$D$2:$D$1025,2050),0)</f>
        <v>0</v>
      </c>
      <c r="AE34" s="99">
        <f>IFERROR(AVERAGEIFS(Storage_Share_Detail!$K$2:$K$1025,Storage_Share_Detail!$A$2:$A$1025,"Opti",Storage_Share_Detail!$B$2:$B$1025,"GCAM4_SSP4-26",Storage_Share_Detail!$C$2:$C$1025,$A34),0)</f>
        <v>0</v>
      </c>
      <c r="AF34" s="98">
        <f>IFERROR(AVERAGEIFS(Storage_Share_Detail!$G$2:$G$1025,Storage_Share_Detail!$A$2:$A$1025,"Init",Storage_Share_Detail!$B$2:$B$1025,"REMIND-MAGPIE_SSP5-26",Storage_Share_Detail!$C$2:$C$1025,$A34,Storage_Share_Detail!$D$2:$D$1025,2020),0)</f>
        <v>0</v>
      </c>
      <c r="AG34" s="98">
        <f>IFERROR(AVERAGEIFS(Storage_Share_Detail!$G$2:$G$1025,Storage_Share_Detail!$A$2:$A$1025,"Init",Storage_Share_Detail!$B$2:$B$1025,"REMIND-MAGPIE_SSP5-26",Storage_Share_Detail!$C$2:$C$1025,$A34,Storage_Share_Detail!$D$2:$D$1025,2030),0)</f>
        <v>0</v>
      </c>
      <c r="AH34" s="98">
        <f>IFERROR(AVERAGEIFS(Storage_Share_Detail!$G$2:$G$1025,Storage_Share_Detail!$A$2:$A$1025,"Init",Storage_Share_Detail!$B$2:$B$1025,"REMIND-MAGPIE_SSP5-26",Storage_Share_Detail!$C$2:$C$1025,$A34,Storage_Share_Detail!$D$2:$D$1025,2040),0)</f>
        <v>0</v>
      </c>
      <c r="AI34" s="98">
        <f>IFERROR(AVERAGEIFS(Storage_Share_Detail!$G$2:$G$1025,Storage_Share_Detail!$A$2:$A$1025,"Init",Storage_Share_Detail!$B$2:$B$1025,"REMIND-MAGPIE_SSP5-26",Storage_Share_Detail!$C$2:$C$1025,$A34,Storage_Share_Detail!$D$2:$D$1025,2050),0)</f>
        <v>0</v>
      </c>
      <c r="AJ34" s="99">
        <f>IFERROR(AVERAGEIFS(Storage_Share_Detail!$K$2:$K$1025,Storage_Share_Detail!$A$2:$A$1025,"Init",Storage_Share_Detail!$B$2:$B$1025,"REMIND-MAGPIE_SSP5-26",Storage_Share_Detail!$C$2:$C$1025,$A34),0)</f>
        <v>0</v>
      </c>
      <c r="AK34" s="98">
        <f>IFERROR(AVERAGEIFS(Storage_Share_Detail!$G$2:$G$1025,Storage_Share_Detail!$A$2:$A$1025,"Opti",Storage_Share_Detail!$B$2:$B$1025,"REMIND-MAGPIE_SSP5-26",Storage_Share_Detail!$C$2:$C$1025,$A34,Storage_Share_Detail!$D$2:$D$1025,2020),0)</f>
        <v>0</v>
      </c>
      <c r="AL34" s="98">
        <f>IFERROR(AVERAGEIFS(Storage_Share_Detail!$G$2:$G$1025,Storage_Share_Detail!$A$2:$A$1025,"Opti",Storage_Share_Detail!$B$2:$B$1025,"REMIND-MAGPIE_SSP5-26",Storage_Share_Detail!$C$2:$C$1025,$A34,Storage_Share_Detail!$D$2:$D$1025,2030),0)</f>
        <v>0</v>
      </c>
      <c r="AM34" s="98">
        <f>IFERROR(AVERAGEIFS(Storage_Share_Detail!$G$2:$G$1025,Storage_Share_Detail!$A$2:$A$1025,"Opti",Storage_Share_Detail!$B$2:$B$1025,"REMIND-MAGPIE_SSP5-26",Storage_Share_Detail!$C$2:$C$1025,$A34,Storage_Share_Detail!$D$2:$D$1025,2040),0)</f>
        <v>0</v>
      </c>
      <c r="AN34" s="98">
        <f>IFERROR(AVERAGEIFS(Storage_Share_Detail!$G$2:$G$1025,Storage_Share_Detail!$A$2:$A$1025,"Opti",Storage_Share_Detail!$B$2:$B$1025,"REMIND-MAGPIE_SSP5-26",Storage_Share_Detail!$C$2:$C$1025,$A34,Storage_Share_Detail!$D$2:$D$1025,2050),0)</f>
        <v>0</v>
      </c>
      <c r="AO34" s="99">
        <f>IFERROR(AVERAGEIFS(Storage_Share_Detail!$K$2:$K$1025,Storage_Share_Detail!$A$2:$A$1025,"Opti",Storage_Share_Detail!$B$2:$B$1025,"REMIND-MAGPIE_SSP5-26",Storage_Share_Detail!$C$2:$C$1025,$A34),0)</f>
        <v>0</v>
      </c>
    </row>
    <row r="35" spans="1:41" x14ac:dyDescent="0.2">
      <c r="A35" s="102" t="s">
        <v>75</v>
      </c>
      <c r="B35" s="98">
        <f>IFERROR(AVERAGEIFS(Storage_Share_Detail!$G$2:$G$1025,Storage_Share_Detail!$A$2:$A$1025,"Init",Storage_Share_Detail!$B$2:$B$1025,"IMAGE_SSP1-26",Storage_Share_Detail!$C$2:$C$1025,$A35,Storage_Share_Detail!$D$2:$D$1025,2020),0)</f>
        <v>0</v>
      </c>
      <c r="C35" s="98">
        <f>IFERROR(AVERAGEIFS(Storage_Share_Detail!$G$2:$G$1025,Storage_Share_Detail!$A$2:$A$1025,"Init",Storage_Share_Detail!$B$2:$B$1025,"IMAGE_SSP1-26",Storage_Share_Detail!$C$2:$C$1025,$A35,Storage_Share_Detail!$D$2:$D$1025,2030),0)</f>
        <v>0</v>
      </c>
      <c r="D35" s="98">
        <f>IFERROR(AVERAGEIFS(Storage_Share_Detail!$G$2:$G$1025,Storage_Share_Detail!$A$2:$A$1025,"Init",Storage_Share_Detail!$B$2:$B$1025,"IMAGE_SSP1-26",Storage_Share_Detail!$C$2:$C$1025,$A35,Storage_Share_Detail!$D$2:$D$1025,2040),0)</f>
        <v>0</v>
      </c>
      <c r="E35" s="98">
        <f>IFERROR(AVERAGEIFS(Storage_Share_Detail!$G$2:$G$1025,Storage_Share_Detail!$A$2:$A$1025,"Init",Storage_Share_Detail!$B$2:$B$1025,"IMAGE_SSP1-26",Storage_Share_Detail!$C$2:$C$1025,$A35,Storage_Share_Detail!$D$2:$D$1025,2050),0)</f>
        <v>0</v>
      </c>
      <c r="F35" s="99">
        <f>IFERROR(AVERAGEIFS(Storage_Share_Detail!$K$2:$K$1025,Storage_Share_Detail!$A$2:$A$1025,"Init",Storage_Share_Detail!$B$2:$B$1025,"IMAGE_SSP1-26",Storage_Share_Detail!$C$2:$C$1025,$A35),0)</f>
        <v>0</v>
      </c>
      <c r="G35" s="98">
        <f>IFERROR(AVERAGEIFS(Storage_Share_Detail!$G$2:$G$1025,Storage_Share_Detail!$A$2:$A$1025,"Opti",Storage_Share_Detail!$B$2:$B$1025,"IMAGE_SSP1-26",Storage_Share_Detail!$C$2:$C$1025,$A35,Storage_Share_Detail!$D$2:$D$1025,2020),0)</f>
        <v>0</v>
      </c>
      <c r="H35" s="98">
        <f>IFERROR(AVERAGEIFS(Storage_Share_Detail!$G$2:$G$1025,Storage_Share_Detail!$A$2:$A$1025,"Opti",Storage_Share_Detail!$B$2:$B$1025,"IMAGE_SSP1-26",Storage_Share_Detail!$C$2:$C$1025,$A35,Storage_Share_Detail!$D$2:$D$1025,2030),0)</f>
        <v>0</v>
      </c>
      <c r="I35" s="98">
        <f>IFERROR(AVERAGEIFS(Storage_Share_Detail!$G$2:$G$1025,Storage_Share_Detail!$A$2:$A$1025,"Opti",Storage_Share_Detail!$B$2:$B$1025,"IMAGE_SSP1-26",Storage_Share_Detail!$C$2:$C$1025,$A35,Storage_Share_Detail!$D$2:$D$1025,2040),0)</f>
        <v>0</v>
      </c>
      <c r="J35" s="98">
        <f>IFERROR(AVERAGEIFS(Storage_Share_Detail!$G$2:$G$1025,Storage_Share_Detail!$A$2:$A$1025,"Opti",Storage_Share_Detail!$B$2:$B$1025,"IMAGE_SSP1-26",Storage_Share_Detail!$C$2:$C$1025,$A35,Storage_Share_Detail!$D$2:$D$1025,2050),0)</f>
        <v>0</v>
      </c>
      <c r="K35" s="99">
        <f>IFERROR(AVERAGEIFS(Storage_Share_Detail!$K$2:$K$1025,Storage_Share_Detail!$A$2:$A$1025,"Opti",Storage_Share_Detail!$B$2:$B$1025,"IMAGE_SSP1-26",Storage_Share_Detail!$C$2:$C$1025,$A35),0)</f>
        <v>0</v>
      </c>
      <c r="L35" s="98">
        <f>IFERROR(AVERAGEIFS(Storage_Share_Detail!$G$2:$G$1025,Storage_Share_Detail!$A$2:$A$1025,"Init",Storage_Share_Detail!$B$2:$B$1025,"MESSAGE-GLOBIOM_SSP2-26",Storage_Share_Detail!$C$2:$C$1025,$A35,Storage_Share_Detail!$D$2:$D$1025,2020),0)</f>
        <v>0</v>
      </c>
      <c r="M35" s="98">
        <f>IFERROR(AVERAGEIFS(Storage_Share_Detail!$G$2:$G$1025,Storage_Share_Detail!$A$2:$A$1025,"Init",Storage_Share_Detail!$B$2:$B$1025,"MESSAGE-GLOBIOM_SSP2-26",Storage_Share_Detail!$C$2:$C$1025,$A35,Storage_Share_Detail!$D$2:$D$1025,2030),0)</f>
        <v>0</v>
      </c>
      <c r="N35" s="98">
        <f>IFERROR(AVERAGEIFS(Storage_Share_Detail!$G$2:$G$1025,Storage_Share_Detail!$A$2:$A$1025,"Init",Storage_Share_Detail!$B$2:$B$1025,"MESSAGE-GLOBIOM_SSP2-26",Storage_Share_Detail!$C$2:$C$1025,$A35,Storage_Share_Detail!$D$2:$D$1025,2040),0)</f>
        <v>0</v>
      </c>
      <c r="O35" s="98">
        <f>IFERROR(AVERAGEIFS(Storage_Share_Detail!$G$2:$G$1025,Storage_Share_Detail!$A$2:$A$1025,"Init",Storage_Share_Detail!$B$2:$B$1025,"MESSAGE-GLOBIOM_SSP2-26",Storage_Share_Detail!$C$2:$C$1025,$A35,Storage_Share_Detail!$D$2:$D$1025,2050),0)</f>
        <v>0</v>
      </c>
      <c r="P35" s="99">
        <f>IFERROR(AVERAGEIFS(Storage_Share_Detail!$K$2:$K$1025,Storage_Share_Detail!$A$2:$A$1025,"Init",Storage_Share_Detail!$B$2:$B$1025,"MESSAGE-GLOBIOM_SSP2-26",Storage_Share_Detail!$C$2:$C$1025,$A35),0)</f>
        <v>0</v>
      </c>
      <c r="Q35" s="98">
        <f>IFERROR(AVERAGEIFS(Storage_Share_Detail!$G$2:$G$1025,Storage_Share_Detail!$A$2:$A$1025,"Opti",Storage_Share_Detail!$B$2:$B$1025,"MESSAGE-GLOBIOM_SSP2-26",Storage_Share_Detail!$C$2:$C$1025,$A35,Storage_Share_Detail!$D$2:$D$1025,2020),0)</f>
        <v>0</v>
      </c>
      <c r="R35" s="98">
        <f>IFERROR(AVERAGEIFS(Storage_Share_Detail!$G$2:$G$1025,Storage_Share_Detail!$A$2:$A$1025,"Opti",Storage_Share_Detail!$B$2:$B$1025,"MESSAGE-GLOBIOM_SSP2-26",Storage_Share_Detail!$C$2:$C$1025,$A35,Storage_Share_Detail!$D$2:$D$1025,2030),0)</f>
        <v>0</v>
      </c>
      <c r="S35" s="98">
        <f>IFERROR(AVERAGEIFS(Storage_Share_Detail!$G$2:$G$1025,Storage_Share_Detail!$A$2:$A$1025,"Opti",Storage_Share_Detail!$B$2:$B$1025,"MESSAGE-GLOBIOM_SSP2-26",Storage_Share_Detail!$C$2:$C$1025,$A35,Storage_Share_Detail!$D$2:$D$1025,2040),0)</f>
        <v>0</v>
      </c>
      <c r="T35" s="98">
        <f>IFERROR(AVERAGEIFS(Storage_Share_Detail!$G$2:$G$1025,Storage_Share_Detail!$A$2:$A$1025,"Opti",Storage_Share_Detail!$B$2:$B$1025,"MESSAGE-GLOBIOM_SSP2-26",Storage_Share_Detail!$C$2:$C$1025,$A35,Storage_Share_Detail!$D$2:$D$1025,2050),0)</f>
        <v>0</v>
      </c>
      <c r="U35" s="99">
        <f>IFERROR(AVERAGEIFS(Storage_Share_Detail!$K$2:$K$1025,Storage_Share_Detail!$A$2:$A$1025,"Opti",Storage_Share_Detail!$B$2:$B$1025,"MESSAGE-GLOBIOM_SSP2-26",Storage_Share_Detail!$C$2:$C$1025,$A35),0)</f>
        <v>0</v>
      </c>
      <c r="V35" s="98">
        <f>IFERROR(AVERAGEIFS(Storage_Share_Detail!$G$2:$G$1025,Storage_Share_Detail!$A$2:$A$1025,"Init",Storage_Share_Detail!$B$2:$B$1025,"GCAM4_SSP4-26",Storage_Share_Detail!$C$2:$C$1025,$A35,Storage_Share_Detail!$D$2:$D$1025,2020),0)</f>
        <v>0</v>
      </c>
      <c r="W35" s="98">
        <f>IFERROR(AVERAGEIFS(Storage_Share_Detail!$G$2:$G$1025,Storage_Share_Detail!$A$2:$A$1025,"Init",Storage_Share_Detail!$B$2:$B$1025,"GCAM4_SSP4-26",Storage_Share_Detail!$C$2:$C$1025,$A35,Storage_Share_Detail!$D$2:$D$1025,2030),0)</f>
        <v>0</v>
      </c>
      <c r="X35" s="98">
        <f>IFERROR(AVERAGEIFS(Storage_Share_Detail!$G$2:$G$1025,Storage_Share_Detail!$A$2:$A$1025,"Init",Storage_Share_Detail!$B$2:$B$1025,"GCAM4_SSP4-26",Storage_Share_Detail!$C$2:$C$1025,$A35,Storage_Share_Detail!$D$2:$D$1025,2040),0)</f>
        <v>0</v>
      </c>
      <c r="Y35" s="98">
        <f>IFERROR(AVERAGEIFS(Storage_Share_Detail!$G$2:$G$1025,Storage_Share_Detail!$A$2:$A$1025,"Init",Storage_Share_Detail!$B$2:$B$1025,"GCAM4_SSP4-26",Storage_Share_Detail!$C$2:$C$1025,$A35,Storage_Share_Detail!$D$2:$D$1025,2050),0)</f>
        <v>0</v>
      </c>
      <c r="Z35" s="99">
        <f>IFERROR(AVERAGEIFS(Storage_Share_Detail!$K$2:$K$1025,Storage_Share_Detail!$A$2:$A$1025,"Init",Storage_Share_Detail!$B$2:$B$1025,"GCAM4_SSP4-26",Storage_Share_Detail!$C$2:$C$1025,$A35),0)</f>
        <v>0</v>
      </c>
      <c r="AA35" s="98">
        <f>IFERROR(AVERAGEIFS(Storage_Share_Detail!$G$2:$G$1025,Storage_Share_Detail!$A$2:$A$1025,"Opti",Storage_Share_Detail!$B$2:$B$1025,"GCAM4_SSP4-26",Storage_Share_Detail!$C$2:$C$1025,$A35,Storage_Share_Detail!$D$2:$D$1025,2020),0)</f>
        <v>0</v>
      </c>
      <c r="AB35" s="98">
        <f>IFERROR(AVERAGEIFS(Storage_Share_Detail!$G$2:$G$1025,Storage_Share_Detail!$A$2:$A$1025,"Opti",Storage_Share_Detail!$B$2:$B$1025,"GCAM4_SSP4-26",Storage_Share_Detail!$C$2:$C$1025,$A35,Storage_Share_Detail!$D$2:$D$1025,2030),0)</f>
        <v>0</v>
      </c>
      <c r="AC35" s="98">
        <f>IFERROR(AVERAGEIFS(Storage_Share_Detail!$G$2:$G$1025,Storage_Share_Detail!$A$2:$A$1025,"Opti",Storage_Share_Detail!$B$2:$B$1025,"GCAM4_SSP4-26",Storage_Share_Detail!$C$2:$C$1025,$A35,Storage_Share_Detail!$D$2:$D$1025,2040),0)</f>
        <v>0</v>
      </c>
      <c r="AD35" s="98">
        <f>IFERROR(AVERAGEIFS(Storage_Share_Detail!$G$2:$G$1025,Storage_Share_Detail!$A$2:$A$1025,"Opti",Storage_Share_Detail!$B$2:$B$1025,"GCAM4_SSP4-26",Storage_Share_Detail!$C$2:$C$1025,$A35,Storage_Share_Detail!$D$2:$D$1025,2050),0)</f>
        <v>0</v>
      </c>
      <c r="AE35" s="99">
        <f>IFERROR(AVERAGEIFS(Storage_Share_Detail!$K$2:$K$1025,Storage_Share_Detail!$A$2:$A$1025,"Opti",Storage_Share_Detail!$B$2:$B$1025,"GCAM4_SSP4-26",Storage_Share_Detail!$C$2:$C$1025,$A35),0)</f>
        <v>0</v>
      </c>
      <c r="AF35" s="98">
        <f>IFERROR(AVERAGEIFS(Storage_Share_Detail!$G$2:$G$1025,Storage_Share_Detail!$A$2:$A$1025,"Init",Storage_Share_Detail!$B$2:$B$1025,"REMIND-MAGPIE_SSP5-26",Storage_Share_Detail!$C$2:$C$1025,$A35,Storage_Share_Detail!$D$2:$D$1025,2020),0)</f>
        <v>0</v>
      </c>
      <c r="AG35" s="98">
        <f>IFERROR(AVERAGEIFS(Storage_Share_Detail!$G$2:$G$1025,Storage_Share_Detail!$A$2:$A$1025,"Init",Storage_Share_Detail!$B$2:$B$1025,"REMIND-MAGPIE_SSP5-26",Storage_Share_Detail!$C$2:$C$1025,$A35,Storage_Share_Detail!$D$2:$D$1025,2030),0)</f>
        <v>0</v>
      </c>
      <c r="AH35" s="98">
        <f>IFERROR(AVERAGEIFS(Storage_Share_Detail!$G$2:$G$1025,Storage_Share_Detail!$A$2:$A$1025,"Init",Storage_Share_Detail!$B$2:$B$1025,"REMIND-MAGPIE_SSP5-26",Storage_Share_Detail!$C$2:$C$1025,$A35,Storage_Share_Detail!$D$2:$D$1025,2040),0)</f>
        <v>0</v>
      </c>
      <c r="AI35" s="98">
        <f>IFERROR(AVERAGEIFS(Storage_Share_Detail!$G$2:$G$1025,Storage_Share_Detail!$A$2:$A$1025,"Init",Storage_Share_Detail!$B$2:$B$1025,"REMIND-MAGPIE_SSP5-26",Storage_Share_Detail!$C$2:$C$1025,$A35,Storage_Share_Detail!$D$2:$D$1025,2050),0)</f>
        <v>0</v>
      </c>
      <c r="AJ35" s="99">
        <f>IFERROR(AVERAGEIFS(Storage_Share_Detail!$K$2:$K$1025,Storage_Share_Detail!$A$2:$A$1025,"Init",Storage_Share_Detail!$B$2:$B$1025,"REMIND-MAGPIE_SSP5-26",Storage_Share_Detail!$C$2:$C$1025,$A35),0)</f>
        <v>0</v>
      </c>
      <c r="AK35" s="98">
        <f>IFERROR(AVERAGEIFS(Storage_Share_Detail!$G$2:$G$1025,Storage_Share_Detail!$A$2:$A$1025,"Opti",Storage_Share_Detail!$B$2:$B$1025,"REMIND-MAGPIE_SSP5-26",Storage_Share_Detail!$C$2:$C$1025,$A35,Storage_Share_Detail!$D$2:$D$1025,2020),0)</f>
        <v>0</v>
      </c>
      <c r="AL35" s="98">
        <f>IFERROR(AVERAGEIFS(Storage_Share_Detail!$G$2:$G$1025,Storage_Share_Detail!$A$2:$A$1025,"Opti",Storage_Share_Detail!$B$2:$B$1025,"REMIND-MAGPIE_SSP5-26",Storage_Share_Detail!$C$2:$C$1025,$A35,Storage_Share_Detail!$D$2:$D$1025,2030),0)</f>
        <v>0</v>
      </c>
      <c r="AM35" s="98">
        <f>IFERROR(AVERAGEIFS(Storage_Share_Detail!$G$2:$G$1025,Storage_Share_Detail!$A$2:$A$1025,"Opti",Storage_Share_Detail!$B$2:$B$1025,"REMIND-MAGPIE_SSP5-26",Storage_Share_Detail!$C$2:$C$1025,$A35,Storage_Share_Detail!$D$2:$D$1025,2040),0)</f>
        <v>0</v>
      </c>
      <c r="AN35" s="98">
        <f>IFERROR(AVERAGEIFS(Storage_Share_Detail!$G$2:$G$1025,Storage_Share_Detail!$A$2:$A$1025,"Opti",Storage_Share_Detail!$B$2:$B$1025,"REMIND-MAGPIE_SSP5-26",Storage_Share_Detail!$C$2:$C$1025,$A35,Storage_Share_Detail!$D$2:$D$1025,2050),0)</f>
        <v>0</v>
      </c>
      <c r="AO35" s="99">
        <f>IFERROR(AVERAGEIFS(Storage_Share_Detail!$K$2:$K$1025,Storage_Share_Detail!$A$2:$A$1025,"Opti",Storage_Share_Detail!$B$2:$B$1025,"REMIND-MAGPIE_SSP5-26",Storage_Share_Detail!$C$2:$C$1025,$A35),0)</f>
        <v>0</v>
      </c>
    </row>
    <row r="36" spans="1:41" x14ac:dyDescent="0.2">
      <c r="A36" s="102" t="s">
        <v>76</v>
      </c>
      <c r="B36" s="98">
        <f>IFERROR(AVERAGEIFS(Storage_Share_Detail!$G$2:$G$1025,Storage_Share_Detail!$A$2:$A$1025,"Init",Storage_Share_Detail!$B$2:$B$1025,"IMAGE_SSP1-26",Storage_Share_Detail!$C$2:$C$1025,$A36,Storage_Share_Detail!$D$2:$D$1025,2020),0)</f>
        <v>0</v>
      </c>
      <c r="C36" s="98">
        <f>IFERROR(AVERAGEIFS(Storage_Share_Detail!$G$2:$G$1025,Storage_Share_Detail!$A$2:$A$1025,"Init",Storage_Share_Detail!$B$2:$B$1025,"IMAGE_SSP1-26",Storage_Share_Detail!$C$2:$C$1025,$A36,Storage_Share_Detail!$D$2:$D$1025,2030),0)</f>
        <v>0</v>
      </c>
      <c r="D36" s="98">
        <f>IFERROR(AVERAGEIFS(Storage_Share_Detail!$G$2:$G$1025,Storage_Share_Detail!$A$2:$A$1025,"Init",Storage_Share_Detail!$B$2:$B$1025,"IMAGE_SSP1-26",Storage_Share_Detail!$C$2:$C$1025,$A36,Storage_Share_Detail!$D$2:$D$1025,2040),0)</f>
        <v>0</v>
      </c>
      <c r="E36" s="98">
        <f>IFERROR(AVERAGEIFS(Storage_Share_Detail!$G$2:$G$1025,Storage_Share_Detail!$A$2:$A$1025,"Init",Storage_Share_Detail!$B$2:$B$1025,"IMAGE_SSP1-26",Storage_Share_Detail!$C$2:$C$1025,$A36,Storage_Share_Detail!$D$2:$D$1025,2050),0)</f>
        <v>0</v>
      </c>
      <c r="F36" s="99">
        <f>IFERROR(AVERAGEIFS(Storage_Share_Detail!$K$2:$K$1025,Storage_Share_Detail!$A$2:$A$1025,"Init",Storage_Share_Detail!$B$2:$B$1025,"IMAGE_SSP1-26",Storage_Share_Detail!$C$2:$C$1025,$A36),0)</f>
        <v>0</v>
      </c>
      <c r="G36" s="98">
        <f>IFERROR(AVERAGEIFS(Storage_Share_Detail!$G$2:$G$1025,Storage_Share_Detail!$A$2:$A$1025,"Opti",Storage_Share_Detail!$B$2:$B$1025,"IMAGE_SSP1-26",Storage_Share_Detail!$C$2:$C$1025,$A36,Storage_Share_Detail!$D$2:$D$1025,2020),0)</f>
        <v>0</v>
      </c>
      <c r="H36" s="98">
        <f>IFERROR(AVERAGEIFS(Storage_Share_Detail!$G$2:$G$1025,Storage_Share_Detail!$A$2:$A$1025,"Opti",Storage_Share_Detail!$B$2:$B$1025,"IMAGE_SSP1-26",Storage_Share_Detail!$C$2:$C$1025,$A36,Storage_Share_Detail!$D$2:$D$1025,2030),0)</f>
        <v>0</v>
      </c>
      <c r="I36" s="98">
        <f>IFERROR(AVERAGEIFS(Storage_Share_Detail!$G$2:$G$1025,Storage_Share_Detail!$A$2:$A$1025,"Opti",Storage_Share_Detail!$B$2:$B$1025,"IMAGE_SSP1-26",Storage_Share_Detail!$C$2:$C$1025,$A36,Storage_Share_Detail!$D$2:$D$1025,2040),0)</f>
        <v>0</v>
      </c>
      <c r="J36" s="98">
        <f>IFERROR(AVERAGEIFS(Storage_Share_Detail!$G$2:$G$1025,Storage_Share_Detail!$A$2:$A$1025,"Opti",Storage_Share_Detail!$B$2:$B$1025,"IMAGE_SSP1-26",Storage_Share_Detail!$C$2:$C$1025,$A36,Storage_Share_Detail!$D$2:$D$1025,2050),0)</f>
        <v>0</v>
      </c>
      <c r="K36" s="99">
        <f>IFERROR(AVERAGEIFS(Storage_Share_Detail!$K$2:$K$1025,Storage_Share_Detail!$A$2:$A$1025,"Opti",Storage_Share_Detail!$B$2:$B$1025,"IMAGE_SSP1-26",Storage_Share_Detail!$C$2:$C$1025,$A36),0)</f>
        <v>0</v>
      </c>
      <c r="L36" s="98">
        <f>IFERROR(AVERAGEIFS(Storage_Share_Detail!$G$2:$G$1025,Storage_Share_Detail!$A$2:$A$1025,"Init",Storage_Share_Detail!$B$2:$B$1025,"MESSAGE-GLOBIOM_SSP2-26",Storage_Share_Detail!$C$2:$C$1025,$A36,Storage_Share_Detail!$D$2:$D$1025,2020),0)</f>
        <v>0</v>
      </c>
      <c r="M36" s="98">
        <f>IFERROR(AVERAGEIFS(Storage_Share_Detail!$G$2:$G$1025,Storage_Share_Detail!$A$2:$A$1025,"Init",Storage_Share_Detail!$B$2:$B$1025,"MESSAGE-GLOBIOM_SSP2-26",Storage_Share_Detail!$C$2:$C$1025,$A36,Storage_Share_Detail!$D$2:$D$1025,2030),0)</f>
        <v>0</v>
      </c>
      <c r="N36" s="98">
        <f>IFERROR(AVERAGEIFS(Storage_Share_Detail!$G$2:$G$1025,Storage_Share_Detail!$A$2:$A$1025,"Init",Storage_Share_Detail!$B$2:$B$1025,"MESSAGE-GLOBIOM_SSP2-26",Storage_Share_Detail!$C$2:$C$1025,$A36,Storage_Share_Detail!$D$2:$D$1025,2040),0)</f>
        <v>0</v>
      </c>
      <c r="O36" s="98">
        <f>IFERROR(AVERAGEIFS(Storage_Share_Detail!$G$2:$G$1025,Storage_Share_Detail!$A$2:$A$1025,"Init",Storage_Share_Detail!$B$2:$B$1025,"MESSAGE-GLOBIOM_SSP2-26",Storage_Share_Detail!$C$2:$C$1025,$A36,Storage_Share_Detail!$D$2:$D$1025,2050),0)</f>
        <v>0</v>
      </c>
      <c r="P36" s="99">
        <f>IFERROR(AVERAGEIFS(Storage_Share_Detail!$K$2:$K$1025,Storage_Share_Detail!$A$2:$A$1025,"Init",Storage_Share_Detail!$B$2:$B$1025,"MESSAGE-GLOBIOM_SSP2-26",Storage_Share_Detail!$C$2:$C$1025,$A36),0)</f>
        <v>0</v>
      </c>
      <c r="Q36" s="98">
        <f>IFERROR(AVERAGEIFS(Storage_Share_Detail!$G$2:$G$1025,Storage_Share_Detail!$A$2:$A$1025,"Opti",Storage_Share_Detail!$B$2:$B$1025,"MESSAGE-GLOBIOM_SSP2-26",Storage_Share_Detail!$C$2:$C$1025,$A36,Storage_Share_Detail!$D$2:$D$1025,2020),0)</f>
        <v>0</v>
      </c>
      <c r="R36" s="98">
        <f>IFERROR(AVERAGEIFS(Storage_Share_Detail!$G$2:$G$1025,Storage_Share_Detail!$A$2:$A$1025,"Opti",Storage_Share_Detail!$B$2:$B$1025,"MESSAGE-GLOBIOM_SSP2-26",Storage_Share_Detail!$C$2:$C$1025,$A36,Storage_Share_Detail!$D$2:$D$1025,2030),0)</f>
        <v>0</v>
      </c>
      <c r="S36" s="98">
        <f>IFERROR(AVERAGEIFS(Storage_Share_Detail!$G$2:$G$1025,Storage_Share_Detail!$A$2:$A$1025,"Opti",Storage_Share_Detail!$B$2:$B$1025,"MESSAGE-GLOBIOM_SSP2-26",Storage_Share_Detail!$C$2:$C$1025,$A36,Storage_Share_Detail!$D$2:$D$1025,2040),0)</f>
        <v>0</v>
      </c>
      <c r="T36" s="98">
        <f>IFERROR(AVERAGEIFS(Storage_Share_Detail!$G$2:$G$1025,Storage_Share_Detail!$A$2:$A$1025,"Opti",Storage_Share_Detail!$B$2:$B$1025,"MESSAGE-GLOBIOM_SSP2-26",Storage_Share_Detail!$C$2:$C$1025,$A36,Storage_Share_Detail!$D$2:$D$1025,2050),0)</f>
        <v>0</v>
      </c>
      <c r="U36" s="99">
        <f>IFERROR(AVERAGEIFS(Storage_Share_Detail!$K$2:$K$1025,Storage_Share_Detail!$A$2:$A$1025,"Opti",Storage_Share_Detail!$B$2:$B$1025,"MESSAGE-GLOBIOM_SSP2-26",Storage_Share_Detail!$C$2:$C$1025,$A36),0)</f>
        <v>0</v>
      </c>
      <c r="V36" s="98">
        <f>IFERROR(AVERAGEIFS(Storage_Share_Detail!$G$2:$G$1025,Storage_Share_Detail!$A$2:$A$1025,"Init",Storage_Share_Detail!$B$2:$B$1025,"GCAM4_SSP4-26",Storage_Share_Detail!$C$2:$C$1025,$A36,Storage_Share_Detail!$D$2:$D$1025,2020),0)</f>
        <v>0</v>
      </c>
      <c r="W36" s="98">
        <f>IFERROR(AVERAGEIFS(Storage_Share_Detail!$G$2:$G$1025,Storage_Share_Detail!$A$2:$A$1025,"Init",Storage_Share_Detail!$B$2:$B$1025,"GCAM4_SSP4-26",Storage_Share_Detail!$C$2:$C$1025,$A36,Storage_Share_Detail!$D$2:$D$1025,2030),0)</f>
        <v>0</v>
      </c>
      <c r="X36" s="98">
        <f>IFERROR(AVERAGEIFS(Storage_Share_Detail!$G$2:$G$1025,Storage_Share_Detail!$A$2:$A$1025,"Init",Storage_Share_Detail!$B$2:$B$1025,"GCAM4_SSP4-26",Storage_Share_Detail!$C$2:$C$1025,$A36,Storage_Share_Detail!$D$2:$D$1025,2040),0)</f>
        <v>0</v>
      </c>
      <c r="Y36" s="98">
        <f>IFERROR(AVERAGEIFS(Storage_Share_Detail!$G$2:$G$1025,Storage_Share_Detail!$A$2:$A$1025,"Init",Storage_Share_Detail!$B$2:$B$1025,"GCAM4_SSP4-26",Storage_Share_Detail!$C$2:$C$1025,$A36,Storage_Share_Detail!$D$2:$D$1025,2050),0)</f>
        <v>0</v>
      </c>
      <c r="Z36" s="99">
        <f>IFERROR(AVERAGEIFS(Storage_Share_Detail!$K$2:$K$1025,Storage_Share_Detail!$A$2:$A$1025,"Init",Storage_Share_Detail!$B$2:$B$1025,"GCAM4_SSP4-26",Storage_Share_Detail!$C$2:$C$1025,$A36),0)</f>
        <v>0</v>
      </c>
      <c r="AA36" s="98">
        <f>IFERROR(AVERAGEIFS(Storage_Share_Detail!$G$2:$G$1025,Storage_Share_Detail!$A$2:$A$1025,"Opti",Storage_Share_Detail!$B$2:$B$1025,"GCAM4_SSP4-26",Storage_Share_Detail!$C$2:$C$1025,$A36,Storage_Share_Detail!$D$2:$D$1025,2020),0)</f>
        <v>0</v>
      </c>
      <c r="AB36" s="98">
        <f>IFERROR(AVERAGEIFS(Storage_Share_Detail!$G$2:$G$1025,Storage_Share_Detail!$A$2:$A$1025,"Opti",Storage_Share_Detail!$B$2:$B$1025,"GCAM4_SSP4-26",Storage_Share_Detail!$C$2:$C$1025,$A36,Storage_Share_Detail!$D$2:$D$1025,2030),0)</f>
        <v>0</v>
      </c>
      <c r="AC36" s="98">
        <f>IFERROR(AVERAGEIFS(Storage_Share_Detail!$G$2:$G$1025,Storage_Share_Detail!$A$2:$A$1025,"Opti",Storage_Share_Detail!$B$2:$B$1025,"GCAM4_SSP4-26",Storage_Share_Detail!$C$2:$C$1025,$A36,Storage_Share_Detail!$D$2:$D$1025,2040),0)</f>
        <v>0</v>
      </c>
      <c r="AD36" s="98">
        <f>IFERROR(AVERAGEIFS(Storage_Share_Detail!$G$2:$G$1025,Storage_Share_Detail!$A$2:$A$1025,"Opti",Storage_Share_Detail!$B$2:$B$1025,"GCAM4_SSP4-26",Storage_Share_Detail!$C$2:$C$1025,$A36,Storage_Share_Detail!$D$2:$D$1025,2050),0)</f>
        <v>0</v>
      </c>
      <c r="AE36" s="99">
        <f>IFERROR(AVERAGEIFS(Storage_Share_Detail!$K$2:$K$1025,Storage_Share_Detail!$A$2:$A$1025,"Opti",Storage_Share_Detail!$B$2:$B$1025,"GCAM4_SSP4-26",Storage_Share_Detail!$C$2:$C$1025,$A36),0)</f>
        <v>0</v>
      </c>
      <c r="AF36" s="98">
        <f>IFERROR(AVERAGEIFS(Storage_Share_Detail!$G$2:$G$1025,Storage_Share_Detail!$A$2:$A$1025,"Init",Storage_Share_Detail!$B$2:$B$1025,"REMIND-MAGPIE_SSP5-26",Storage_Share_Detail!$C$2:$C$1025,$A36,Storage_Share_Detail!$D$2:$D$1025,2020),0)</f>
        <v>0</v>
      </c>
      <c r="AG36" s="98">
        <f>IFERROR(AVERAGEIFS(Storage_Share_Detail!$G$2:$G$1025,Storage_Share_Detail!$A$2:$A$1025,"Init",Storage_Share_Detail!$B$2:$B$1025,"REMIND-MAGPIE_SSP5-26",Storage_Share_Detail!$C$2:$C$1025,$A36,Storage_Share_Detail!$D$2:$D$1025,2030),0)</f>
        <v>0</v>
      </c>
      <c r="AH36" s="98">
        <f>IFERROR(AVERAGEIFS(Storage_Share_Detail!$G$2:$G$1025,Storage_Share_Detail!$A$2:$A$1025,"Init",Storage_Share_Detail!$B$2:$B$1025,"REMIND-MAGPIE_SSP5-26",Storage_Share_Detail!$C$2:$C$1025,$A36,Storage_Share_Detail!$D$2:$D$1025,2040),0)</f>
        <v>0</v>
      </c>
      <c r="AI36" s="98">
        <f>IFERROR(AVERAGEIFS(Storage_Share_Detail!$G$2:$G$1025,Storage_Share_Detail!$A$2:$A$1025,"Init",Storage_Share_Detail!$B$2:$B$1025,"REMIND-MAGPIE_SSP5-26",Storage_Share_Detail!$C$2:$C$1025,$A36,Storage_Share_Detail!$D$2:$D$1025,2050),0)</f>
        <v>0</v>
      </c>
      <c r="AJ36" s="99">
        <f>IFERROR(AVERAGEIFS(Storage_Share_Detail!$K$2:$K$1025,Storage_Share_Detail!$A$2:$A$1025,"Init",Storage_Share_Detail!$B$2:$B$1025,"REMIND-MAGPIE_SSP5-26",Storage_Share_Detail!$C$2:$C$1025,$A36),0)</f>
        <v>0</v>
      </c>
      <c r="AK36" s="98">
        <f>IFERROR(AVERAGEIFS(Storage_Share_Detail!$G$2:$G$1025,Storage_Share_Detail!$A$2:$A$1025,"Opti",Storage_Share_Detail!$B$2:$B$1025,"REMIND-MAGPIE_SSP5-26",Storage_Share_Detail!$C$2:$C$1025,$A36,Storage_Share_Detail!$D$2:$D$1025,2020),0)</f>
        <v>0</v>
      </c>
      <c r="AL36" s="98">
        <f>IFERROR(AVERAGEIFS(Storage_Share_Detail!$G$2:$G$1025,Storage_Share_Detail!$A$2:$A$1025,"Opti",Storage_Share_Detail!$B$2:$B$1025,"REMIND-MAGPIE_SSP5-26",Storage_Share_Detail!$C$2:$C$1025,$A36,Storage_Share_Detail!$D$2:$D$1025,2030),0)</f>
        <v>0</v>
      </c>
      <c r="AM36" s="98">
        <f>IFERROR(AVERAGEIFS(Storage_Share_Detail!$G$2:$G$1025,Storage_Share_Detail!$A$2:$A$1025,"Opti",Storage_Share_Detail!$B$2:$B$1025,"REMIND-MAGPIE_SSP5-26",Storage_Share_Detail!$C$2:$C$1025,$A36,Storage_Share_Detail!$D$2:$D$1025,2040),0)</f>
        <v>0</v>
      </c>
      <c r="AN36" s="98">
        <f>IFERROR(AVERAGEIFS(Storage_Share_Detail!$G$2:$G$1025,Storage_Share_Detail!$A$2:$A$1025,"Opti",Storage_Share_Detail!$B$2:$B$1025,"REMIND-MAGPIE_SSP5-26",Storage_Share_Detail!$C$2:$C$1025,$A36,Storage_Share_Detail!$D$2:$D$1025,2050),0)</f>
        <v>0</v>
      </c>
      <c r="AO36" s="99">
        <f>IFERROR(AVERAGEIFS(Storage_Share_Detail!$K$2:$K$1025,Storage_Share_Detail!$A$2:$A$1025,"Opti",Storage_Share_Detail!$B$2:$B$1025,"REMIND-MAGPIE_SSP5-26",Storage_Share_Detail!$C$2:$C$1025,$A36),0)</f>
        <v>0</v>
      </c>
    </row>
    <row r="37" spans="1:41" x14ac:dyDescent="0.2">
      <c r="A37" s="102" t="s">
        <v>77</v>
      </c>
      <c r="B37" s="98">
        <f>IFERROR(AVERAGEIFS(Storage_Share_Detail!$G$2:$G$1025,Storage_Share_Detail!$A$2:$A$1025,"Init",Storage_Share_Detail!$B$2:$B$1025,"IMAGE_SSP1-26",Storage_Share_Detail!$C$2:$C$1025,$A37,Storage_Share_Detail!$D$2:$D$1025,2020),0)</f>
        <v>0</v>
      </c>
      <c r="C37" s="98">
        <f>IFERROR(AVERAGEIFS(Storage_Share_Detail!$G$2:$G$1025,Storage_Share_Detail!$A$2:$A$1025,"Init",Storage_Share_Detail!$B$2:$B$1025,"IMAGE_SSP1-26",Storage_Share_Detail!$C$2:$C$1025,$A37,Storage_Share_Detail!$D$2:$D$1025,2030),0)</f>
        <v>0</v>
      </c>
      <c r="D37" s="98">
        <f>IFERROR(AVERAGEIFS(Storage_Share_Detail!$G$2:$G$1025,Storage_Share_Detail!$A$2:$A$1025,"Init",Storage_Share_Detail!$B$2:$B$1025,"IMAGE_SSP1-26",Storage_Share_Detail!$C$2:$C$1025,$A37,Storage_Share_Detail!$D$2:$D$1025,2040),0)</f>
        <v>0</v>
      </c>
      <c r="E37" s="98">
        <f>IFERROR(AVERAGEIFS(Storage_Share_Detail!$G$2:$G$1025,Storage_Share_Detail!$A$2:$A$1025,"Init",Storage_Share_Detail!$B$2:$B$1025,"IMAGE_SSP1-26",Storage_Share_Detail!$C$2:$C$1025,$A37,Storage_Share_Detail!$D$2:$D$1025,2050),0)</f>
        <v>0</v>
      </c>
      <c r="F37" s="99">
        <f>IFERROR(AVERAGEIFS(Storage_Share_Detail!$K$2:$K$1025,Storage_Share_Detail!$A$2:$A$1025,"Init",Storage_Share_Detail!$B$2:$B$1025,"IMAGE_SSP1-26",Storage_Share_Detail!$C$2:$C$1025,$A37),0)</f>
        <v>0</v>
      </c>
      <c r="G37" s="98">
        <f>IFERROR(AVERAGEIFS(Storage_Share_Detail!$G$2:$G$1025,Storage_Share_Detail!$A$2:$A$1025,"Opti",Storage_Share_Detail!$B$2:$B$1025,"IMAGE_SSP1-26",Storage_Share_Detail!$C$2:$C$1025,$A37,Storage_Share_Detail!$D$2:$D$1025,2020),0)</f>
        <v>0</v>
      </c>
      <c r="H37" s="98">
        <f>IFERROR(AVERAGEIFS(Storage_Share_Detail!$G$2:$G$1025,Storage_Share_Detail!$A$2:$A$1025,"Opti",Storage_Share_Detail!$B$2:$B$1025,"IMAGE_SSP1-26",Storage_Share_Detail!$C$2:$C$1025,$A37,Storage_Share_Detail!$D$2:$D$1025,2030),0)</f>
        <v>0</v>
      </c>
      <c r="I37" s="98">
        <f>IFERROR(AVERAGEIFS(Storage_Share_Detail!$G$2:$G$1025,Storage_Share_Detail!$A$2:$A$1025,"Opti",Storage_Share_Detail!$B$2:$B$1025,"IMAGE_SSP1-26",Storage_Share_Detail!$C$2:$C$1025,$A37,Storage_Share_Detail!$D$2:$D$1025,2040),0)</f>
        <v>0</v>
      </c>
      <c r="J37" s="98">
        <f>IFERROR(AVERAGEIFS(Storage_Share_Detail!$G$2:$G$1025,Storage_Share_Detail!$A$2:$A$1025,"Opti",Storage_Share_Detail!$B$2:$B$1025,"IMAGE_SSP1-26",Storage_Share_Detail!$C$2:$C$1025,$A37,Storage_Share_Detail!$D$2:$D$1025,2050),0)</f>
        <v>0</v>
      </c>
      <c r="K37" s="99">
        <f>IFERROR(AVERAGEIFS(Storage_Share_Detail!$K$2:$K$1025,Storage_Share_Detail!$A$2:$A$1025,"Opti",Storage_Share_Detail!$B$2:$B$1025,"IMAGE_SSP1-26",Storage_Share_Detail!$C$2:$C$1025,$A37),0)</f>
        <v>0</v>
      </c>
      <c r="L37" s="98">
        <f>IFERROR(AVERAGEIFS(Storage_Share_Detail!$G$2:$G$1025,Storage_Share_Detail!$A$2:$A$1025,"Init",Storage_Share_Detail!$B$2:$B$1025,"MESSAGE-GLOBIOM_SSP2-26",Storage_Share_Detail!$C$2:$C$1025,$A37,Storage_Share_Detail!$D$2:$D$1025,2020),0)</f>
        <v>0</v>
      </c>
      <c r="M37" s="98">
        <f>IFERROR(AVERAGEIFS(Storage_Share_Detail!$G$2:$G$1025,Storage_Share_Detail!$A$2:$A$1025,"Init",Storage_Share_Detail!$B$2:$B$1025,"MESSAGE-GLOBIOM_SSP2-26",Storage_Share_Detail!$C$2:$C$1025,$A37,Storage_Share_Detail!$D$2:$D$1025,2030),0)</f>
        <v>0</v>
      </c>
      <c r="N37" s="98">
        <f>IFERROR(AVERAGEIFS(Storage_Share_Detail!$G$2:$G$1025,Storage_Share_Detail!$A$2:$A$1025,"Init",Storage_Share_Detail!$B$2:$B$1025,"MESSAGE-GLOBIOM_SSP2-26",Storage_Share_Detail!$C$2:$C$1025,$A37,Storage_Share_Detail!$D$2:$D$1025,2040),0)</f>
        <v>0</v>
      </c>
      <c r="O37" s="98">
        <f>IFERROR(AVERAGEIFS(Storage_Share_Detail!$G$2:$G$1025,Storage_Share_Detail!$A$2:$A$1025,"Init",Storage_Share_Detail!$B$2:$B$1025,"MESSAGE-GLOBIOM_SSP2-26",Storage_Share_Detail!$C$2:$C$1025,$A37,Storage_Share_Detail!$D$2:$D$1025,2050),0)</f>
        <v>0</v>
      </c>
      <c r="P37" s="99">
        <f>IFERROR(AVERAGEIFS(Storage_Share_Detail!$K$2:$K$1025,Storage_Share_Detail!$A$2:$A$1025,"Init",Storage_Share_Detail!$B$2:$B$1025,"MESSAGE-GLOBIOM_SSP2-26",Storage_Share_Detail!$C$2:$C$1025,$A37),0)</f>
        <v>0</v>
      </c>
      <c r="Q37" s="98">
        <f>IFERROR(AVERAGEIFS(Storage_Share_Detail!$G$2:$G$1025,Storage_Share_Detail!$A$2:$A$1025,"Opti",Storage_Share_Detail!$B$2:$B$1025,"MESSAGE-GLOBIOM_SSP2-26",Storage_Share_Detail!$C$2:$C$1025,$A37,Storage_Share_Detail!$D$2:$D$1025,2020),0)</f>
        <v>0</v>
      </c>
      <c r="R37" s="98">
        <f>IFERROR(AVERAGEIFS(Storage_Share_Detail!$G$2:$G$1025,Storage_Share_Detail!$A$2:$A$1025,"Opti",Storage_Share_Detail!$B$2:$B$1025,"MESSAGE-GLOBIOM_SSP2-26",Storage_Share_Detail!$C$2:$C$1025,$A37,Storage_Share_Detail!$D$2:$D$1025,2030),0)</f>
        <v>0</v>
      </c>
      <c r="S37" s="98">
        <f>IFERROR(AVERAGEIFS(Storage_Share_Detail!$G$2:$G$1025,Storage_Share_Detail!$A$2:$A$1025,"Opti",Storage_Share_Detail!$B$2:$B$1025,"MESSAGE-GLOBIOM_SSP2-26",Storage_Share_Detail!$C$2:$C$1025,$A37,Storage_Share_Detail!$D$2:$D$1025,2040),0)</f>
        <v>0</v>
      </c>
      <c r="T37" s="98">
        <f>IFERROR(AVERAGEIFS(Storage_Share_Detail!$G$2:$G$1025,Storage_Share_Detail!$A$2:$A$1025,"Opti",Storage_Share_Detail!$B$2:$B$1025,"MESSAGE-GLOBIOM_SSP2-26",Storage_Share_Detail!$C$2:$C$1025,$A37,Storage_Share_Detail!$D$2:$D$1025,2050),0)</f>
        <v>0</v>
      </c>
      <c r="U37" s="99">
        <f>IFERROR(AVERAGEIFS(Storage_Share_Detail!$K$2:$K$1025,Storage_Share_Detail!$A$2:$A$1025,"Opti",Storage_Share_Detail!$B$2:$B$1025,"MESSAGE-GLOBIOM_SSP2-26",Storage_Share_Detail!$C$2:$C$1025,$A37),0)</f>
        <v>0</v>
      </c>
      <c r="V37" s="98">
        <f>IFERROR(AVERAGEIFS(Storage_Share_Detail!$G$2:$G$1025,Storage_Share_Detail!$A$2:$A$1025,"Init",Storage_Share_Detail!$B$2:$B$1025,"GCAM4_SSP4-26",Storage_Share_Detail!$C$2:$C$1025,$A37,Storage_Share_Detail!$D$2:$D$1025,2020),0)</f>
        <v>0</v>
      </c>
      <c r="W37" s="98">
        <f>IFERROR(AVERAGEIFS(Storage_Share_Detail!$G$2:$G$1025,Storage_Share_Detail!$A$2:$A$1025,"Init",Storage_Share_Detail!$B$2:$B$1025,"GCAM4_SSP4-26",Storage_Share_Detail!$C$2:$C$1025,$A37,Storage_Share_Detail!$D$2:$D$1025,2030),0)</f>
        <v>0</v>
      </c>
      <c r="X37" s="98">
        <f>IFERROR(AVERAGEIFS(Storage_Share_Detail!$G$2:$G$1025,Storage_Share_Detail!$A$2:$A$1025,"Init",Storage_Share_Detail!$B$2:$B$1025,"GCAM4_SSP4-26",Storage_Share_Detail!$C$2:$C$1025,$A37,Storage_Share_Detail!$D$2:$D$1025,2040),0)</f>
        <v>0</v>
      </c>
      <c r="Y37" s="98">
        <f>IFERROR(AVERAGEIFS(Storage_Share_Detail!$G$2:$G$1025,Storage_Share_Detail!$A$2:$A$1025,"Init",Storage_Share_Detail!$B$2:$B$1025,"GCAM4_SSP4-26",Storage_Share_Detail!$C$2:$C$1025,$A37,Storage_Share_Detail!$D$2:$D$1025,2050),0)</f>
        <v>0</v>
      </c>
      <c r="Z37" s="99">
        <f>IFERROR(AVERAGEIFS(Storage_Share_Detail!$K$2:$K$1025,Storage_Share_Detail!$A$2:$A$1025,"Init",Storage_Share_Detail!$B$2:$B$1025,"GCAM4_SSP4-26",Storage_Share_Detail!$C$2:$C$1025,$A37),0)</f>
        <v>0</v>
      </c>
      <c r="AA37" s="98">
        <f>IFERROR(AVERAGEIFS(Storage_Share_Detail!$G$2:$G$1025,Storage_Share_Detail!$A$2:$A$1025,"Opti",Storage_Share_Detail!$B$2:$B$1025,"GCAM4_SSP4-26",Storage_Share_Detail!$C$2:$C$1025,$A37,Storage_Share_Detail!$D$2:$D$1025,2020),0)</f>
        <v>0</v>
      </c>
      <c r="AB37" s="98">
        <f>IFERROR(AVERAGEIFS(Storage_Share_Detail!$G$2:$G$1025,Storage_Share_Detail!$A$2:$A$1025,"Opti",Storage_Share_Detail!$B$2:$B$1025,"GCAM4_SSP4-26",Storage_Share_Detail!$C$2:$C$1025,$A37,Storage_Share_Detail!$D$2:$D$1025,2030),0)</f>
        <v>0</v>
      </c>
      <c r="AC37" s="98">
        <f>IFERROR(AVERAGEIFS(Storage_Share_Detail!$G$2:$G$1025,Storage_Share_Detail!$A$2:$A$1025,"Opti",Storage_Share_Detail!$B$2:$B$1025,"GCAM4_SSP4-26",Storage_Share_Detail!$C$2:$C$1025,$A37,Storage_Share_Detail!$D$2:$D$1025,2040),0)</f>
        <v>0</v>
      </c>
      <c r="AD37" s="98">
        <f>IFERROR(AVERAGEIFS(Storage_Share_Detail!$G$2:$G$1025,Storage_Share_Detail!$A$2:$A$1025,"Opti",Storage_Share_Detail!$B$2:$B$1025,"GCAM4_SSP4-26",Storage_Share_Detail!$C$2:$C$1025,$A37,Storage_Share_Detail!$D$2:$D$1025,2050),0)</f>
        <v>0</v>
      </c>
      <c r="AE37" s="99">
        <f>IFERROR(AVERAGEIFS(Storage_Share_Detail!$K$2:$K$1025,Storage_Share_Detail!$A$2:$A$1025,"Opti",Storage_Share_Detail!$B$2:$B$1025,"GCAM4_SSP4-26",Storage_Share_Detail!$C$2:$C$1025,$A37),0)</f>
        <v>0</v>
      </c>
      <c r="AF37" s="98">
        <f>IFERROR(AVERAGEIFS(Storage_Share_Detail!$G$2:$G$1025,Storage_Share_Detail!$A$2:$A$1025,"Init",Storage_Share_Detail!$B$2:$B$1025,"REMIND-MAGPIE_SSP5-26",Storage_Share_Detail!$C$2:$C$1025,$A37,Storage_Share_Detail!$D$2:$D$1025,2020),0)</f>
        <v>0</v>
      </c>
      <c r="AG37" s="98">
        <f>IFERROR(AVERAGEIFS(Storage_Share_Detail!$G$2:$G$1025,Storage_Share_Detail!$A$2:$A$1025,"Init",Storage_Share_Detail!$B$2:$B$1025,"REMIND-MAGPIE_SSP5-26",Storage_Share_Detail!$C$2:$C$1025,$A37,Storage_Share_Detail!$D$2:$D$1025,2030),0)</f>
        <v>0</v>
      </c>
      <c r="AH37" s="98">
        <f>IFERROR(AVERAGEIFS(Storage_Share_Detail!$G$2:$G$1025,Storage_Share_Detail!$A$2:$A$1025,"Init",Storage_Share_Detail!$B$2:$B$1025,"REMIND-MAGPIE_SSP5-26",Storage_Share_Detail!$C$2:$C$1025,$A37,Storage_Share_Detail!$D$2:$D$1025,2040),0)</f>
        <v>0</v>
      </c>
      <c r="AI37" s="98">
        <f>IFERROR(AVERAGEIFS(Storage_Share_Detail!$G$2:$G$1025,Storage_Share_Detail!$A$2:$A$1025,"Init",Storage_Share_Detail!$B$2:$B$1025,"REMIND-MAGPIE_SSP5-26",Storage_Share_Detail!$C$2:$C$1025,$A37,Storage_Share_Detail!$D$2:$D$1025,2050),0)</f>
        <v>0</v>
      </c>
      <c r="AJ37" s="99">
        <f>IFERROR(AVERAGEIFS(Storage_Share_Detail!$K$2:$K$1025,Storage_Share_Detail!$A$2:$A$1025,"Init",Storage_Share_Detail!$B$2:$B$1025,"REMIND-MAGPIE_SSP5-26",Storage_Share_Detail!$C$2:$C$1025,$A37),0)</f>
        <v>0</v>
      </c>
      <c r="AK37" s="98">
        <f>IFERROR(AVERAGEIFS(Storage_Share_Detail!$G$2:$G$1025,Storage_Share_Detail!$A$2:$A$1025,"Opti",Storage_Share_Detail!$B$2:$B$1025,"REMIND-MAGPIE_SSP5-26",Storage_Share_Detail!$C$2:$C$1025,$A37,Storage_Share_Detail!$D$2:$D$1025,2020),0)</f>
        <v>0</v>
      </c>
      <c r="AL37" s="98">
        <f>IFERROR(AVERAGEIFS(Storage_Share_Detail!$G$2:$G$1025,Storage_Share_Detail!$A$2:$A$1025,"Opti",Storage_Share_Detail!$B$2:$B$1025,"REMIND-MAGPIE_SSP5-26",Storage_Share_Detail!$C$2:$C$1025,$A37,Storage_Share_Detail!$D$2:$D$1025,2030),0)</f>
        <v>0</v>
      </c>
      <c r="AM37" s="98">
        <f>IFERROR(AVERAGEIFS(Storage_Share_Detail!$G$2:$G$1025,Storage_Share_Detail!$A$2:$A$1025,"Opti",Storage_Share_Detail!$B$2:$B$1025,"REMIND-MAGPIE_SSP5-26",Storage_Share_Detail!$C$2:$C$1025,$A37,Storage_Share_Detail!$D$2:$D$1025,2040),0)</f>
        <v>0</v>
      </c>
      <c r="AN37" s="98">
        <f>IFERROR(AVERAGEIFS(Storage_Share_Detail!$G$2:$G$1025,Storage_Share_Detail!$A$2:$A$1025,"Opti",Storage_Share_Detail!$B$2:$B$1025,"REMIND-MAGPIE_SSP5-26",Storage_Share_Detail!$C$2:$C$1025,$A37,Storage_Share_Detail!$D$2:$D$1025,2050),0)</f>
        <v>0</v>
      </c>
      <c r="AO37" s="99">
        <f>IFERROR(AVERAGEIFS(Storage_Share_Detail!$K$2:$K$1025,Storage_Share_Detail!$A$2:$A$1025,"Opti",Storage_Share_Detail!$B$2:$B$1025,"REMIND-MAGPIE_SSP5-26",Storage_Share_Detail!$C$2:$C$1025,$A37),0)</f>
        <v>0</v>
      </c>
    </row>
    <row r="38" spans="1:41" x14ac:dyDescent="0.2">
      <c r="A38" s="102" t="s">
        <v>78</v>
      </c>
      <c r="B38" s="98">
        <f>IFERROR(AVERAGEIFS(Storage_Share_Detail!$G$2:$G$1025,Storage_Share_Detail!$A$2:$A$1025,"Init",Storage_Share_Detail!$B$2:$B$1025,"IMAGE_SSP1-26",Storage_Share_Detail!$C$2:$C$1025,$A38,Storage_Share_Detail!$D$2:$D$1025,2020),0)</f>
        <v>0</v>
      </c>
      <c r="C38" s="98">
        <f>IFERROR(AVERAGEIFS(Storage_Share_Detail!$G$2:$G$1025,Storage_Share_Detail!$A$2:$A$1025,"Init",Storage_Share_Detail!$B$2:$B$1025,"IMAGE_SSP1-26",Storage_Share_Detail!$C$2:$C$1025,$A38,Storage_Share_Detail!$D$2:$D$1025,2030),0)</f>
        <v>0</v>
      </c>
      <c r="D38" s="98">
        <f>IFERROR(AVERAGEIFS(Storage_Share_Detail!$G$2:$G$1025,Storage_Share_Detail!$A$2:$A$1025,"Init",Storage_Share_Detail!$B$2:$B$1025,"IMAGE_SSP1-26",Storage_Share_Detail!$C$2:$C$1025,$A38,Storage_Share_Detail!$D$2:$D$1025,2040),0)</f>
        <v>0</v>
      </c>
      <c r="E38" s="98">
        <f>IFERROR(AVERAGEIFS(Storage_Share_Detail!$G$2:$G$1025,Storage_Share_Detail!$A$2:$A$1025,"Init",Storage_Share_Detail!$B$2:$B$1025,"IMAGE_SSP1-26",Storage_Share_Detail!$C$2:$C$1025,$A38,Storage_Share_Detail!$D$2:$D$1025,2050),0)</f>
        <v>0</v>
      </c>
      <c r="F38" s="99">
        <f>IFERROR(AVERAGEIFS(Storage_Share_Detail!$K$2:$K$1025,Storage_Share_Detail!$A$2:$A$1025,"Init",Storage_Share_Detail!$B$2:$B$1025,"IMAGE_SSP1-26",Storage_Share_Detail!$C$2:$C$1025,$A38),0)</f>
        <v>0</v>
      </c>
      <c r="G38" s="98">
        <f>IFERROR(AVERAGEIFS(Storage_Share_Detail!$G$2:$G$1025,Storage_Share_Detail!$A$2:$A$1025,"Opti",Storage_Share_Detail!$B$2:$B$1025,"IMAGE_SSP1-26",Storage_Share_Detail!$C$2:$C$1025,$A38,Storage_Share_Detail!$D$2:$D$1025,2020),0)</f>
        <v>0</v>
      </c>
      <c r="H38" s="98">
        <f>IFERROR(AVERAGEIFS(Storage_Share_Detail!$G$2:$G$1025,Storage_Share_Detail!$A$2:$A$1025,"Opti",Storage_Share_Detail!$B$2:$B$1025,"IMAGE_SSP1-26",Storage_Share_Detail!$C$2:$C$1025,$A38,Storage_Share_Detail!$D$2:$D$1025,2030),0)</f>
        <v>0</v>
      </c>
      <c r="I38" s="98">
        <f>IFERROR(AVERAGEIFS(Storage_Share_Detail!$G$2:$G$1025,Storage_Share_Detail!$A$2:$A$1025,"Opti",Storage_Share_Detail!$B$2:$B$1025,"IMAGE_SSP1-26",Storage_Share_Detail!$C$2:$C$1025,$A38,Storage_Share_Detail!$D$2:$D$1025,2040),0)</f>
        <v>0</v>
      </c>
      <c r="J38" s="98">
        <f>IFERROR(AVERAGEIFS(Storage_Share_Detail!$G$2:$G$1025,Storage_Share_Detail!$A$2:$A$1025,"Opti",Storage_Share_Detail!$B$2:$B$1025,"IMAGE_SSP1-26",Storage_Share_Detail!$C$2:$C$1025,$A38,Storage_Share_Detail!$D$2:$D$1025,2050),0)</f>
        <v>0</v>
      </c>
      <c r="K38" s="99">
        <f>IFERROR(AVERAGEIFS(Storage_Share_Detail!$K$2:$K$1025,Storage_Share_Detail!$A$2:$A$1025,"Opti",Storage_Share_Detail!$B$2:$B$1025,"IMAGE_SSP1-26",Storage_Share_Detail!$C$2:$C$1025,$A38),0)</f>
        <v>0</v>
      </c>
      <c r="L38" s="98">
        <f>IFERROR(AVERAGEIFS(Storage_Share_Detail!$G$2:$G$1025,Storage_Share_Detail!$A$2:$A$1025,"Init",Storage_Share_Detail!$B$2:$B$1025,"MESSAGE-GLOBIOM_SSP2-26",Storage_Share_Detail!$C$2:$C$1025,$A38,Storage_Share_Detail!$D$2:$D$1025,2020),0)</f>
        <v>0</v>
      </c>
      <c r="M38" s="98">
        <f>IFERROR(AVERAGEIFS(Storage_Share_Detail!$G$2:$G$1025,Storage_Share_Detail!$A$2:$A$1025,"Init",Storage_Share_Detail!$B$2:$B$1025,"MESSAGE-GLOBIOM_SSP2-26",Storage_Share_Detail!$C$2:$C$1025,$A38,Storage_Share_Detail!$D$2:$D$1025,2030),0)</f>
        <v>0</v>
      </c>
      <c r="N38" s="98">
        <f>IFERROR(AVERAGEIFS(Storage_Share_Detail!$G$2:$G$1025,Storage_Share_Detail!$A$2:$A$1025,"Init",Storage_Share_Detail!$B$2:$B$1025,"MESSAGE-GLOBIOM_SSP2-26",Storage_Share_Detail!$C$2:$C$1025,$A38,Storage_Share_Detail!$D$2:$D$1025,2040),0)</f>
        <v>0</v>
      </c>
      <c r="O38" s="98">
        <f>IFERROR(AVERAGEIFS(Storage_Share_Detail!$G$2:$G$1025,Storage_Share_Detail!$A$2:$A$1025,"Init",Storage_Share_Detail!$B$2:$B$1025,"MESSAGE-GLOBIOM_SSP2-26",Storage_Share_Detail!$C$2:$C$1025,$A38,Storage_Share_Detail!$D$2:$D$1025,2050),0)</f>
        <v>0</v>
      </c>
      <c r="P38" s="99">
        <f>IFERROR(AVERAGEIFS(Storage_Share_Detail!$K$2:$K$1025,Storage_Share_Detail!$A$2:$A$1025,"Init",Storage_Share_Detail!$B$2:$B$1025,"MESSAGE-GLOBIOM_SSP2-26",Storage_Share_Detail!$C$2:$C$1025,$A38),0)</f>
        <v>0</v>
      </c>
      <c r="Q38" s="98">
        <f>IFERROR(AVERAGEIFS(Storage_Share_Detail!$G$2:$G$1025,Storage_Share_Detail!$A$2:$A$1025,"Opti",Storage_Share_Detail!$B$2:$B$1025,"MESSAGE-GLOBIOM_SSP2-26",Storage_Share_Detail!$C$2:$C$1025,$A38,Storage_Share_Detail!$D$2:$D$1025,2020),0)</f>
        <v>0</v>
      </c>
      <c r="R38" s="98">
        <f>IFERROR(AVERAGEIFS(Storage_Share_Detail!$G$2:$G$1025,Storage_Share_Detail!$A$2:$A$1025,"Opti",Storage_Share_Detail!$B$2:$B$1025,"MESSAGE-GLOBIOM_SSP2-26",Storage_Share_Detail!$C$2:$C$1025,$A38,Storage_Share_Detail!$D$2:$D$1025,2030),0)</f>
        <v>0</v>
      </c>
      <c r="S38" s="98">
        <f>IFERROR(AVERAGEIFS(Storage_Share_Detail!$G$2:$G$1025,Storage_Share_Detail!$A$2:$A$1025,"Opti",Storage_Share_Detail!$B$2:$B$1025,"MESSAGE-GLOBIOM_SSP2-26",Storage_Share_Detail!$C$2:$C$1025,$A38,Storage_Share_Detail!$D$2:$D$1025,2040),0)</f>
        <v>0</v>
      </c>
      <c r="T38" s="98">
        <f>IFERROR(AVERAGEIFS(Storage_Share_Detail!$G$2:$G$1025,Storage_Share_Detail!$A$2:$A$1025,"Opti",Storage_Share_Detail!$B$2:$B$1025,"MESSAGE-GLOBIOM_SSP2-26",Storage_Share_Detail!$C$2:$C$1025,$A38,Storage_Share_Detail!$D$2:$D$1025,2050),0)</f>
        <v>0</v>
      </c>
      <c r="U38" s="99">
        <f>IFERROR(AVERAGEIFS(Storage_Share_Detail!$K$2:$K$1025,Storage_Share_Detail!$A$2:$A$1025,"Opti",Storage_Share_Detail!$B$2:$B$1025,"MESSAGE-GLOBIOM_SSP2-26",Storage_Share_Detail!$C$2:$C$1025,$A38),0)</f>
        <v>0</v>
      </c>
      <c r="V38" s="98">
        <f>IFERROR(AVERAGEIFS(Storage_Share_Detail!$G$2:$G$1025,Storage_Share_Detail!$A$2:$A$1025,"Init",Storage_Share_Detail!$B$2:$B$1025,"GCAM4_SSP4-26",Storage_Share_Detail!$C$2:$C$1025,$A38,Storage_Share_Detail!$D$2:$D$1025,2020),0)</f>
        <v>0</v>
      </c>
      <c r="W38" s="98">
        <f>IFERROR(AVERAGEIFS(Storage_Share_Detail!$G$2:$G$1025,Storage_Share_Detail!$A$2:$A$1025,"Init",Storage_Share_Detail!$B$2:$B$1025,"GCAM4_SSP4-26",Storage_Share_Detail!$C$2:$C$1025,$A38,Storage_Share_Detail!$D$2:$D$1025,2030),0)</f>
        <v>0</v>
      </c>
      <c r="X38" s="98">
        <f>IFERROR(AVERAGEIFS(Storage_Share_Detail!$G$2:$G$1025,Storage_Share_Detail!$A$2:$A$1025,"Init",Storage_Share_Detail!$B$2:$B$1025,"GCAM4_SSP4-26",Storage_Share_Detail!$C$2:$C$1025,$A38,Storage_Share_Detail!$D$2:$D$1025,2040),0)</f>
        <v>0</v>
      </c>
      <c r="Y38" s="98">
        <f>IFERROR(AVERAGEIFS(Storage_Share_Detail!$G$2:$G$1025,Storage_Share_Detail!$A$2:$A$1025,"Init",Storage_Share_Detail!$B$2:$B$1025,"GCAM4_SSP4-26",Storage_Share_Detail!$C$2:$C$1025,$A38,Storage_Share_Detail!$D$2:$D$1025,2050),0)</f>
        <v>0</v>
      </c>
      <c r="Z38" s="99">
        <f>IFERROR(AVERAGEIFS(Storage_Share_Detail!$K$2:$K$1025,Storage_Share_Detail!$A$2:$A$1025,"Init",Storage_Share_Detail!$B$2:$B$1025,"GCAM4_SSP4-26",Storage_Share_Detail!$C$2:$C$1025,$A38),0)</f>
        <v>0</v>
      </c>
      <c r="AA38" s="98">
        <f>IFERROR(AVERAGEIFS(Storage_Share_Detail!$G$2:$G$1025,Storage_Share_Detail!$A$2:$A$1025,"Opti",Storage_Share_Detail!$B$2:$B$1025,"GCAM4_SSP4-26",Storage_Share_Detail!$C$2:$C$1025,$A38,Storage_Share_Detail!$D$2:$D$1025,2020),0)</f>
        <v>0</v>
      </c>
      <c r="AB38" s="98">
        <f>IFERROR(AVERAGEIFS(Storage_Share_Detail!$G$2:$G$1025,Storage_Share_Detail!$A$2:$A$1025,"Opti",Storage_Share_Detail!$B$2:$B$1025,"GCAM4_SSP4-26",Storage_Share_Detail!$C$2:$C$1025,$A38,Storage_Share_Detail!$D$2:$D$1025,2030),0)</f>
        <v>0</v>
      </c>
      <c r="AC38" s="98">
        <f>IFERROR(AVERAGEIFS(Storage_Share_Detail!$G$2:$G$1025,Storage_Share_Detail!$A$2:$A$1025,"Opti",Storage_Share_Detail!$B$2:$B$1025,"GCAM4_SSP4-26",Storage_Share_Detail!$C$2:$C$1025,$A38,Storage_Share_Detail!$D$2:$D$1025,2040),0)</f>
        <v>0</v>
      </c>
      <c r="AD38" s="98">
        <f>IFERROR(AVERAGEIFS(Storage_Share_Detail!$G$2:$G$1025,Storage_Share_Detail!$A$2:$A$1025,"Opti",Storage_Share_Detail!$B$2:$B$1025,"GCAM4_SSP4-26",Storage_Share_Detail!$C$2:$C$1025,$A38,Storage_Share_Detail!$D$2:$D$1025,2050),0)</f>
        <v>0</v>
      </c>
      <c r="AE38" s="99">
        <f>IFERROR(AVERAGEIFS(Storage_Share_Detail!$K$2:$K$1025,Storage_Share_Detail!$A$2:$A$1025,"Opti",Storage_Share_Detail!$B$2:$B$1025,"GCAM4_SSP4-26",Storage_Share_Detail!$C$2:$C$1025,$A38),0)</f>
        <v>0</v>
      </c>
      <c r="AF38" s="98">
        <f>IFERROR(AVERAGEIFS(Storage_Share_Detail!$G$2:$G$1025,Storage_Share_Detail!$A$2:$A$1025,"Init",Storage_Share_Detail!$B$2:$B$1025,"REMIND-MAGPIE_SSP5-26",Storage_Share_Detail!$C$2:$C$1025,$A38,Storage_Share_Detail!$D$2:$D$1025,2020),0)</f>
        <v>0</v>
      </c>
      <c r="AG38" s="98">
        <f>IFERROR(AVERAGEIFS(Storage_Share_Detail!$G$2:$G$1025,Storage_Share_Detail!$A$2:$A$1025,"Init",Storage_Share_Detail!$B$2:$B$1025,"REMIND-MAGPIE_SSP5-26",Storage_Share_Detail!$C$2:$C$1025,$A38,Storage_Share_Detail!$D$2:$D$1025,2030),0)</f>
        <v>0</v>
      </c>
      <c r="AH38" s="98">
        <f>IFERROR(AVERAGEIFS(Storage_Share_Detail!$G$2:$G$1025,Storage_Share_Detail!$A$2:$A$1025,"Init",Storage_Share_Detail!$B$2:$B$1025,"REMIND-MAGPIE_SSP5-26",Storage_Share_Detail!$C$2:$C$1025,$A38,Storage_Share_Detail!$D$2:$D$1025,2040),0)</f>
        <v>0</v>
      </c>
      <c r="AI38" s="98">
        <f>IFERROR(AVERAGEIFS(Storage_Share_Detail!$G$2:$G$1025,Storage_Share_Detail!$A$2:$A$1025,"Init",Storage_Share_Detail!$B$2:$B$1025,"REMIND-MAGPIE_SSP5-26",Storage_Share_Detail!$C$2:$C$1025,$A38,Storage_Share_Detail!$D$2:$D$1025,2050),0)</f>
        <v>0</v>
      </c>
      <c r="AJ38" s="99">
        <f>IFERROR(AVERAGEIFS(Storage_Share_Detail!$K$2:$K$1025,Storage_Share_Detail!$A$2:$A$1025,"Init",Storage_Share_Detail!$B$2:$B$1025,"REMIND-MAGPIE_SSP5-26",Storage_Share_Detail!$C$2:$C$1025,$A38),0)</f>
        <v>0</v>
      </c>
      <c r="AK38" s="98">
        <f>IFERROR(AVERAGEIFS(Storage_Share_Detail!$G$2:$G$1025,Storage_Share_Detail!$A$2:$A$1025,"Opti",Storage_Share_Detail!$B$2:$B$1025,"REMIND-MAGPIE_SSP5-26",Storage_Share_Detail!$C$2:$C$1025,$A38,Storage_Share_Detail!$D$2:$D$1025,2020),0)</f>
        <v>0</v>
      </c>
      <c r="AL38" s="98">
        <f>IFERROR(AVERAGEIFS(Storage_Share_Detail!$G$2:$G$1025,Storage_Share_Detail!$A$2:$A$1025,"Opti",Storage_Share_Detail!$B$2:$B$1025,"REMIND-MAGPIE_SSP5-26",Storage_Share_Detail!$C$2:$C$1025,$A38,Storage_Share_Detail!$D$2:$D$1025,2030),0)</f>
        <v>0</v>
      </c>
      <c r="AM38" s="98">
        <f>IFERROR(AVERAGEIFS(Storage_Share_Detail!$G$2:$G$1025,Storage_Share_Detail!$A$2:$A$1025,"Opti",Storage_Share_Detail!$B$2:$B$1025,"REMIND-MAGPIE_SSP5-26",Storage_Share_Detail!$C$2:$C$1025,$A38,Storage_Share_Detail!$D$2:$D$1025,2040),0)</f>
        <v>0</v>
      </c>
      <c r="AN38" s="98">
        <f>IFERROR(AVERAGEIFS(Storage_Share_Detail!$G$2:$G$1025,Storage_Share_Detail!$A$2:$A$1025,"Opti",Storage_Share_Detail!$B$2:$B$1025,"REMIND-MAGPIE_SSP5-26",Storage_Share_Detail!$C$2:$C$1025,$A38,Storage_Share_Detail!$D$2:$D$1025,2050),0)</f>
        <v>0</v>
      </c>
      <c r="AO38" s="99">
        <f>IFERROR(AVERAGEIFS(Storage_Share_Detail!$K$2:$K$1025,Storage_Share_Detail!$A$2:$A$1025,"Opti",Storage_Share_Detail!$B$2:$B$1025,"REMIND-MAGPIE_SSP5-26",Storage_Share_Detail!$C$2:$C$1025,$A38),0)</f>
        <v>0</v>
      </c>
    </row>
  </sheetData>
  <mergeCells count="13">
    <mergeCell ref="A4:A6"/>
    <mergeCell ref="B4:K4"/>
    <mergeCell ref="V4:AE4"/>
    <mergeCell ref="B5:F5"/>
    <mergeCell ref="Q5:U5"/>
    <mergeCell ref="AF5:AJ5"/>
    <mergeCell ref="L4:U4"/>
    <mergeCell ref="AF4:AO4"/>
    <mergeCell ref="V5:Z5"/>
    <mergeCell ref="G5:K5"/>
    <mergeCell ref="AA5:AE5"/>
    <mergeCell ref="AK5:AO5"/>
    <mergeCell ref="L5:P5"/>
  </mergeCells>
  <conditionalFormatting sqref="B7:AO38">
    <cfRule type="colorScale" priority="2">
      <colorScale>
        <cfvo type="min"/>
        <cfvo type="max"/>
        <color rgb="FFFFFFFF"/>
        <color rgb="FFF8696B"/>
      </colorScale>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027"/>
  <sheetViews>
    <sheetView zoomScaleNormal="100" workbookViewId="0">
      <pane ySplit="1" topLeftCell="A2" activePane="bottomLeft" state="frozen"/>
      <selection pane="bottomLeft"/>
    </sheetView>
  </sheetViews>
  <sheetFormatPr baseColWidth="10" defaultColWidth="8.6640625" defaultRowHeight="15" x14ac:dyDescent="0.2"/>
  <cols>
    <col min="1" max="1" width="16" customWidth="1"/>
    <col min="2" max="2" width="24" customWidth="1"/>
    <col min="3" max="3" width="14" customWidth="1"/>
    <col min="4" max="4" width="8" customWidth="1"/>
    <col min="5" max="5" width="22" customWidth="1"/>
    <col min="6" max="6" width="34" customWidth="1"/>
    <col min="7" max="7" width="20" customWidth="1"/>
    <col min="8" max="8" width="30" customWidth="1"/>
    <col min="9" max="9" width="26" customWidth="1"/>
    <col min="10" max="10" width="20" customWidth="1"/>
    <col min="11" max="11" width="26" customWidth="1"/>
  </cols>
  <sheetData>
    <row r="1" spans="1:11" ht="30" customHeight="1" x14ac:dyDescent="0.2">
      <c r="A1" s="103" t="s">
        <v>203</v>
      </c>
      <c r="B1" s="103" t="s">
        <v>204</v>
      </c>
      <c r="C1" s="103" t="s">
        <v>119</v>
      </c>
      <c r="D1" s="103" t="s">
        <v>223</v>
      </c>
      <c r="E1" s="103" t="s">
        <v>224</v>
      </c>
      <c r="F1" s="103" t="s">
        <v>225</v>
      </c>
      <c r="G1" s="103" t="s">
        <v>226</v>
      </c>
      <c r="H1" s="103" t="s">
        <v>227</v>
      </c>
      <c r="I1" s="103" t="s">
        <v>228</v>
      </c>
      <c r="J1" s="103" t="s">
        <v>229</v>
      </c>
      <c r="K1" s="1" t="s">
        <v>230</v>
      </c>
    </row>
    <row r="2" spans="1:11" ht="15" customHeight="1" x14ac:dyDescent="0.2">
      <c r="A2" s="104" t="s">
        <v>205</v>
      </c>
      <c r="B2" s="104" t="s">
        <v>206</v>
      </c>
      <c r="C2" s="104" t="s">
        <v>38</v>
      </c>
      <c r="D2" s="104">
        <v>2020</v>
      </c>
      <c r="E2" s="105" t="e">
        <f>SUMIFS(#REF!,#REF!,$A2,#REF!,$B2,#REF!,$C2,#REF!,"Storage Demand")</f>
        <v>#REF!</v>
      </c>
      <c r="F2" s="105" t="e">
        <f>SUMIFS(#REF!,#REF!,$A2,#REF!,$B2,#REF!,$C2,#REF!,"&lt;&gt;Other Sector Demand")</f>
        <v>#REF!</v>
      </c>
      <c r="G2" s="106" t="e">
        <f t="shared" ref="G2:G65" si="0">IF($F2=0,0,$E2/$F2)</f>
        <v>#REF!</v>
      </c>
      <c r="H2" s="105" t="e">
        <f>SUMIFS(#REF!,#REF!,$A2,#REF!,$B2,#REF!,$C2,#REF!,"Other Sector Demand")</f>
        <v>#REF!</v>
      </c>
      <c r="I2" s="105" t="e">
        <f t="shared" ref="I2:I65" si="1">$F2+$H2</f>
        <v>#REF!</v>
      </c>
      <c r="J2" s="106" t="e">
        <f t="shared" ref="J2:J65" si="2">IF($I2=0,0,$E2/$I2)</f>
        <v>#REF!</v>
      </c>
      <c r="K2" s="107" t="e">
        <f t="shared" ref="K2:K65" si="3">IF(SUMIFS($F$2:$F$1025,$A$2:$A$1025,$A2,$B$2:$B$1025,$B2,$C$2:$C$1025,$C2)=0,0,SUMIFS($E$2:$E$1025,$A$2:$A$1025,$A2,$B$2:$B$1025,$B2,$C$2:$C$1025,$C2)/SUMIFS($F$2:$F$1025,$A$2:$A$1025,$A2,$B$2:$B$1025,$B2,$C$2:$C$1025,$C2))</f>
        <v>#REF!</v>
      </c>
    </row>
    <row r="3" spans="1:11" ht="15" customHeight="1" x14ac:dyDescent="0.2">
      <c r="A3" s="104" t="s">
        <v>205</v>
      </c>
      <c r="B3" s="104" t="s">
        <v>206</v>
      </c>
      <c r="C3" s="104" t="s">
        <v>38</v>
      </c>
      <c r="D3" s="104">
        <v>2030</v>
      </c>
      <c r="E3" s="105" t="e">
        <f>SUMIFS(#REF!,#REF!,$A3,#REF!,$B3,#REF!,$C3,#REF!,"Storage Demand")</f>
        <v>#REF!</v>
      </c>
      <c r="F3" s="105" t="e">
        <f>SUMIFS(#REF!,#REF!,$A3,#REF!,$B3,#REF!,$C3,#REF!,"&lt;&gt;Other Sector Demand")</f>
        <v>#REF!</v>
      </c>
      <c r="G3" s="106" t="e">
        <f t="shared" si="0"/>
        <v>#REF!</v>
      </c>
      <c r="H3" s="105" t="e">
        <f>SUMIFS(#REF!,#REF!,$A3,#REF!,$B3,#REF!,$C3,#REF!,"Other Sector Demand")</f>
        <v>#REF!</v>
      </c>
      <c r="I3" s="105" t="e">
        <f t="shared" si="1"/>
        <v>#REF!</v>
      </c>
      <c r="J3" s="106" t="e">
        <f t="shared" si="2"/>
        <v>#REF!</v>
      </c>
      <c r="K3" s="107" t="e">
        <f t="shared" si="3"/>
        <v>#REF!</v>
      </c>
    </row>
    <row r="4" spans="1:11" ht="15" customHeight="1" x14ac:dyDescent="0.2">
      <c r="A4" s="104" t="s">
        <v>205</v>
      </c>
      <c r="B4" s="104" t="s">
        <v>206</v>
      </c>
      <c r="C4" s="104" t="s">
        <v>38</v>
      </c>
      <c r="D4" s="104">
        <v>2040</v>
      </c>
      <c r="E4" s="105" t="e">
        <f>SUMIFS(#REF!,#REF!,$A4,#REF!,$B4,#REF!,$C4,#REF!,"Storage Demand")</f>
        <v>#REF!</v>
      </c>
      <c r="F4" s="105" t="e">
        <f>SUMIFS(#REF!,#REF!,$A4,#REF!,$B4,#REF!,$C4,#REF!,"&lt;&gt;Other Sector Demand")</f>
        <v>#REF!</v>
      </c>
      <c r="G4" s="106" t="e">
        <f t="shared" si="0"/>
        <v>#REF!</v>
      </c>
      <c r="H4" s="105" t="e">
        <f>SUMIFS(#REF!,#REF!,$A4,#REF!,$B4,#REF!,$C4,#REF!,"Other Sector Demand")</f>
        <v>#REF!</v>
      </c>
      <c r="I4" s="105" t="e">
        <f t="shared" si="1"/>
        <v>#REF!</v>
      </c>
      <c r="J4" s="106" t="e">
        <f t="shared" si="2"/>
        <v>#REF!</v>
      </c>
      <c r="K4" s="107" t="e">
        <f t="shared" si="3"/>
        <v>#REF!</v>
      </c>
    </row>
    <row r="5" spans="1:11" ht="15" customHeight="1" x14ac:dyDescent="0.2">
      <c r="A5" s="104" t="s">
        <v>205</v>
      </c>
      <c r="B5" s="104" t="s">
        <v>206</v>
      </c>
      <c r="C5" s="104" t="s">
        <v>38</v>
      </c>
      <c r="D5" s="104">
        <v>2050</v>
      </c>
      <c r="E5" s="105" t="e">
        <f>SUMIFS(#REF!,#REF!,$A5,#REF!,$B5,#REF!,$C5,#REF!,"Storage Demand")</f>
        <v>#REF!</v>
      </c>
      <c r="F5" s="105" t="e">
        <f>SUMIFS(#REF!,#REF!,$A5,#REF!,$B5,#REF!,$C5,#REF!,"&lt;&gt;Other Sector Demand")</f>
        <v>#REF!</v>
      </c>
      <c r="G5" s="106" t="e">
        <f t="shared" si="0"/>
        <v>#REF!</v>
      </c>
      <c r="H5" s="105" t="e">
        <f>SUMIFS(#REF!,#REF!,$A5,#REF!,$B5,#REF!,$C5,#REF!,"Other Sector Demand")</f>
        <v>#REF!</v>
      </c>
      <c r="I5" s="105" t="e">
        <f t="shared" si="1"/>
        <v>#REF!</v>
      </c>
      <c r="J5" s="106" t="e">
        <f t="shared" si="2"/>
        <v>#REF!</v>
      </c>
      <c r="K5" s="107" t="e">
        <f t="shared" si="3"/>
        <v>#REF!</v>
      </c>
    </row>
    <row r="6" spans="1:11" ht="15" customHeight="1" x14ac:dyDescent="0.2">
      <c r="A6" s="104" t="s">
        <v>205</v>
      </c>
      <c r="B6" s="104" t="s">
        <v>206</v>
      </c>
      <c r="C6" s="104" t="s">
        <v>39</v>
      </c>
      <c r="D6" s="104">
        <v>2020</v>
      </c>
      <c r="E6" s="105" t="e">
        <f>SUMIFS(#REF!,#REF!,$A6,#REF!,$B6,#REF!,$C6,#REF!,"Storage Demand")</f>
        <v>#REF!</v>
      </c>
      <c r="F6" s="105" t="e">
        <f>SUMIFS(#REF!,#REF!,$A6,#REF!,$B6,#REF!,$C6,#REF!,"&lt;&gt;Other Sector Demand")</f>
        <v>#REF!</v>
      </c>
      <c r="G6" s="106" t="e">
        <f t="shared" si="0"/>
        <v>#REF!</v>
      </c>
      <c r="H6" s="105" t="e">
        <f>SUMIFS(#REF!,#REF!,$A6,#REF!,$B6,#REF!,$C6,#REF!,"Other Sector Demand")</f>
        <v>#REF!</v>
      </c>
      <c r="I6" s="105" t="e">
        <f t="shared" si="1"/>
        <v>#REF!</v>
      </c>
      <c r="J6" s="106" t="e">
        <f t="shared" si="2"/>
        <v>#REF!</v>
      </c>
      <c r="K6" s="107" t="e">
        <f t="shared" si="3"/>
        <v>#REF!</v>
      </c>
    </row>
    <row r="7" spans="1:11" ht="15" customHeight="1" x14ac:dyDescent="0.2">
      <c r="A7" s="104" t="s">
        <v>205</v>
      </c>
      <c r="B7" s="104" t="s">
        <v>206</v>
      </c>
      <c r="C7" s="104" t="s">
        <v>39</v>
      </c>
      <c r="D7" s="104">
        <v>2030</v>
      </c>
      <c r="E7" s="105" t="e">
        <f>SUMIFS(#REF!,#REF!,$A7,#REF!,$B7,#REF!,$C7,#REF!,"Storage Demand")</f>
        <v>#REF!</v>
      </c>
      <c r="F7" s="105" t="e">
        <f>SUMIFS(#REF!,#REF!,$A7,#REF!,$B7,#REF!,$C7,#REF!,"&lt;&gt;Other Sector Demand")</f>
        <v>#REF!</v>
      </c>
      <c r="G7" s="106" t="e">
        <f t="shared" si="0"/>
        <v>#REF!</v>
      </c>
      <c r="H7" s="105" t="e">
        <f>SUMIFS(#REF!,#REF!,$A7,#REF!,$B7,#REF!,$C7,#REF!,"Other Sector Demand")</f>
        <v>#REF!</v>
      </c>
      <c r="I7" s="105" t="e">
        <f t="shared" si="1"/>
        <v>#REF!</v>
      </c>
      <c r="J7" s="106" t="e">
        <f t="shared" si="2"/>
        <v>#REF!</v>
      </c>
      <c r="K7" s="107" t="e">
        <f t="shared" si="3"/>
        <v>#REF!</v>
      </c>
    </row>
    <row r="8" spans="1:11" ht="15" customHeight="1" x14ac:dyDescent="0.2">
      <c r="A8" s="104" t="s">
        <v>205</v>
      </c>
      <c r="B8" s="104" t="s">
        <v>206</v>
      </c>
      <c r="C8" s="104" t="s">
        <v>39</v>
      </c>
      <c r="D8" s="104">
        <v>2040</v>
      </c>
      <c r="E8" s="105" t="e">
        <f>SUMIFS(#REF!,#REF!,$A8,#REF!,$B8,#REF!,$C8,#REF!,"Storage Demand")</f>
        <v>#REF!</v>
      </c>
      <c r="F8" s="105" t="e">
        <f>SUMIFS(#REF!,#REF!,$A8,#REF!,$B8,#REF!,$C8,#REF!,"&lt;&gt;Other Sector Demand")</f>
        <v>#REF!</v>
      </c>
      <c r="G8" s="106" t="e">
        <f t="shared" si="0"/>
        <v>#REF!</v>
      </c>
      <c r="H8" s="105" t="e">
        <f>SUMIFS(#REF!,#REF!,$A8,#REF!,$B8,#REF!,$C8,#REF!,"Other Sector Demand")</f>
        <v>#REF!</v>
      </c>
      <c r="I8" s="105" t="e">
        <f t="shared" si="1"/>
        <v>#REF!</v>
      </c>
      <c r="J8" s="106" t="e">
        <f t="shared" si="2"/>
        <v>#REF!</v>
      </c>
      <c r="K8" s="107" t="e">
        <f t="shared" si="3"/>
        <v>#REF!</v>
      </c>
    </row>
    <row r="9" spans="1:11" ht="15" customHeight="1" x14ac:dyDescent="0.2">
      <c r="A9" s="104" t="s">
        <v>205</v>
      </c>
      <c r="B9" s="104" t="s">
        <v>206</v>
      </c>
      <c r="C9" s="104" t="s">
        <v>39</v>
      </c>
      <c r="D9" s="104">
        <v>2050</v>
      </c>
      <c r="E9" s="105" t="e">
        <f>SUMIFS(#REF!,#REF!,$A9,#REF!,$B9,#REF!,$C9,#REF!,"Storage Demand")</f>
        <v>#REF!</v>
      </c>
      <c r="F9" s="105" t="e">
        <f>SUMIFS(#REF!,#REF!,$A9,#REF!,$B9,#REF!,$C9,#REF!,"&lt;&gt;Other Sector Demand")</f>
        <v>#REF!</v>
      </c>
      <c r="G9" s="106" t="e">
        <f t="shared" si="0"/>
        <v>#REF!</v>
      </c>
      <c r="H9" s="105" t="e">
        <f>SUMIFS(#REF!,#REF!,$A9,#REF!,$B9,#REF!,$C9,#REF!,"Other Sector Demand")</f>
        <v>#REF!</v>
      </c>
      <c r="I9" s="105" t="e">
        <f t="shared" si="1"/>
        <v>#REF!</v>
      </c>
      <c r="J9" s="106" t="e">
        <f t="shared" si="2"/>
        <v>#REF!</v>
      </c>
      <c r="K9" s="107" t="e">
        <f t="shared" si="3"/>
        <v>#REF!</v>
      </c>
    </row>
    <row r="10" spans="1:11" ht="15" customHeight="1" x14ac:dyDescent="0.2">
      <c r="A10" s="104" t="s">
        <v>205</v>
      </c>
      <c r="B10" s="104" t="s">
        <v>206</v>
      </c>
      <c r="C10" s="104" t="s">
        <v>40</v>
      </c>
      <c r="D10" s="104">
        <v>2020</v>
      </c>
      <c r="E10" s="105" t="e">
        <f>SUMIFS(#REF!,#REF!,$A10,#REF!,$B10,#REF!,$C10,#REF!,"Storage Demand")</f>
        <v>#REF!</v>
      </c>
      <c r="F10" s="105" t="e">
        <f>SUMIFS(#REF!,#REF!,$A10,#REF!,$B10,#REF!,$C10,#REF!,"&lt;&gt;Other Sector Demand")</f>
        <v>#REF!</v>
      </c>
      <c r="G10" s="106" t="e">
        <f t="shared" si="0"/>
        <v>#REF!</v>
      </c>
      <c r="H10" s="105" t="e">
        <f>SUMIFS(#REF!,#REF!,$A10,#REF!,$B10,#REF!,$C10,#REF!,"Other Sector Demand")</f>
        <v>#REF!</v>
      </c>
      <c r="I10" s="105" t="e">
        <f t="shared" si="1"/>
        <v>#REF!</v>
      </c>
      <c r="J10" s="106" t="e">
        <f t="shared" si="2"/>
        <v>#REF!</v>
      </c>
      <c r="K10" s="107" t="e">
        <f t="shared" si="3"/>
        <v>#REF!</v>
      </c>
    </row>
    <row r="11" spans="1:11" ht="15" customHeight="1" x14ac:dyDescent="0.2">
      <c r="A11" s="104" t="s">
        <v>205</v>
      </c>
      <c r="B11" s="104" t="s">
        <v>206</v>
      </c>
      <c r="C11" s="104" t="s">
        <v>40</v>
      </c>
      <c r="D11" s="104">
        <v>2030</v>
      </c>
      <c r="E11" s="105" t="e">
        <f>SUMIFS(#REF!,#REF!,$A11,#REF!,$B11,#REF!,$C11,#REF!,"Storage Demand")</f>
        <v>#REF!</v>
      </c>
      <c r="F11" s="105" t="e">
        <f>SUMIFS(#REF!,#REF!,$A11,#REF!,$B11,#REF!,$C11,#REF!,"&lt;&gt;Other Sector Demand")</f>
        <v>#REF!</v>
      </c>
      <c r="G11" s="106" t="e">
        <f t="shared" si="0"/>
        <v>#REF!</v>
      </c>
      <c r="H11" s="105" t="e">
        <f>SUMIFS(#REF!,#REF!,$A11,#REF!,$B11,#REF!,$C11,#REF!,"Other Sector Demand")</f>
        <v>#REF!</v>
      </c>
      <c r="I11" s="105" t="e">
        <f t="shared" si="1"/>
        <v>#REF!</v>
      </c>
      <c r="J11" s="106" t="e">
        <f t="shared" si="2"/>
        <v>#REF!</v>
      </c>
      <c r="K11" s="107" t="e">
        <f t="shared" si="3"/>
        <v>#REF!</v>
      </c>
    </row>
    <row r="12" spans="1:11" ht="15" customHeight="1" x14ac:dyDescent="0.2">
      <c r="A12" s="104" t="s">
        <v>205</v>
      </c>
      <c r="B12" s="104" t="s">
        <v>206</v>
      </c>
      <c r="C12" s="104" t="s">
        <v>40</v>
      </c>
      <c r="D12" s="104">
        <v>2040</v>
      </c>
      <c r="E12" s="105" t="e">
        <f>SUMIFS(#REF!,#REF!,$A12,#REF!,$B12,#REF!,$C12,#REF!,"Storage Demand")</f>
        <v>#REF!</v>
      </c>
      <c r="F12" s="105" t="e">
        <f>SUMIFS(#REF!,#REF!,$A12,#REF!,$B12,#REF!,$C12,#REF!,"&lt;&gt;Other Sector Demand")</f>
        <v>#REF!</v>
      </c>
      <c r="G12" s="106" t="e">
        <f t="shared" si="0"/>
        <v>#REF!</v>
      </c>
      <c r="H12" s="105" t="e">
        <f>SUMIFS(#REF!,#REF!,$A12,#REF!,$B12,#REF!,$C12,#REF!,"Other Sector Demand")</f>
        <v>#REF!</v>
      </c>
      <c r="I12" s="105" t="e">
        <f t="shared" si="1"/>
        <v>#REF!</v>
      </c>
      <c r="J12" s="106" t="e">
        <f t="shared" si="2"/>
        <v>#REF!</v>
      </c>
      <c r="K12" s="107" t="e">
        <f t="shared" si="3"/>
        <v>#REF!</v>
      </c>
    </row>
    <row r="13" spans="1:11" ht="15" customHeight="1" x14ac:dyDescent="0.2">
      <c r="A13" s="104" t="s">
        <v>205</v>
      </c>
      <c r="B13" s="104" t="s">
        <v>206</v>
      </c>
      <c r="C13" s="104" t="s">
        <v>40</v>
      </c>
      <c r="D13" s="104">
        <v>2050</v>
      </c>
      <c r="E13" s="105" t="e">
        <f>SUMIFS(#REF!,#REF!,$A13,#REF!,$B13,#REF!,$C13,#REF!,"Storage Demand")</f>
        <v>#REF!</v>
      </c>
      <c r="F13" s="105" t="e">
        <f>SUMIFS(#REF!,#REF!,$A13,#REF!,$B13,#REF!,$C13,#REF!,"&lt;&gt;Other Sector Demand")</f>
        <v>#REF!</v>
      </c>
      <c r="G13" s="106" t="e">
        <f t="shared" si="0"/>
        <v>#REF!</v>
      </c>
      <c r="H13" s="105" t="e">
        <f>SUMIFS(#REF!,#REF!,$A13,#REF!,$B13,#REF!,$C13,#REF!,"Other Sector Demand")</f>
        <v>#REF!</v>
      </c>
      <c r="I13" s="105" t="e">
        <f t="shared" si="1"/>
        <v>#REF!</v>
      </c>
      <c r="J13" s="106" t="e">
        <f t="shared" si="2"/>
        <v>#REF!</v>
      </c>
      <c r="K13" s="107" t="e">
        <f t="shared" si="3"/>
        <v>#REF!</v>
      </c>
    </row>
    <row r="14" spans="1:11" ht="15" customHeight="1" x14ac:dyDescent="0.2">
      <c r="A14" s="104" t="s">
        <v>205</v>
      </c>
      <c r="B14" s="104" t="s">
        <v>206</v>
      </c>
      <c r="C14" s="104" t="s">
        <v>41</v>
      </c>
      <c r="D14" s="104">
        <v>2020</v>
      </c>
      <c r="E14" s="105" t="e">
        <f>SUMIFS(#REF!,#REF!,$A14,#REF!,$B14,#REF!,$C14,#REF!,"Storage Demand")</f>
        <v>#REF!</v>
      </c>
      <c r="F14" s="105" t="e">
        <f>SUMIFS(#REF!,#REF!,$A14,#REF!,$B14,#REF!,$C14,#REF!,"&lt;&gt;Other Sector Demand")</f>
        <v>#REF!</v>
      </c>
      <c r="G14" s="106" t="e">
        <f t="shared" si="0"/>
        <v>#REF!</v>
      </c>
      <c r="H14" s="105" t="e">
        <f>SUMIFS(#REF!,#REF!,$A14,#REF!,$B14,#REF!,$C14,#REF!,"Other Sector Demand")</f>
        <v>#REF!</v>
      </c>
      <c r="I14" s="105" t="e">
        <f t="shared" si="1"/>
        <v>#REF!</v>
      </c>
      <c r="J14" s="106" t="e">
        <f t="shared" si="2"/>
        <v>#REF!</v>
      </c>
      <c r="K14" s="107" t="e">
        <f t="shared" si="3"/>
        <v>#REF!</v>
      </c>
    </row>
    <row r="15" spans="1:11" ht="15" customHeight="1" x14ac:dyDescent="0.2">
      <c r="A15" s="104" t="s">
        <v>205</v>
      </c>
      <c r="B15" s="104" t="s">
        <v>206</v>
      </c>
      <c r="C15" s="104" t="s">
        <v>41</v>
      </c>
      <c r="D15" s="104">
        <v>2030</v>
      </c>
      <c r="E15" s="105" t="e">
        <f>SUMIFS(#REF!,#REF!,$A15,#REF!,$B15,#REF!,$C15,#REF!,"Storage Demand")</f>
        <v>#REF!</v>
      </c>
      <c r="F15" s="105" t="e">
        <f>SUMIFS(#REF!,#REF!,$A15,#REF!,$B15,#REF!,$C15,#REF!,"&lt;&gt;Other Sector Demand")</f>
        <v>#REF!</v>
      </c>
      <c r="G15" s="106" t="e">
        <f t="shared" si="0"/>
        <v>#REF!</v>
      </c>
      <c r="H15" s="105" t="e">
        <f>SUMIFS(#REF!,#REF!,$A15,#REF!,$B15,#REF!,$C15,#REF!,"Other Sector Demand")</f>
        <v>#REF!</v>
      </c>
      <c r="I15" s="105" t="e">
        <f t="shared" si="1"/>
        <v>#REF!</v>
      </c>
      <c r="J15" s="106" t="e">
        <f t="shared" si="2"/>
        <v>#REF!</v>
      </c>
      <c r="K15" s="107" t="e">
        <f t="shared" si="3"/>
        <v>#REF!</v>
      </c>
    </row>
    <row r="16" spans="1:11" ht="15" customHeight="1" x14ac:dyDescent="0.2">
      <c r="A16" s="104" t="s">
        <v>205</v>
      </c>
      <c r="B16" s="104" t="s">
        <v>206</v>
      </c>
      <c r="C16" s="104" t="s">
        <v>41</v>
      </c>
      <c r="D16" s="104">
        <v>2040</v>
      </c>
      <c r="E16" s="105" t="e">
        <f>SUMIFS(#REF!,#REF!,$A16,#REF!,$B16,#REF!,$C16,#REF!,"Storage Demand")</f>
        <v>#REF!</v>
      </c>
      <c r="F16" s="105" t="e">
        <f>SUMIFS(#REF!,#REF!,$A16,#REF!,$B16,#REF!,$C16,#REF!,"&lt;&gt;Other Sector Demand")</f>
        <v>#REF!</v>
      </c>
      <c r="G16" s="106" t="e">
        <f t="shared" si="0"/>
        <v>#REF!</v>
      </c>
      <c r="H16" s="105" t="e">
        <f>SUMIFS(#REF!,#REF!,$A16,#REF!,$B16,#REF!,$C16,#REF!,"Other Sector Demand")</f>
        <v>#REF!</v>
      </c>
      <c r="I16" s="105" t="e">
        <f t="shared" si="1"/>
        <v>#REF!</v>
      </c>
      <c r="J16" s="106" t="e">
        <f t="shared" si="2"/>
        <v>#REF!</v>
      </c>
      <c r="K16" s="107" t="e">
        <f t="shared" si="3"/>
        <v>#REF!</v>
      </c>
    </row>
    <row r="17" spans="1:11" ht="15" customHeight="1" x14ac:dyDescent="0.2">
      <c r="A17" s="104" t="s">
        <v>205</v>
      </c>
      <c r="B17" s="104" t="s">
        <v>206</v>
      </c>
      <c r="C17" s="104" t="s">
        <v>41</v>
      </c>
      <c r="D17" s="104">
        <v>2050</v>
      </c>
      <c r="E17" s="105" t="e">
        <f>SUMIFS(#REF!,#REF!,$A17,#REF!,$B17,#REF!,$C17,#REF!,"Storage Demand")</f>
        <v>#REF!</v>
      </c>
      <c r="F17" s="105" t="e">
        <f>SUMIFS(#REF!,#REF!,$A17,#REF!,$B17,#REF!,$C17,#REF!,"&lt;&gt;Other Sector Demand")</f>
        <v>#REF!</v>
      </c>
      <c r="G17" s="106" t="e">
        <f t="shared" si="0"/>
        <v>#REF!</v>
      </c>
      <c r="H17" s="105" t="e">
        <f>SUMIFS(#REF!,#REF!,$A17,#REF!,$B17,#REF!,$C17,#REF!,"Other Sector Demand")</f>
        <v>#REF!</v>
      </c>
      <c r="I17" s="105" t="e">
        <f t="shared" si="1"/>
        <v>#REF!</v>
      </c>
      <c r="J17" s="106" t="e">
        <f t="shared" si="2"/>
        <v>#REF!</v>
      </c>
      <c r="K17" s="107" t="e">
        <f t="shared" si="3"/>
        <v>#REF!</v>
      </c>
    </row>
    <row r="18" spans="1:11" ht="15" customHeight="1" x14ac:dyDescent="0.2">
      <c r="A18" s="104" t="s">
        <v>205</v>
      </c>
      <c r="B18" s="104" t="s">
        <v>206</v>
      </c>
      <c r="C18" s="104" t="s">
        <v>42</v>
      </c>
      <c r="D18" s="104">
        <v>2020</v>
      </c>
      <c r="E18" s="105" t="e">
        <f>SUMIFS(#REF!,#REF!,$A18,#REF!,$B18,#REF!,$C18,#REF!,"Storage Demand")</f>
        <v>#REF!</v>
      </c>
      <c r="F18" s="105" t="e">
        <f>SUMIFS(#REF!,#REF!,$A18,#REF!,$B18,#REF!,$C18,#REF!,"&lt;&gt;Other Sector Demand")</f>
        <v>#REF!</v>
      </c>
      <c r="G18" s="106" t="e">
        <f t="shared" si="0"/>
        <v>#REF!</v>
      </c>
      <c r="H18" s="105" t="e">
        <f>SUMIFS(#REF!,#REF!,$A18,#REF!,$B18,#REF!,$C18,#REF!,"Other Sector Demand")</f>
        <v>#REF!</v>
      </c>
      <c r="I18" s="105" t="e">
        <f t="shared" si="1"/>
        <v>#REF!</v>
      </c>
      <c r="J18" s="106" t="e">
        <f t="shared" si="2"/>
        <v>#REF!</v>
      </c>
      <c r="K18" s="107" t="e">
        <f t="shared" si="3"/>
        <v>#REF!</v>
      </c>
    </row>
    <row r="19" spans="1:11" ht="15" customHeight="1" x14ac:dyDescent="0.2">
      <c r="A19" s="104" t="s">
        <v>205</v>
      </c>
      <c r="B19" s="104" t="s">
        <v>206</v>
      </c>
      <c r="C19" s="104" t="s">
        <v>42</v>
      </c>
      <c r="D19" s="104">
        <v>2030</v>
      </c>
      <c r="E19" s="105" t="e">
        <f>SUMIFS(#REF!,#REF!,$A19,#REF!,$B19,#REF!,$C19,#REF!,"Storage Demand")</f>
        <v>#REF!</v>
      </c>
      <c r="F19" s="105" t="e">
        <f>SUMIFS(#REF!,#REF!,$A19,#REF!,$B19,#REF!,$C19,#REF!,"&lt;&gt;Other Sector Demand")</f>
        <v>#REF!</v>
      </c>
      <c r="G19" s="106" t="e">
        <f t="shared" si="0"/>
        <v>#REF!</v>
      </c>
      <c r="H19" s="105" t="e">
        <f>SUMIFS(#REF!,#REF!,$A19,#REF!,$B19,#REF!,$C19,#REF!,"Other Sector Demand")</f>
        <v>#REF!</v>
      </c>
      <c r="I19" s="105" t="e">
        <f t="shared" si="1"/>
        <v>#REF!</v>
      </c>
      <c r="J19" s="106" t="e">
        <f t="shared" si="2"/>
        <v>#REF!</v>
      </c>
      <c r="K19" s="107" t="e">
        <f t="shared" si="3"/>
        <v>#REF!</v>
      </c>
    </row>
    <row r="20" spans="1:11" ht="15" customHeight="1" x14ac:dyDescent="0.2">
      <c r="A20" s="104" t="s">
        <v>205</v>
      </c>
      <c r="B20" s="104" t="s">
        <v>206</v>
      </c>
      <c r="C20" s="104" t="s">
        <v>42</v>
      </c>
      <c r="D20" s="104">
        <v>2040</v>
      </c>
      <c r="E20" s="105" t="e">
        <f>SUMIFS(#REF!,#REF!,$A20,#REF!,$B20,#REF!,$C20,#REF!,"Storage Demand")</f>
        <v>#REF!</v>
      </c>
      <c r="F20" s="105" t="e">
        <f>SUMIFS(#REF!,#REF!,$A20,#REF!,$B20,#REF!,$C20,#REF!,"&lt;&gt;Other Sector Demand")</f>
        <v>#REF!</v>
      </c>
      <c r="G20" s="106" t="e">
        <f t="shared" si="0"/>
        <v>#REF!</v>
      </c>
      <c r="H20" s="105" t="e">
        <f>SUMIFS(#REF!,#REF!,$A20,#REF!,$B20,#REF!,$C20,#REF!,"Other Sector Demand")</f>
        <v>#REF!</v>
      </c>
      <c r="I20" s="105" t="e">
        <f t="shared" si="1"/>
        <v>#REF!</v>
      </c>
      <c r="J20" s="106" t="e">
        <f t="shared" si="2"/>
        <v>#REF!</v>
      </c>
      <c r="K20" s="107" t="e">
        <f t="shared" si="3"/>
        <v>#REF!</v>
      </c>
    </row>
    <row r="21" spans="1:11" ht="15" customHeight="1" x14ac:dyDescent="0.2">
      <c r="A21" s="104" t="s">
        <v>205</v>
      </c>
      <c r="B21" s="104" t="s">
        <v>206</v>
      </c>
      <c r="C21" s="104" t="s">
        <v>42</v>
      </c>
      <c r="D21" s="104">
        <v>2050</v>
      </c>
      <c r="E21" s="105" t="e">
        <f>SUMIFS(#REF!,#REF!,$A21,#REF!,$B21,#REF!,$C21,#REF!,"Storage Demand")</f>
        <v>#REF!</v>
      </c>
      <c r="F21" s="105" t="e">
        <f>SUMIFS(#REF!,#REF!,$A21,#REF!,$B21,#REF!,$C21,#REF!,"&lt;&gt;Other Sector Demand")</f>
        <v>#REF!</v>
      </c>
      <c r="G21" s="106" t="e">
        <f t="shared" si="0"/>
        <v>#REF!</v>
      </c>
      <c r="H21" s="105" t="e">
        <f>SUMIFS(#REF!,#REF!,$A21,#REF!,$B21,#REF!,$C21,#REF!,"Other Sector Demand")</f>
        <v>#REF!</v>
      </c>
      <c r="I21" s="105" t="e">
        <f t="shared" si="1"/>
        <v>#REF!</v>
      </c>
      <c r="J21" s="106" t="e">
        <f t="shared" si="2"/>
        <v>#REF!</v>
      </c>
      <c r="K21" s="107" t="e">
        <f t="shared" si="3"/>
        <v>#REF!</v>
      </c>
    </row>
    <row r="22" spans="1:11" ht="15" customHeight="1" x14ac:dyDescent="0.2">
      <c r="A22" s="104" t="s">
        <v>205</v>
      </c>
      <c r="B22" s="104" t="s">
        <v>206</v>
      </c>
      <c r="C22" s="104" t="s">
        <v>44</v>
      </c>
      <c r="D22" s="104">
        <v>2020</v>
      </c>
      <c r="E22" s="105" t="e">
        <f>SUMIFS(#REF!,#REF!,$A22,#REF!,$B22,#REF!,$C22,#REF!,"Storage Demand")</f>
        <v>#REF!</v>
      </c>
      <c r="F22" s="105" t="e">
        <f>SUMIFS(#REF!,#REF!,$A22,#REF!,$B22,#REF!,$C22,#REF!,"&lt;&gt;Other Sector Demand")</f>
        <v>#REF!</v>
      </c>
      <c r="G22" s="106" t="e">
        <f t="shared" si="0"/>
        <v>#REF!</v>
      </c>
      <c r="H22" s="105" t="e">
        <f>SUMIFS(#REF!,#REF!,$A22,#REF!,$B22,#REF!,$C22,#REF!,"Other Sector Demand")</f>
        <v>#REF!</v>
      </c>
      <c r="I22" s="105" t="e">
        <f t="shared" si="1"/>
        <v>#REF!</v>
      </c>
      <c r="J22" s="106" t="e">
        <f t="shared" si="2"/>
        <v>#REF!</v>
      </c>
      <c r="K22" s="107" t="e">
        <f t="shared" si="3"/>
        <v>#REF!</v>
      </c>
    </row>
    <row r="23" spans="1:11" ht="15" customHeight="1" x14ac:dyDescent="0.2">
      <c r="A23" s="104" t="s">
        <v>205</v>
      </c>
      <c r="B23" s="104" t="s">
        <v>206</v>
      </c>
      <c r="C23" s="104" t="s">
        <v>44</v>
      </c>
      <c r="D23" s="104">
        <v>2030</v>
      </c>
      <c r="E23" s="105" t="e">
        <f>SUMIFS(#REF!,#REF!,$A23,#REF!,$B23,#REF!,$C23,#REF!,"Storage Demand")</f>
        <v>#REF!</v>
      </c>
      <c r="F23" s="105" t="e">
        <f>SUMIFS(#REF!,#REF!,$A23,#REF!,$B23,#REF!,$C23,#REF!,"&lt;&gt;Other Sector Demand")</f>
        <v>#REF!</v>
      </c>
      <c r="G23" s="106" t="e">
        <f t="shared" si="0"/>
        <v>#REF!</v>
      </c>
      <c r="H23" s="105" t="e">
        <f>SUMIFS(#REF!,#REF!,$A23,#REF!,$B23,#REF!,$C23,#REF!,"Other Sector Demand")</f>
        <v>#REF!</v>
      </c>
      <c r="I23" s="105" t="e">
        <f t="shared" si="1"/>
        <v>#REF!</v>
      </c>
      <c r="J23" s="106" t="e">
        <f t="shared" si="2"/>
        <v>#REF!</v>
      </c>
      <c r="K23" s="107" t="e">
        <f t="shared" si="3"/>
        <v>#REF!</v>
      </c>
    </row>
    <row r="24" spans="1:11" ht="15" customHeight="1" x14ac:dyDescent="0.2">
      <c r="A24" s="104" t="s">
        <v>205</v>
      </c>
      <c r="B24" s="104" t="s">
        <v>206</v>
      </c>
      <c r="C24" s="104" t="s">
        <v>44</v>
      </c>
      <c r="D24" s="104">
        <v>2040</v>
      </c>
      <c r="E24" s="105" t="e">
        <f>SUMIFS(#REF!,#REF!,$A24,#REF!,$B24,#REF!,$C24,#REF!,"Storage Demand")</f>
        <v>#REF!</v>
      </c>
      <c r="F24" s="105" t="e">
        <f>SUMIFS(#REF!,#REF!,$A24,#REF!,$B24,#REF!,$C24,#REF!,"&lt;&gt;Other Sector Demand")</f>
        <v>#REF!</v>
      </c>
      <c r="G24" s="106" t="e">
        <f t="shared" si="0"/>
        <v>#REF!</v>
      </c>
      <c r="H24" s="105" t="e">
        <f>SUMIFS(#REF!,#REF!,$A24,#REF!,$B24,#REF!,$C24,#REF!,"Other Sector Demand")</f>
        <v>#REF!</v>
      </c>
      <c r="I24" s="105" t="e">
        <f t="shared" si="1"/>
        <v>#REF!</v>
      </c>
      <c r="J24" s="106" t="e">
        <f t="shared" si="2"/>
        <v>#REF!</v>
      </c>
      <c r="K24" s="107" t="e">
        <f t="shared" si="3"/>
        <v>#REF!</v>
      </c>
    </row>
    <row r="25" spans="1:11" ht="15" customHeight="1" x14ac:dyDescent="0.2">
      <c r="A25" s="104" t="s">
        <v>205</v>
      </c>
      <c r="B25" s="104" t="s">
        <v>206</v>
      </c>
      <c r="C25" s="104" t="s">
        <v>44</v>
      </c>
      <c r="D25" s="104">
        <v>2050</v>
      </c>
      <c r="E25" s="105" t="e">
        <f>SUMIFS(#REF!,#REF!,$A25,#REF!,$B25,#REF!,$C25,#REF!,"Storage Demand")</f>
        <v>#REF!</v>
      </c>
      <c r="F25" s="105" t="e">
        <f>SUMIFS(#REF!,#REF!,$A25,#REF!,$B25,#REF!,$C25,#REF!,"&lt;&gt;Other Sector Demand")</f>
        <v>#REF!</v>
      </c>
      <c r="G25" s="106" t="e">
        <f t="shared" si="0"/>
        <v>#REF!</v>
      </c>
      <c r="H25" s="105" t="e">
        <f>SUMIFS(#REF!,#REF!,$A25,#REF!,$B25,#REF!,$C25,#REF!,"Other Sector Demand")</f>
        <v>#REF!</v>
      </c>
      <c r="I25" s="105" t="e">
        <f t="shared" si="1"/>
        <v>#REF!</v>
      </c>
      <c r="J25" s="106" t="e">
        <f t="shared" si="2"/>
        <v>#REF!</v>
      </c>
      <c r="K25" s="107" t="e">
        <f t="shared" si="3"/>
        <v>#REF!</v>
      </c>
    </row>
    <row r="26" spans="1:11" ht="15" customHeight="1" x14ac:dyDescent="0.2">
      <c r="A26" s="104" t="s">
        <v>205</v>
      </c>
      <c r="B26" s="104" t="s">
        <v>206</v>
      </c>
      <c r="C26" s="104" t="s">
        <v>45</v>
      </c>
      <c r="D26" s="104">
        <v>2020</v>
      </c>
      <c r="E26" s="105" t="e">
        <f>SUMIFS(#REF!,#REF!,$A26,#REF!,$B26,#REF!,$C26,#REF!,"Storage Demand")</f>
        <v>#REF!</v>
      </c>
      <c r="F26" s="105" t="e">
        <f>SUMIFS(#REF!,#REF!,$A26,#REF!,$B26,#REF!,$C26,#REF!,"&lt;&gt;Other Sector Demand")</f>
        <v>#REF!</v>
      </c>
      <c r="G26" s="106" t="e">
        <f t="shared" si="0"/>
        <v>#REF!</v>
      </c>
      <c r="H26" s="105" t="e">
        <f>SUMIFS(#REF!,#REF!,$A26,#REF!,$B26,#REF!,$C26,#REF!,"Other Sector Demand")</f>
        <v>#REF!</v>
      </c>
      <c r="I26" s="105" t="e">
        <f t="shared" si="1"/>
        <v>#REF!</v>
      </c>
      <c r="J26" s="106" t="e">
        <f t="shared" si="2"/>
        <v>#REF!</v>
      </c>
      <c r="K26" s="107" t="e">
        <f t="shared" si="3"/>
        <v>#REF!</v>
      </c>
    </row>
    <row r="27" spans="1:11" ht="15" customHeight="1" x14ac:dyDescent="0.2">
      <c r="A27" s="104" t="s">
        <v>205</v>
      </c>
      <c r="B27" s="104" t="s">
        <v>206</v>
      </c>
      <c r="C27" s="104" t="s">
        <v>45</v>
      </c>
      <c r="D27" s="104">
        <v>2030</v>
      </c>
      <c r="E27" s="105" t="e">
        <f>SUMIFS(#REF!,#REF!,$A27,#REF!,$B27,#REF!,$C27,#REF!,"Storage Demand")</f>
        <v>#REF!</v>
      </c>
      <c r="F27" s="105" t="e">
        <f>SUMIFS(#REF!,#REF!,$A27,#REF!,$B27,#REF!,$C27,#REF!,"&lt;&gt;Other Sector Demand")</f>
        <v>#REF!</v>
      </c>
      <c r="G27" s="106" t="e">
        <f t="shared" si="0"/>
        <v>#REF!</v>
      </c>
      <c r="H27" s="105" t="e">
        <f>SUMIFS(#REF!,#REF!,$A27,#REF!,$B27,#REF!,$C27,#REF!,"Other Sector Demand")</f>
        <v>#REF!</v>
      </c>
      <c r="I27" s="105" t="e">
        <f t="shared" si="1"/>
        <v>#REF!</v>
      </c>
      <c r="J27" s="106" t="e">
        <f t="shared" si="2"/>
        <v>#REF!</v>
      </c>
      <c r="K27" s="107" t="e">
        <f t="shared" si="3"/>
        <v>#REF!</v>
      </c>
    </row>
    <row r="28" spans="1:11" ht="15" customHeight="1" x14ac:dyDescent="0.2">
      <c r="A28" s="104" t="s">
        <v>205</v>
      </c>
      <c r="B28" s="104" t="s">
        <v>206</v>
      </c>
      <c r="C28" s="104" t="s">
        <v>45</v>
      </c>
      <c r="D28" s="104">
        <v>2040</v>
      </c>
      <c r="E28" s="105" t="e">
        <f>SUMIFS(#REF!,#REF!,$A28,#REF!,$B28,#REF!,$C28,#REF!,"Storage Demand")</f>
        <v>#REF!</v>
      </c>
      <c r="F28" s="105" t="e">
        <f>SUMIFS(#REF!,#REF!,$A28,#REF!,$B28,#REF!,$C28,#REF!,"&lt;&gt;Other Sector Demand")</f>
        <v>#REF!</v>
      </c>
      <c r="G28" s="106" t="e">
        <f t="shared" si="0"/>
        <v>#REF!</v>
      </c>
      <c r="H28" s="105" t="e">
        <f>SUMIFS(#REF!,#REF!,$A28,#REF!,$B28,#REF!,$C28,#REF!,"Other Sector Demand")</f>
        <v>#REF!</v>
      </c>
      <c r="I28" s="105" t="e">
        <f t="shared" si="1"/>
        <v>#REF!</v>
      </c>
      <c r="J28" s="106" t="e">
        <f t="shared" si="2"/>
        <v>#REF!</v>
      </c>
      <c r="K28" s="107" t="e">
        <f t="shared" si="3"/>
        <v>#REF!</v>
      </c>
    </row>
    <row r="29" spans="1:11" ht="15" customHeight="1" x14ac:dyDescent="0.2">
      <c r="A29" s="104" t="s">
        <v>205</v>
      </c>
      <c r="B29" s="104" t="s">
        <v>206</v>
      </c>
      <c r="C29" s="104" t="s">
        <v>45</v>
      </c>
      <c r="D29" s="104">
        <v>2050</v>
      </c>
      <c r="E29" s="105" t="e">
        <f>SUMIFS(#REF!,#REF!,$A29,#REF!,$B29,#REF!,$C29,#REF!,"Storage Demand")</f>
        <v>#REF!</v>
      </c>
      <c r="F29" s="105" t="e">
        <f>SUMIFS(#REF!,#REF!,$A29,#REF!,$B29,#REF!,$C29,#REF!,"&lt;&gt;Other Sector Demand")</f>
        <v>#REF!</v>
      </c>
      <c r="G29" s="106" t="e">
        <f t="shared" si="0"/>
        <v>#REF!</v>
      </c>
      <c r="H29" s="105" t="e">
        <f>SUMIFS(#REF!,#REF!,$A29,#REF!,$B29,#REF!,$C29,#REF!,"Other Sector Demand")</f>
        <v>#REF!</v>
      </c>
      <c r="I29" s="105" t="e">
        <f t="shared" si="1"/>
        <v>#REF!</v>
      </c>
      <c r="J29" s="106" t="e">
        <f t="shared" si="2"/>
        <v>#REF!</v>
      </c>
      <c r="K29" s="107" t="e">
        <f t="shared" si="3"/>
        <v>#REF!</v>
      </c>
    </row>
    <row r="30" spans="1:11" ht="15" customHeight="1" x14ac:dyDescent="0.2">
      <c r="A30" s="104" t="s">
        <v>205</v>
      </c>
      <c r="B30" s="104" t="s">
        <v>206</v>
      </c>
      <c r="C30" s="104" t="s">
        <v>46</v>
      </c>
      <c r="D30" s="104">
        <v>2020</v>
      </c>
      <c r="E30" s="105" t="e">
        <f>SUMIFS(#REF!,#REF!,$A30,#REF!,$B30,#REF!,$C30,#REF!,"Storage Demand")</f>
        <v>#REF!</v>
      </c>
      <c r="F30" s="105" t="e">
        <f>SUMIFS(#REF!,#REF!,$A30,#REF!,$B30,#REF!,$C30,#REF!,"&lt;&gt;Other Sector Demand")</f>
        <v>#REF!</v>
      </c>
      <c r="G30" s="106" t="e">
        <f t="shared" si="0"/>
        <v>#REF!</v>
      </c>
      <c r="H30" s="105" t="e">
        <f>SUMIFS(#REF!,#REF!,$A30,#REF!,$B30,#REF!,$C30,#REF!,"Other Sector Demand")</f>
        <v>#REF!</v>
      </c>
      <c r="I30" s="105" t="e">
        <f t="shared" si="1"/>
        <v>#REF!</v>
      </c>
      <c r="J30" s="106" t="e">
        <f t="shared" si="2"/>
        <v>#REF!</v>
      </c>
      <c r="K30" s="107" t="e">
        <f t="shared" si="3"/>
        <v>#REF!</v>
      </c>
    </row>
    <row r="31" spans="1:11" ht="15" customHeight="1" x14ac:dyDescent="0.2">
      <c r="A31" s="104" t="s">
        <v>205</v>
      </c>
      <c r="B31" s="104" t="s">
        <v>206</v>
      </c>
      <c r="C31" s="104" t="s">
        <v>46</v>
      </c>
      <c r="D31" s="104">
        <v>2030</v>
      </c>
      <c r="E31" s="105" t="e">
        <f>SUMIFS(#REF!,#REF!,$A31,#REF!,$B31,#REF!,$C31,#REF!,"Storage Demand")</f>
        <v>#REF!</v>
      </c>
      <c r="F31" s="105" t="e">
        <f>SUMIFS(#REF!,#REF!,$A31,#REF!,$B31,#REF!,$C31,#REF!,"&lt;&gt;Other Sector Demand")</f>
        <v>#REF!</v>
      </c>
      <c r="G31" s="106" t="e">
        <f t="shared" si="0"/>
        <v>#REF!</v>
      </c>
      <c r="H31" s="105" t="e">
        <f>SUMIFS(#REF!,#REF!,$A31,#REF!,$B31,#REF!,$C31,#REF!,"Other Sector Demand")</f>
        <v>#REF!</v>
      </c>
      <c r="I31" s="105" t="e">
        <f t="shared" si="1"/>
        <v>#REF!</v>
      </c>
      <c r="J31" s="106" t="e">
        <f t="shared" si="2"/>
        <v>#REF!</v>
      </c>
      <c r="K31" s="107" t="e">
        <f t="shared" si="3"/>
        <v>#REF!</v>
      </c>
    </row>
    <row r="32" spans="1:11" ht="15" customHeight="1" x14ac:dyDescent="0.2">
      <c r="A32" s="104" t="s">
        <v>205</v>
      </c>
      <c r="B32" s="104" t="s">
        <v>206</v>
      </c>
      <c r="C32" s="104" t="s">
        <v>46</v>
      </c>
      <c r="D32" s="104">
        <v>2040</v>
      </c>
      <c r="E32" s="105" t="e">
        <f>SUMIFS(#REF!,#REF!,$A32,#REF!,$B32,#REF!,$C32,#REF!,"Storage Demand")</f>
        <v>#REF!</v>
      </c>
      <c r="F32" s="105" t="e">
        <f>SUMIFS(#REF!,#REF!,$A32,#REF!,$B32,#REF!,$C32,#REF!,"&lt;&gt;Other Sector Demand")</f>
        <v>#REF!</v>
      </c>
      <c r="G32" s="106" t="e">
        <f t="shared" si="0"/>
        <v>#REF!</v>
      </c>
      <c r="H32" s="105" t="e">
        <f>SUMIFS(#REF!,#REF!,$A32,#REF!,$B32,#REF!,$C32,#REF!,"Other Sector Demand")</f>
        <v>#REF!</v>
      </c>
      <c r="I32" s="105" t="e">
        <f t="shared" si="1"/>
        <v>#REF!</v>
      </c>
      <c r="J32" s="106" t="e">
        <f t="shared" si="2"/>
        <v>#REF!</v>
      </c>
      <c r="K32" s="107" t="e">
        <f t="shared" si="3"/>
        <v>#REF!</v>
      </c>
    </row>
    <row r="33" spans="1:11" ht="15" customHeight="1" x14ac:dyDescent="0.2">
      <c r="A33" s="104" t="s">
        <v>205</v>
      </c>
      <c r="B33" s="104" t="s">
        <v>206</v>
      </c>
      <c r="C33" s="104" t="s">
        <v>46</v>
      </c>
      <c r="D33" s="104">
        <v>2050</v>
      </c>
      <c r="E33" s="105" t="e">
        <f>SUMIFS(#REF!,#REF!,$A33,#REF!,$B33,#REF!,$C33,#REF!,"Storage Demand")</f>
        <v>#REF!</v>
      </c>
      <c r="F33" s="105" t="e">
        <f>SUMIFS(#REF!,#REF!,$A33,#REF!,$B33,#REF!,$C33,#REF!,"&lt;&gt;Other Sector Demand")</f>
        <v>#REF!</v>
      </c>
      <c r="G33" s="106" t="e">
        <f t="shared" si="0"/>
        <v>#REF!</v>
      </c>
      <c r="H33" s="105" t="e">
        <f>SUMIFS(#REF!,#REF!,$A33,#REF!,$B33,#REF!,$C33,#REF!,"Other Sector Demand")</f>
        <v>#REF!</v>
      </c>
      <c r="I33" s="105" t="e">
        <f t="shared" si="1"/>
        <v>#REF!</v>
      </c>
      <c r="J33" s="106" t="e">
        <f t="shared" si="2"/>
        <v>#REF!</v>
      </c>
      <c r="K33" s="107" t="e">
        <f t="shared" si="3"/>
        <v>#REF!</v>
      </c>
    </row>
    <row r="34" spans="1:11" ht="15" customHeight="1" x14ac:dyDescent="0.2">
      <c r="A34" s="104" t="s">
        <v>205</v>
      </c>
      <c r="B34" s="104" t="s">
        <v>206</v>
      </c>
      <c r="C34" s="104" t="s">
        <v>47</v>
      </c>
      <c r="D34" s="104">
        <v>2020</v>
      </c>
      <c r="E34" s="105" t="e">
        <f>SUMIFS(#REF!,#REF!,$A34,#REF!,$B34,#REF!,$C34,#REF!,"Storage Demand")</f>
        <v>#REF!</v>
      </c>
      <c r="F34" s="105" t="e">
        <f>SUMIFS(#REF!,#REF!,$A34,#REF!,$B34,#REF!,$C34,#REF!,"&lt;&gt;Other Sector Demand")</f>
        <v>#REF!</v>
      </c>
      <c r="G34" s="106" t="e">
        <f t="shared" si="0"/>
        <v>#REF!</v>
      </c>
      <c r="H34" s="105" t="e">
        <f>SUMIFS(#REF!,#REF!,$A34,#REF!,$B34,#REF!,$C34,#REF!,"Other Sector Demand")</f>
        <v>#REF!</v>
      </c>
      <c r="I34" s="105" t="e">
        <f t="shared" si="1"/>
        <v>#REF!</v>
      </c>
      <c r="J34" s="106" t="e">
        <f t="shared" si="2"/>
        <v>#REF!</v>
      </c>
      <c r="K34" s="107" t="e">
        <f t="shared" si="3"/>
        <v>#REF!</v>
      </c>
    </row>
    <row r="35" spans="1:11" ht="15" customHeight="1" x14ac:dyDescent="0.2">
      <c r="A35" s="104" t="s">
        <v>205</v>
      </c>
      <c r="B35" s="104" t="s">
        <v>206</v>
      </c>
      <c r="C35" s="104" t="s">
        <v>47</v>
      </c>
      <c r="D35" s="104">
        <v>2030</v>
      </c>
      <c r="E35" s="105" t="e">
        <f>SUMIFS(#REF!,#REF!,$A35,#REF!,$B35,#REF!,$C35,#REF!,"Storage Demand")</f>
        <v>#REF!</v>
      </c>
      <c r="F35" s="105" t="e">
        <f>SUMIFS(#REF!,#REF!,$A35,#REF!,$B35,#REF!,$C35,#REF!,"&lt;&gt;Other Sector Demand")</f>
        <v>#REF!</v>
      </c>
      <c r="G35" s="106" t="e">
        <f t="shared" si="0"/>
        <v>#REF!</v>
      </c>
      <c r="H35" s="105" t="e">
        <f>SUMIFS(#REF!,#REF!,$A35,#REF!,$B35,#REF!,$C35,#REF!,"Other Sector Demand")</f>
        <v>#REF!</v>
      </c>
      <c r="I35" s="105" t="e">
        <f t="shared" si="1"/>
        <v>#REF!</v>
      </c>
      <c r="J35" s="106" t="e">
        <f t="shared" si="2"/>
        <v>#REF!</v>
      </c>
      <c r="K35" s="107" t="e">
        <f t="shared" si="3"/>
        <v>#REF!</v>
      </c>
    </row>
    <row r="36" spans="1:11" ht="15" customHeight="1" x14ac:dyDescent="0.2">
      <c r="A36" s="104" t="s">
        <v>205</v>
      </c>
      <c r="B36" s="104" t="s">
        <v>206</v>
      </c>
      <c r="C36" s="104" t="s">
        <v>47</v>
      </c>
      <c r="D36" s="104">
        <v>2040</v>
      </c>
      <c r="E36" s="105" t="e">
        <f>SUMIFS(#REF!,#REF!,$A36,#REF!,$B36,#REF!,$C36,#REF!,"Storage Demand")</f>
        <v>#REF!</v>
      </c>
      <c r="F36" s="105" t="e">
        <f>SUMIFS(#REF!,#REF!,$A36,#REF!,$B36,#REF!,$C36,#REF!,"&lt;&gt;Other Sector Demand")</f>
        <v>#REF!</v>
      </c>
      <c r="G36" s="106" t="e">
        <f t="shared" si="0"/>
        <v>#REF!</v>
      </c>
      <c r="H36" s="105" t="e">
        <f>SUMIFS(#REF!,#REF!,$A36,#REF!,$B36,#REF!,$C36,#REF!,"Other Sector Demand")</f>
        <v>#REF!</v>
      </c>
      <c r="I36" s="105" t="e">
        <f t="shared" si="1"/>
        <v>#REF!</v>
      </c>
      <c r="J36" s="106" t="e">
        <f t="shared" si="2"/>
        <v>#REF!</v>
      </c>
      <c r="K36" s="107" t="e">
        <f t="shared" si="3"/>
        <v>#REF!</v>
      </c>
    </row>
    <row r="37" spans="1:11" ht="15" customHeight="1" x14ac:dyDescent="0.2">
      <c r="A37" s="104" t="s">
        <v>205</v>
      </c>
      <c r="B37" s="104" t="s">
        <v>206</v>
      </c>
      <c r="C37" s="104" t="s">
        <v>47</v>
      </c>
      <c r="D37" s="104">
        <v>2050</v>
      </c>
      <c r="E37" s="105" t="e">
        <f>SUMIFS(#REF!,#REF!,$A37,#REF!,$B37,#REF!,$C37,#REF!,"Storage Demand")</f>
        <v>#REF!</v>
      </c>
      <c r="F37" s="105" t="e">
        <f>SUMIFS(#REF!,#REF!,$A37,#REF!,$B37,#REF!,$C37,#REF!,"&lt;&gt;Other Sector Demand")</f>
        <v>#REF!</v>
      </c>
      <c r="G37" s="106" t="e">
        <f t="shared" si="0"/>
        <v>#REF!</v>
      </c>
      <c r="H37" s="105" t="e">
        <f>SUMIFS(#REF!,#REF!,$A37,#REF!,$B37,#REF!,$C37,#REF!,"Other Sector Demand")</f>
        <v>#REF!</v>
      </c>
      <c r="I37" s="105" t="e">
        <f t="shared" si="1"/>
        <v>#REF!</v>
      </c>
      <c r="J37" s="106" t="e">
        <f t="shared" si="2"/>
        <v>#REF!</v>
      </c>
      <c r="K37" s="107" t="e">
        <f t="shared" si="3"/>
        <v>#REF!</v>
      </c>
    </row>
    <row r="38" spans="1:11" ht="15" customHeight="1" x14ac:dyDescent="0.2">
      <c r="A38" s="104" t="s">
        <v>205</v>
      </c>
      <c r="B38" s="104" t="s">
        <v>206</v>
      </c>
      <c r="C38" s="104" t="s">
        <v>49</v>
      </c>
      <c r="D38" s="104">
        <v>2020</v>
      </c>
      <c r="E38" s="105" t="e">
        <f>SUMIFS(#REF!,#REF!,$A38,#REF!,$B38,#REF!,$C38,#REF!,"Storage Demand")</f>
        <v>#REF!</v>
      </c>
      <c r="F38" s="105" t="e">
        <f>SUMIFS(#REF!,#REF!,$A38,#REF!,$B38,#REF!,$C38,#REF!,"&lt;&gt;Other Sector Demand")</f>
        <v>#REF!</v>
      </c>
      <c r="G38" s="106" t="e">
        <f t="shared" si="0"/>
        <v>#REF!</v>
      </c>
      <c r="H38" s="105" t="e">
        <f>SUMIFS(#REF!,#REF!,$A38,#REF!,$B38,#REF!,$C38,#REF!,"Other Sector Demand")</f>
        <v>#REF!</v>
      </c>
      <c r="I38" s="105" t="e">
        <f t="shared" si="1"/>
        <v>#REF!</v>
      </c>
      <c r="J38" s="106" t="e">
        <f t="shared" si="2"/>
        <v>#REF!</v>
      </c>
      <c r="K38" s="107" t="e">
        <f t="shared" si="3"/>
        <v>#REF!</v>
      </c>
    </row>
    <row r="39" spans="1:11" ht="15" customHeight="1" x14ac:dyDescent="0.2">
      <c r="A39" s="104" t="s">
        <v>205</v>
      </c>
      <c r="B39" s="104" t="s">
        <v>206</v>
      </c>
      <c r="C39" s="104" t="s">
        <v>49</v>
      </c>
      <c r="D39" s="104">
        <v>2030</v>
      </c>
      <c r="E39" s="105" t="e">
        <f>SUMIFS(#REF!,#REF!,$A39,#REF!,$B39,#REF!,$C39,#REF!,"Storage Demand")</f>
        <v>#REF!</v>
      </c>
      <c r="F39" s="105" t="e">
        <f>SUMIFS(#REF!,#REF!,$A39,#REF!,$B39,#REF!,$C39,#REF!,"&lt;&gt;Other Sector Demand")</f>
        <v>#REF!</v>
      </c>
      <c r="G39" s="106" t="e">
        <f t="shared" si="0"/>
        <v>#REF!</v>
      </c>
      <c r="H39" s="105" t="e">
        <f>SUMIFS(#REF!,#REF!,$A39,#REF!,$B39,#REF!,$C39,#REF!,"Other Sector Demand")</f>
        <v>#REF!</v>
      </c>
      <c r="I39" s="105" t="e">
        <f t="shared" si="1"/>
        <v>#REF!</v>
      </c>
      <c r="J39" s="106" t="e">
        <f t="shared" si="2"/>
        <v>#REF!</v>
      </c>
      <c r="K39" s="107" t="e">
        <f t="shared" si="3"/>
        <v>#REF!</v>
      </c>
    </row>
    <row r="40" spans="1:11" ht="15" customHeight="1" x14ac:dyDescent="0.2">
      <c r="A40" s="104" t="s">
        <v>205</v>
      </c>
      <c r="B40" s="104" t="s">
        <v>206</v>
      </c>
      <c r="C40" s="104" t="s">
        <v>49</v>
      </c>
      <c r="D40" s="104">
        <v>2040</v>
      </c>
      <c r="E40" s="105" t="e">
        <f>SUMIFS(#REF!,#REF!,$A40,#REF!,$B40,#REF!,$C40,#REF!,"Storage Demand")</f>
        <v>#REF!</v>
      </c>
      <c r="F40" s="105" t="e">
        <f>SUMIFS(#REF!,#REF!,$A40,#REF!,$B40,#REF!,$C40,#REF!,"&lt;&gt;Other Sector Demand")</f>
        <v>#REF!</v>
      </c>
      <c r="G40" s="106" t="e">
        <f t="shared" si="0"/>
        <v>#REF!</v>
      </c>
      <c r="H40" s="105" t="e">
        <f>SUMIFS(#REF!,#REF!,$A40,#REF!,$B40,#REF!,$C40,#REF!,"Other Sector Demand")</f>
        <v>#REF!</v>
      </c>
      <c r="I40" s="105" t="e">
        <f t="shared" si="1"/>
        <v>#REF!</v>
      </c>
      <c r="J40" s="106" t="e">
        <f t="shared" si="2"/>
        <v>#REF!</v>
      </c>
      <c r="K40" s="107" t="e">
        <f t="shared" si="3"/>
        <v>#REF!</v>
      </c>
    </row>
    <row r="41" spans="1:11" ht="15" customHeight="1" x14ac:dyDescent="0.2">
      <c r="A41" s="104" t="s">
        <v>205</v>
      </c>
      <c r="B41" s="104" t="s">
        <v>206</v>
      </c>
      <c r="C41" s="104" t="s">
        <v>49</v>
      </c>
      <c r="D41" s="104">
        <v>2050</v>
      </c>
      <c r="E41" s="105" t="e">
        <f>SUMIFS(#REF!,#REF!,$A41,#REF!,$B41,#REF!,$C41,#REF!,"Storage Demand")</f>
        <v>#REF!</v>
      </c>
      <c r="F41" s="105" t="e">
        <f>SUMIFS(#REF!,#REF!,$A41,#REF!,$B41,#REF!,$C41,#REF!,"&lt;&gt;Other Sector Demand")</f>
        <v>#REF!</v>
      </c>
      <c r="G41" s="106" t="e">
        <f t="shared" si="0"/>
        <v>#REF!</v>
      </c>
      <c r="H41" s="105" t="e">
        <f>SUMIFS(#REF!,#REF!,$A41,#REF!,$B41,#REF!,$C41,#REF!,"Other Sector Demand")</f>
        <v>#REF!</v>
      </c>
      <c r="I41" s="105" t="e">
        <f t="shared" si="1"/>
        <v>#REF!</v>
      </c>
      <c r="J41" s="106" t="e">
        <f t="shared" si="2"/>
        <v>#REF!</v>
      </c>
      <c r="K41" s="107" t="e">
        <f t="shared" si="3"/>
        <v>#REF!</v>
      </c>
    </row>
    <row r="42" spans="1:11" ht="15" customHeight="1" x14ac:dyDescent="0.2">
      <c r="A42" s="104" t="s">
        <v>205</v>
      </c>
      <c r="B42" s="104" t="s">
        <v>206</v>
      </c>
      <c r="C42" s="104" t="s">
        <v>50</v>
      </c>
      <c r="D42" s="104">
        <v>2020</v>
      </c>
      <c r="E42" s="105" t="e">
        <f>SUMIFS(#REF!,#REF!,$A42,#REF!,$B42,#REF!,$C42,#REF!,"Storage Demand")</f>
        <v>#REF!</v>
      </c>
      <c r="F42" s="105" t="e">
        <f>SUMIFS(#REF!,#REF!,$A42,#REF!,$B42,#REF!,$C42,#REF!,"&lt;&gt;Other Sector Demand")</f>
        <v>#REF!</v>
      </c>
      <c r="G42" s="106" t="e">
        <f t="shared" si="0"/>
        <v>#REF!</v>
      </c>
      <c r="H42" s="105" t="e">
        <f>SUMIFS(#REF!,#REF!,$A42,#REF!,$B42,#REF!,$C42,#REF!,"Other Sector Demand")</f>
        <v>#REF!</v>
      </c>
      <c r="I42" s="105" t="e">
        <f t="shared" si="1"/>
        <v>#REF!</v>
      </c>
      <c r="J42" s="106" t="e">
        <f t="shared" si="2"/>
        <v>#REF!</v>
      </c>
      <c r="K42" s="107" t="e">
        <f t="shared" si="3"/>
        <v>#REF!</v>
      </c>
    </row>
    <row r="43" spans="1:11" ht="15" customHeight="1" x14ac:dyDescent="0.2">
      <c r="A43" s="104" t="s">
        <v>205</v>
      </c>
      <c r="B43" s="104" t="s">
        <v>206</v>
      </c>
      <c r="C43" s="104" t="s">
        <v>50</v>
      </c>
      <c r="D43" s="104">
        <v>2030</v>
      </c>
      <c r="E43" s="105" t="e">
        <f>SUMIFS(#REF!,#REF!,$A43,#REF!,$B43,#REF!,$C43,#REF!,"Storage Demand")</f>
        <v>#REF!</v>
      </c>
      <c r="F43" s="105" t="e">
        <f>SUMIFS(#REF!,#REF!,$A43,#REF!,$B43,#REF!,$C43,#REF!,"&lt;&gt;Other Sector Demand")</f>
        <v>#REF!</v>
      </c>
      <c r="G43" s="106" t="e">
        <f t="shared" si="0"/>
        <v>#REF!</v>
      </c>
      <c r="H43" s="105" t="e">
        <f>SUMIFS(#REF!,#REF!,$A43,#REF!,$B43,#REF!,$C43,#REF!,"Other Sector Demand")</f>
        <v>#REF!</v>
      </c>
      <c r="I43" s="105" t="e">
        <f t="shared" si="1"/>
        <v>#REF!</v>
      </c>
      <c r="J43" s="106" t="e">
        <f t="shared" si="2"/>
        <v>#REF!</v>
      </c>
      <c r="K43" s="107" t="e">
        <f t="shared" si="3"/>
        <v>#REF!</v>
      </c>
    </row>
    <row r="44" spans="1:11" ht="15" customHeight="1" x14ac:dyDescent="0.2">
      <c r="A44" s="104" t="s">
        <v>205</v>
      </c>
      <c r="B44" s="104" t="s">
        <v>206</v>
      </c>
      <c r="C44" s="104" t="s">
        <v>50</v>
      </c>
      <c r="D44" s="104">
        <v>2040</v>
      </c>
      <c r="E44" s="105" t="e">
        <f>SUMIFS(#REF!,#REF!,$A44,#REF!,$B44,#REF!,$C44,#REF!,"Storage Demand")</f>
        <v>#REF!</v>
      </c>
      <c r="F44" s="105" t="e">
        <f>SUMIFS(#REF!,#REF!,$A44,#REF!,$B44,#REF!,$C44,#REF!,"&lt;&gt;Other Sector Demand")</f>
        <v>#REF!</v>
      </c>
      <c r="G44" s="106" t="e">
        <f t="shared" si="0"/>
        <v>#REF!</v>
      </c>
      <c r="H44" s="105" t="e">
        <f>SUMIFS(#REF!,#REF!,$A44,#REF!,$B44,#REF!,$C44,#REF!,"Other Sector Demand")</f>
        <v>#REF!</v>
      </c>
      <c r="I44" s="105" t="e">
        <f t="shared" si="1"/>
        <v>#REF!</v>
      </c>
      <c r="J44" s="106" t="e">
        <f t="shared" si="2"/>
        <v>#REF!</v>
      </c>
      <c r="K44" s="107" t="e">
        <f t="shared" si="3"/>
        <v>#REF!</v>
      </c>
    </row>
    <row r="45" spans="1:11" ht="15" customHeight="1" x14ac:dyDescent="0.2">
      <c r="A45" s="104" t="s">
        <v>205</v>
      </c>
      <c r="B45" s="104" t="s">
        <v>206</v>
      </c>
      <c r="C45" s="104" t="s">
        <v>50</v>
      </c>
      <c r="D45" s="104">
        <v>2050</v>
      </c>
      <c r="E45" s="105" t="e">
        <f>SUMIFS(#REF!,#REF!,$A45,#REF!,$B45,#REF!,$C45,#REF!,"Storage Demand")</f>
        <v>#REF!</v>
      </c>
      <c r="F45" s="105" t="e">
        <f>SUMIFS(#REF!,#REF!,$A45,#REF!,$B45,#REF!,$C45,#REF!,"&lt;&gt;Other Sector Demand")</f>
        <v>#REF!</v>
      </c>
      <c r="G45" s="106" t="e">
        <f t="shared" si="0"/>
        <v>#REF!</v>
      </c>
      <c r="H45" s="105" t="e">
        <f>SUMIFS(#REF!,#REF!,$A45,#REF!,$B45,#REF!,$C45,#REF!,"Other Sector Demand")</f>
        <v>#REF!</v>
      </c>
      <c r="I45" s="105" t="e">
        <f t="shared" si="1"/>
        <v>#REF!</v>
      </c>
      <c r="J45" s="106" t="e">
        <f t="shared" si="2"/>
        <v>#REF!</v>
      </c>
      <c r="K45" s="107" t="e">
        <f t="shared" si="3"/>
        <v>#REF!</v>
      </c>
    </row>
    <row r="46" spans="1:11" ht="15" customHeight="1" x14ac:dyDescent="0.2">
      <c r="A46" s="104" t="s">
        <v>205</v>
      </c>
      <c r="B46" s="104" t="s">
        <v>206</v>
      </c>
      <c r="C46" s="104" t="s">
        <v>52</v>
      </c>
      <c r="D46" s="104">
        <v>2020</v>
      </c>
      <c r="E46" s="105" t="e">
        <f>SUMIFS(#REF!,#REF!,$A46,#REF!,$B46,#REF!,$C46,#REF!,"Storage Demand")</f>
        <v>#REF!</v>
      </c>
      <c r="F46" s="105" t="e">
        <f>SUMIFS(#REF!,#REF!,$A46,#REF!,$B46,#REF!,$C46,#REF!,"&lt;&gt;Other Sector Demand")</f>
        <v>#REF!</v>
      </c>
      <c r="G46" s="106" t="e">
        <f t="shared" si="0"/>
        <v>#REF!</v>
      </c>
      <c r="H46" s="105" t="e">
        <f>SUMIFS(#REF!,#REF!,$A46,#REF!,$B46,#REF!,$C46,#REF!,"Other Sector Demand")</f>
        <v>#REF!</v>
      </c>
      <c r="I46" s="105" t="e">
        <f t="shared" si="1"/>
        <v>#REF!</v>
      </c>
      <c r="J46" s="106" t="e">
        <f t="shared" si="2"/>
        <v>#REF!</v>
      </c>
      <c r="K46" s="107" t="e">
        <f t="shared" si="3"/>
        <v>#REF!</v>
      </c>
    </row>
    <row r="47" spans="1:11" ht="15" customHeight="1" x14ac:dyDescent="0.2">
      <c r="A47" s="104" t="s">
        <v>205</v>
      </c>
      <c r="B47" s="104" t="s">
        <v>206</v>
      </c>
      <c r="C47" s="104" t="s">
        <v>52</v>
      </c>
      <c r="D47" s="104">
        <v>2030</v>
      </c>
      <c r="E47" s="105" t="e">
        <f>SUMIFS(#REF!,#REF!,$A47,#REF!,$B47,#REF!,$C47,#REF!,"Storage Demand")</f>
        <v>#REF!</v>
      </c>
      <c r="F47" s="105" t="e">
        <f>SUMIFS(#REF!,#REF!,$A47,#REF!,$B47,#REF!,$C47,#REF!,"&lt;&gt;Other Sector Demand")</f>
        <v>#REF!</v>
      </c>
      <c r="G47" s="106" t="e">
        <f t="shared" si="0"/>
        <v>#REF!</v>
      </c>
      <c r="H47" s="105" t="e">
        <f>SUMIFS(#REF!,#REF!,$A47,#REF!,$B47,#REF!,$C47,#REF!,"Other Sector Demand")</f>
        <v>#REF!</v>
      </c>
      <c r="I47" s="105" t="e">
        <f t="shared" si="1"/>
        <v>#REF!</v>
      </c>
      <c r="J47" s="106" t="e">
        <f t="shared" si="2"/>
        <v>#REF!</v>
      </c>
      <c r="K47" s="107" t="e">
        <f t="shared" si="3"/>
        <v>#REF!</v>
      </c>
    </row>
    <row r="48" spans="1:11" ht="15" customHeight="1" x14ac:dyDescent="0.2">
      <c r="A48" s="104" t="s">
        <v>205</v>
      </c>
      <c r="B48" s="104" t="s">
        <v>206</v>
      </c>
      <c r="C48" s="104" t="s">
        <v>52</v>
      </c>
      <c r="D48" s="104">
        <v>2040</v>
      </c>
      <c r="E48" s="105" t="e">
        <f>SUMIFS(#REF!,#REF!,$A48,#REF!,$B48,#REF!,$C48,#REF!,"Storage Demand")</f>
        <v>#REF!</v>
      </c>
      <c r="F48" s="105" t="e">
        <f>SUMIFS(#REF!,#REF!,$A48,#REF!,$B48,#REF!,$C48,#REF!,"&lt;&gt;Other Sector Demand")</f>
        <v>#REF!</v>
      </c>
      <c r="G48" s="106" t="e">
        <f t="shared" si="0"/>
        <v>#REF!</v>
      </c>
      <c r="H48" s="105" t="e">
        <f>SUMIFS(#REF!,#REF!,$A48,#REF!,$B48,#REF!,$C48,#REF!,"Other Sector Demand")</f>
        <v>#REF!</v>
      </c>
      <c r="I48" s="105" t="e">
        <f t="shared" si="1"/>
        <v>#REF!</v>
      </c>
      <c r="J48" s="106" t="e">
        <f t="shared" si="2"/>
        <v>#REF!</v>
      </c>
      <c r="K48" s="107" t="e">
        <f t="shared" si="3"/>
        <v>#REF!</v>
      </c>
    </row>
    <row r="49" spans="1:11" ht="15" customHeight="1" x14ac:dyDescent="0.2">
      <c r="A49" s="104" t="s">
        <v>205</v>
      </c>
      <c r="B49" s="104" t="s">
        <v>206</v>
      </c>
      <c r="C49" s="104" t="s">
        <v>52</v>
      </c>
      <c r="D49" s="104">
        <v>2050</v>
      </c>
      <c r="E49" s="105" t="e">
        <f>SUMIFS(#REF!,#REF!,$A49,#REF!,$B49,#REF!,$C49,#REF!,"Storage Demand")</f>
        <v>#REF!</v>
      </c>
      <c r="F49" s="105" t="e">
        <f>SUMIFS(#REF!,#REF!,$A49,#REF!,$B49,#REF!,$C49,#REF!,"&lt;&gt;Other Sector Demand")</f>
        <v>#REF!</v>
      </c>
      <c r="G49" s="106" t="e">
        <f t="shared" si="0"/>
        <v>#REF!</v>
      </c>
      <c r="H49" s="105" t="e">
        <f>SUMIFS(#REF!,#REF!,$A49,#REF!,$B49,#REF!,$C49,#REF!,"Other Sector Demand")</f>
        <v>#REF!</v>
      </c>
      <c r="I49" s="105" t="e">
        <f t="shared" si="1"/>
        <v>#REF!</v>
      </c>
      <c r="J49" s="106" t="e">
        <f t="shared" si="2"/>
        <v>#REF!</v>
      </c>
      <c r="K49" s="107" t="e">
        <f t="shared" si="3"/>
        <v>#REF!</v>
      </c>
    </row>
    <row r="50" spans="1:11" ht="15" customHeight="1" x14ac:dyDescent="0.2">
      <c r="A50" s="104" t="s">
        <v>205</v>
      </c>
      <c r="B50" s="104" t="s">
        <v>206</v>
      </c>
      <c r="C50" s="104" t="s">
        <v>53</v>
      </c>
      <c r="D50" s="104">
        <v>2020</v>
      </c>
      <c r="E50" s="105" t="e">
        <f>SUMIFS(#REF!,#REF!,$A50,#REF!,$B50,#REF!,$C50,#REF!,"Storage Demand")</f>
        <v>#REF!</v>
      </c>
      <c r="F50" s="105" t="e">
        <f>SUMIFS(#REF!,#REF!,$A50,#REF!,$B50,#REF!,$C50,#REF!,"&lt;&gt;Other Sector Demand")</f>
        <v>#REF!</v>
      </c>
      <c r="G50" s="106" t="e">
        <f t="shared" si="0"/>
        <v>#REF!</v>
      </c>
      <c r="H50" s="105" t="e">
        <f>SUMIFS(#REF!,#REF!,$A50,#REF!,$B50,#REF!,$C50,#REF!,"Other Sector Demand")</f>
        <v>#REF!</v>
      </c>
      <c r="I50" s="105" t="e">
        <f t="shared" si="1"/>
        <v>#REF!</v>
      </c>
      <c r="J50" s="106" t="e">
        <f t="shared" si="2"/>
        <v>#REF!</v>
      </c>
      <c r="K50" s="107" t="e">
        <f t="shared" si="3"/>
        <v>#REF!</v>
      </c>
    </row>
    <row r="51" spans="1:11" ht="15" customHeight="1" x14ac:dyDescent="0.2">
      <c r="A51" s="104" t="s">
        <v>205</v>
      </c>
      <c r="B51" s="104" t="s">
        <v>206</v>
      </c>
      <c r="C51" s="104" t="s">
        <v>53</v>
      </c>
      <c r="D51" s="104">
        <v>2030</v>
      </c>
      <c r="E51" s="105" t="e">
        <f>SUMIFS(#REF!,#REF!,$A51,#REF!,$B51,#REF!,$C51,#REF!,"Storage Demand")</f>
        <v>#REF!</v>
      </c>
      <c r="F51" s="105" t="e">
        <f>SUMIFS(#REF!,#REF!,$A51,#REF!,$B51,#REF!,$C51,#REF!,"&lt;&gt;Other Sector Demand")</f>
        <v>#REF!</v>
      </c>
      <c r="G51" s="106" t="e">
        <f t="shared" si="0"/>
        <v>#REF!</v>
      </c>
      <c r="H51" s="105" t="e">
        <f>SUMIFS(#REF!,#REF!,$A51,#REF!,$B51,#REF!,$C51,#REF!,"Other Sector Demand")</f>
        <v>#REF!</v>
      </c>
      <c r="I51" s="105" t="e">
        <f t="shared" si="1"/>
        <v>#REF!</v>
      </c>
      <c r="J51" s="106" t="e">
        <f t="shared" si="2"/>
        <v>#REF!</v>
      </c>
      <c r="K51" s="107" t="e">
        <f t="shared" si="3"/>
        <v>#REF!</v>
      </c>
    </row>
    <row r="52" spans="1:11" ht="15" customHeight="1" x14ac:dyDescent="0.2">
      <c r="A52" s="104" t="s">
        <v>205</v>
      </c>
      <c r="B52" s="104" t="s">
        <v>206</v>
      </c>
      <c r="C52" s="104" t="s">
        <v>53</v>
      </c>
      <c r="D52" s="104">
        <v>2040</v>
      </c>
      <c r="E52" s="105" t="e">
        <f>SUMIFS(#REF!,#REF!,$A52,#REF!,$B52,#REF!,$C52,#REF!,"Storage Demand")</f>
        <v>#REF!</v>
      </c>
      <c r="F52" s="105" t="e">
        <f>SUMIFS(#REF!,#REF!,$A52,#REF!,$B52,#REF!,$C52,#REF!,"&lt;&gt;Other Sector Demand")</f>
        <v>#REF!</v>
      </c>
      <c r="G52" s="106" t="e">
        <f t="shared" si="0"/>
        <v>#REF!</v>
      </c>
      <c r="H52" s="105" t="e">
        <f>SUMIFS(#REF!,#REF!,$A52,#REF!,$B52,#REF!,$C52,#REF!,"Other Sector Demand")</f>
        <v>#REF!</v>
      </c>
      <c r="I52" s="105" t="e">
        <f t="shared" si="1"/>
        <v>#REF!</v>
      </c>
      <c r="J52" s="106" t="e">
        <f t="shared" si="2"/>
        <v>#REF!</v>
      </c>
      <c r="K52" s="107" t="e">
        <f t="shared" si="3"/>
        <v>#REF!</v>
      </c>
    </row>
    <row r="53" spans="1:11" ht="15" customHeight="1" x14ac:dyDescent="0.2">
      <c r="A53" s="104" t="s">
        <v>205</v>
      </c>
      <c r="B53" s="104" t="s">
        <v>206</v>
      </c>
      <c r="C53" s="104" t="s">
        <v>53</v>
      </c>
      <c r="D53" s="104">
        <v>2050</v>
      </c>
      <c r="E53" s="105" t="e">
        <f>SUMIFS(#REF!,#REF!,$A53,#REF!,$B53,#REF!,$C53,#REF!,"Storage Demand")</f>
        <v>#REF!</v>
      </c>
      <c r="F53" s="105" t="e">
        <f>SUMIFS(#REF!,#REF!,$A53,#REF!,$B53,#REF!,$C53,#REF!,"&lt;&gt;Other Sector Demand")</f>
        <v>#REF!</v>
      </c>
      <c r="G53" s="106" t="e">
        <f t="shared" si="0"/>
        <v>#REF!</v>
      </c>
      <c r="H53" s="105" t="e">
        <f>SUMIFS(#REF!,#REF!,$A53,#REF!,$B53,#REF!,$C53,#REF!,"Other Sector Demand")</f>
        <v>#REF!</v>
      </c>
      <c r="I53" s="105" t="e">
        <f t="shared" si="1"/>
        <v>#REF!</v>
      </c>
      <c r="J53" s="106" t="e">
        <f t="shared" si="2"/>
        <v>#REF!</v>
      </c>
      <c r="K53" s="107" t="e">
        <f t="shared" si="3"/>
        <v>#REF!</v>
      </c>
    </row>
    <row r="54" spans="1:11" ht="15" customHeight="1" x14ac:dyDescent="0.2">
      <c r="A54" s="104" t="s">
        <v>205</v>
      </c>
      <c r="B54" s="104" t="s">
        <v>206</v>
      </c>
      <c r="C54" s="104" t="s">
        <v>55</v>
      </c>
      <c r="D54" s="104">
        <v>2020</v>
      </c>
      <c r="E54" s="105" t="e">
        <f>SUMIFS(#REF!,#REF!,$A54,#REF!,$B54,#REF!,$C54,#REF!,"Storage Demand")</f>
        <v>#REF!</v>
      </c>
      <c r="F54" s="105" t="e">
        <f>SUMIFS(#REF!,#REF!,$A54,#REF!,$B54,#REF!,$C54,#REF!,"&lt;&gt;Other Sector Demand")</f>
        <v>#REF!</v>
      </c>
      <c r="G54" s="106" t="e">
        <f t="shared" si="0"/>
        <v>#REF!</v>
      </c>
      <c r="H54" s="105" t="e">
        <f>SUMIFS(#REF!,#REF!,$A54,#REF!,$B54,#REF!,$C54,#REF!,"Other Sector Demand")</f>
        <v>#REF!</v>
      </c>
      <c r="I54" s="105" t="e">
        <f t="shared" si="1"/>
        <v>#REF!</v>
      </c>
      <c r="J54" s="106" t="e">
        <f t="shared" si="2"/>
        <v>#REF!</v>
      </c>
      <c r="K54" s="107" t="e">
        <f t="shared" si="3"/>
        <v>#REF!</v>
      </c>
    </row>
    <row r="55" spans="1:11" ht="15" customHeight="1" x14ac:dyDescent="0.2">
      <c r="A55" s="104" t="s">
        <v>205</v>
      </c>
      <c r="B55" s="104" t="s">
        <v>206</v>
      </c>
      <c r="C55" s="104" t="s">
        <v>55</v>
      </c>
      <c r="D55" s="104">
        <v>2030</v>
      </c>
      <c r="E55" s="105" t="e">
        <f>SUMIFS(#REF!,#REF!,$A55,#REF!,$B55,#REF!,$C55,#REF!,"Storage Demand")</f>
        <v>#REF!</v>
      </c>
      <c r="F55" s="105" t="e">
        <f>SUMIFS(#REF!,#REF!,$A55,#REF!,$B55,#REF!,$C55,#REF!,"&lt;&gt;Other Sector Demand")</f>
        <v>#REF!</v>
      </c>
      <c r="G55" s="106" t="e">
        <f t="shared" si="0"/>
        <v>#REF!</v>
      </c>
      <c r="H55" s="105" t="e">
        <f>SUMIFS(#REF!,#REF!,$A55,#REF!,$B55,#REF!,$C55,#REF!,"Other Sector Demand")</f>
        <v>#REF!</v>
      </c>
      <c r="I55" s="105" t="e">
        <f t="shared" si="1"/>
        <v>#REF!</v>
      </c>
      <c r="J55" s="106" t="e">
        <f t="shared" si="2"/>
        <v>#REF!</v>
      </c>
      <c r="K55" s="107" t="e">
        <f t="shared" si="3"/>
        <v>#REF!</v>
      </c>
    </row>
    <row r="56" spans="1:11" ht="15" customHeight="1" x14ac:dyDescent="0.2">
      <c r="A56" s="104" t="s">
        <v>205</v>
      </c>
      <c r="B56" s="104" t="s">
        <v>206</v>
      </c>
      <c r="C56" s="104" t="s">
        <v>55</v>
      </c>
      <c r="D56" s="104">
        <v>2040</v>
      </c>
      <c r="E56" s="105" t="e">
        <f>SUMIFS(#REF!,#REF!,$A56,#REF!,$B56,#REF!,$C56,#REF!,"Storage Demand")</f>
        <v>#REF!</v>
      </c>
      <c r="F56" s="105" t="e">
        <f>SUMIFS(#REF!,#REF!,$A56,#REF!,$B56,#REF!,$C56,#REF!,"&lt;&gt;Other Sector Demand")</f>
        <v>#REF!</v>
      </c>
      <c r="G56" s="106" t="e">
        <f t="shared" si="0"/>
        <v>#REF!</v>
      </c>
      <c r="H56" s="105" t="e">
        <f>SUMIFS(#REF!,#REF!,$A56,#REF!,$B56,#REF!,$C56,#REF!,"Other Sector Demand")</f>
        <v>#REF!</v>
      </c>
      <c r="I56" s="105" t="e">
        <f t="shared" si="1"/>
        <v>#REF!</v>
      </c>
      <c r="J56" s="106" t="e">
        <f t="shared" si="2"/>
        <v>#REF!</v>
      </c>
      <c r="K56" s="107" t="e">
        <f t="shared" si="3"/>
        <v>#REF!</v>
      </c>
    </row>
    <row r="57" spans="1:11" ht="15" customHeight="1" x14ac:dyDescent="0.2">
      <c r="A57" s="104" t="s">
        <v>205</v>
      </c>
      <c r="B57" s="104" t="s">
        <v>206</v>
      </c>
      <c r="C57" s="104" t="s">
        <v>55</v>
      </c>
      <c r="D57" s="104">
        <v>2050</v>
      </c>
      <c r="E57" s="105" t="e">
        <f>SUMIFS(#REF!,#REF!,$A57,#REF!,$B57,#REF!,$C57,#REF!,"Storage Demand")</f>
        <v>#REF!</v>
      </c>
      <c r="F57" s="105" t="e">
        <f>SUMIFS(#REF!,#REF!,$A57,#REF!,$B57,#REF!,$C57,#REF!,"&lt;&gt;Other Sector Demand")</f>
        <v>#REF!</v>
      </c>
      <c r="G57" s="106" t="e">
        <f t="shared" si="0"/>
        <v>#REF!</v>
      </c>
      <c r="H57" s="105" t="e">
        <f>SUMIFS(#REF!,#REF!,$A57,#REF!,$B57,#REF!,$C57,#REF!,"Other Sector Demand")</f>
        <v>#REF!</v>
      </c>
      <c r="I57" s="105" t="e">
        <f t="shared" si="1"/>
        <v>#REF!</v>
      </c>
      <c r="J57" s="106" t="e">
        <f t="shared" si="2"/>
        <v>#REF!</v>
      </c>
      <c r="K57" s="107" t="e">
        <f t="shared" si="3"/>
        <v>#REF!</v>
      </c>
    </row>
    <row r="58" spans="1:11" ht="15" customHeight="1" x14ac:dyDescent="0.2">
      <c r="A58" s="104" t="s">
        <v>205</v>
      </c>
      <c r="B58" s="104" t="s">
        <v>206</v>
      </c>
      <c r="C58" s="104" t="s">
        <v>57</v>
      </c>
      <c r="D58" s="104">
        <v>2020</v>
      </c>
      <c r="E58" s="105" t="e">
        <f>SUMIFS(#REF!,#REF!,$A58,#REF!,$B58,#REF!,$C58,#REF!,"Storage Demand")</f>
        <v>#REF!</v>
      </c>
      <c r="F58" s="105" t="e">
        <f>SUMIFS(#REF!,#REF!,$A58,#REF!,$B58,#REF!,$C58,#REF!,"&lt;&gt;Other Sector Demand")</f>
        <v>#REF!</v>
      </c>
      <c r="G58" s="106" t="e">
        <f t="shared" si="0"/>
        <v>#REF!</v>
      </c>
      <c r="H58" s="105" t="e">
        <f>SUMIFS(#REF!,#REF!,$A58,#REF!,$B58,#REF!,$C58,#REF!,"Other Sector Demand")</f>
        <v>#REF!</v>
      </c>
      <c r="I58" s="105" t="e">
        <f t="shared" si="1"/>
        <v>#REF!</v>
      </c>
      <c r="J58" s="106" t="e">
        <f t="shared" si="2"/>
        <v>#REF!</v>
      </c>
      <c r="K58" s="107" t="e">
        <f t="shared" si="3"/>
        <v>#REF!</v>
      </c>
    </row>
    <row r="59" spans="1:11" ht="15" customHeight="1" x14ac:dyDescent="0.2">
      <c r="A59" s="104" t="s">
        <v>205</v>
      </c>
      <c r="B59" s="104" t="s">
        <v>206</v>
      </c>
      <c r="C59" s="104" t="s">
        <v>57</v>
      </c>
      <c r="D59" s="104">
        <v>2030</v>
      </c>
      <c r="E59" s="105" t="e">
        <f>SUMIFS(#REF!,#REF!,$A59,#REF!,$B59,#REF!,$C59,#REF!,"Storage Demand")</f>
        <v>#REF!</v>
      </c>
      <c r="F59" s="105" t="e">
        <f>SUMIFS(#REF!,#REF!,$A59,#REF!,$B59,#REF!,$C59,#REF!,"&lt;&gt;Other Sector Demand")</f>
        <v>#REF!</v>
      </c>
      <c r="G59" s="106" t="e">
        <f t="shared" si="0"/>
        <v>#REF!</v>
      </c>
      <c r="H59" s="105" t="e">
        <f>SUMIFS(#REF!,#REF!,$A59,#REF!,$B59,#REF!,$C59,#REF!,"Other Sector Demand")</f>
        <v>#REF!</v>
      </c>
      <c r="I59" s="105" t="e">
        <f t="shared" si="1"/>
        <v>#REF!</v>
      </c>
      <c r="J59" s="106" t="e">
        <f t="shared" si="2"/>
        <v>#REF!</v>
      </c>
      <c r="K59" s="107" t="e">
        <f t="shared" si="3"/>
        <v>#REF!</v>
      </c>
    </row>
    <row r="60" spans="1:11" ht="15" customHeight="1" x14ac:dyDescent="0.2">
      <c r="A60" s="104" t="s">
        <v>205</v>
      </c>
      <c r="B60" s="104" t="s">
        <v>206</v>
      </c>
      <c r="C60" s="104" t="s">
        <v>57</v>
      </c>
      <c r="D60" s="104">
        <v>2040</v>
      </c>
      <c r="E60" s="105" t="e">
        <f>SUMIFS(#REF!,#REF!,$A60,#REF!,$B60,#REF!,$C60,#REF!,"Storage Demand")</f>
        <v>#REF!</v>
      </c>
      <c r="F60" s="105" t="e">
        <f>SUMIFS(#REF!,#REF!,$A60,#REF!,$B60,#REF!,$C60,#REF!,"&lt;&gt;Other Sector Demand")</f>
        <v>#REF!</v>
      </c>
      <c r="G60" s="106" t="e">
        <f t="shared" si="0"/>
        <v>#REF!</v>
      </c>
      <c r="H60" s="105" t="e">
        <f>SUMIFS(#REF!,#REF!,$A60,#REF!,$B60,#REF!,$C60,#REF!,"Other Sector Demand")</f>
        <v>#REF!</v>
      </c>
      <c r="I60" s="105" t="e">
        <f t="shared" si="1"/>
        <v>#REF!</v>
      </c>
      <c r="J60" s="106" t="e">
        <f t="shared" si="2"/>
        <v>#REF!</v>
      </c>
      <c r="K60" s="107" t="e">
        <f t="shared" si="3"/>
        <v>#REF!</v>
      </c>
    </row>
    <row r="61" spans="1:11" ht="15" customHeight="1" x14ac:dyDescent="0.2">
      <c r="A61" s="104" t="s">
        <v>205</v>
      </c>
      <c r="B61" s="104" t="s">
        <v>206</v>
      </c>
      <c r="C61" s="104" t="s">
        <v>57</v>
      </c>
      <c r="D61" s="104">
        <v>2050</v>
      </c>
      <c r="E61" s="105" t="e">
        <f>SUMIFS(#REF!,#REF!,$A61,#REF!,$B61,#REF!,$C61,#REF!,"Storage Demand")</f>
        <v>#REF!</v>
      </c>
      <c r="F61" s="105" t="e">
        <f>SUMIFS(#REF!,#REF!,$A61,#REF!,$B61,#REF!,$C61,#REF!,"&lt;&gt;Other Sector Demand")</f>
        <v>#REF!</v>
      </c>
      <c r="G61" s="106" t="e">
        <f t="shared" si="0"/>
        <v>#REF!</v>
      </c>
      <c r="H61" s="105" t="e">
        <f>SUMIFS(#REF!,#REF!,$A61,#REF!,$B61,#REF!,$C61,#REF!,"Other Sector Demand")</f>
        <v>#REF!</v>
      </c>
      <c r="I61" s="105" t="e">
        <f t="shared" si="1"/>
        <v>#REF!</v>
      </c>
      <c r="J61" s="106" t="e">
        <f t="shared" si="2"/>
        <v>#REF!</v>
      </c>
      <c r="K61" s="107" t="e">
        <f t="shared" si="3"/>
        <v>#REF!</v>
      </c>
    </row>
    <row r="62" spans="1:11" ht="15" customHeight="1" x14ac:dyDescent="0.2">
      <c r="A62" s="104" t="s">
        <v>205</v>
      </c>
      <c r="B62" s="104" t="s">
        <v>206</v>
      </c>
      <c r="C62" s="104" t="s">
        <v>58</v>
      </c>
      <c r="D62" s="104">
        <v>2020</v>
      </c>
      <c r="E62" s="105" t="e">
        <f>SUMIFS(#REF!,#REF!,$A62,#REF!,$B62,#REF!,$C62,#REF!,"Storage Demand")</f>
        <v>#REF!</v>
      </c>
      <c r="F62" s="105" t="e">
        <f>SUMIFS(#REF!,#REF!,$A62,#REF!,$B62,#REF!,$C62,#REF!,"&lt;&gt;Other Sector Demand")</f>
        <v>#REF!</v>
      </c>
      <c r="G62" s="106" t="e">
        <f t="shared" si="0"/>
        <v>#REF!</v>
      </c>
      <c r="H62" s="105" t="e">
        <f>SUMIFS(#REF!,#REF!,$A62,#REF!,$B62,#REF!,$C62,#REF!,"Other Sector Demand")</f>
        <v>#REF!</v>
      </c>
      <c r="I62" s="105" t="e">
        <f t="shared" si="1"/>
        <v>#REF!</v>
      </c>
      <c r="J62" s="106" t="e">
        <f t="shared" si="2"/>
        <v>#REF!</v>
      </c>
      <c r="K62" s="107" t="e">
        <f t="shared" si="3"/>
        <v>#REF!</v>
      </c>
    </row>
    <row r="63" spans="1:11" ht="15" customHeight="1" x14ac:dyDescent="0.2">
      <c r="A63" s="104" t="s">
        <v>205</v>
      </c>
      <c r="B63" s="104" t="s">
        <v>206</v>
      </c>
      <c r="C63" s="104" t="s">
        <v>58</v>
      </c>
      <c r="D63" s="104">
        <v>2030</v>
      </c>
      <c r="E63" s="105" t="e">
        <f>SUMIFS(#REF!,#REF!,$A63,#REF!,$B63,#REF!,$C63,#REF!,"Storage Demand")</f>
        <v>#REF!</v>
      </c>
      <c r="F63" s="105" t="e">
        <f>SUMIFS(#REF!,#REF!,$A63,#REF!,$B63,#REF!,$C63,#REF!,"&lt;&gt;Other Sector Demand")</f>
        <v>#REF!</v>
      </c>
      <c r="G63" s="106" t="e">
        <f t="shared" si="0"/>
        <v>#REF!</v>
      </c>
      <c r="H63" s="105" t="e">
        <f>SUMIFS(#REF!,#REF!,$A63,#REF!,$B63,#REF!,$C63,#REF!,"Other Sector Demand")</f>
        <v>#REF!</v>
      </c>
      <c r="I63" s="105" t="e">
        <f t="shared" si="1"/>
        <v>#REF!</v>
      </c>
      <c r="J63" s="106" t="e">
        <f t="shared" si="2"/>
        <v>#REF!</v>
      </c>
      <c r="K63" s="107" t="e">
        <f t="shared" si="3"/>
        <v>#REF!</v>
      </c>
    </row>
    <row r="64" spans="1:11" ht="15" customHeight="1" x14ac:dyDescent="0.2">
      <c r="A64" s="104" t="s">
        <v>205</v>
      </c>
      <c r="B64" s="104" t="s">
        <v>206</v>
      </c>
      <c r="C64" s="104" t="s">
        <v>58</v>
      </c>
      <c r="D64" s="104">
        <v>2040</v>
      </c>
      <c r="E64" s="105" t="e">
        <f>SUMIFS(#REF!,#REF!,$A64,#REF!,$B64,#REF!,$C64,#REF!,"Storage Demand")</f>
        <v>#REF!</v>
      </c>
      <c r="F64" s="105" t="e">
        <f>SUMIFS(#REF!,#REF!,$A64,#REF!,$B64,#REF!,$C64,#REF!,"&lt;&gt;Other Sector Demand")</f>
        <v>#REF!</v>
      </c>
      <c r="G64" s="106" t="e">
        <f t="shared" si="0"/>
        <v>#REF!</v>
      </c>
      <c r="H64" s="105" t="e">
        <f>SUMIFS(#REF!,#REF!,$A64,#REF!,$B64,#REF!,$C64,#REF!,"Other Sector Demand")</f>
        <v>#REF!</v>
      </c>
      <c r="I64" s="105" t="e">
        <f t="shared" si="1"/>
        <v>#REF!</v>
      </c>
      <c r="J64" s="106" t="e">
        <f t="shared" si="2"/>
        <v>#REF!</v>
      </c>
      <c r="K64" s="107" t="e">
        <f t="shared" si="3"/>
        <v>#REF!</v>
      </c>
    </row>
    <row r="65" spans="1:11" ht="15" customHeight="1" x14ac:dyDescent="0.2">
      <c r="A65" s="104" t="s">
        <v>205</v>
      </c>
      <c r="B65" s="104" t="s">
        <v>206</v>
      </c>
      <c r="C65" s="104" t="s">
        <v>58</v>
      </c>
      <c r="D65" s="104">
        <v>2050</v>
      </c>
      <c r="E65" s="105" t="e">
        <f>SUMIFS(#REF!,#REF!,$A65,#REF!,$B65,#REF!,$C65,#REF!,"Storage Demand")</f>
        <v>#REF!</v>
      </c>
      <c r="F65" s="105" t="e">
        <f>SUMIFS(#REF!,#REF!,$A65,#REF!,$B65,#REF!,$C65,#REF!,"&lt;&gt;Other Sector Demand")</f>
        <v>#REF!</v>
      </c>
      <c r="G65" s="106" t="e">
        <f t="shared" si="0"/>
        <v>#REF!</v>
      </c>
      <c r="H65" s="105" t="e">
        <f>SUMIFS(#REF!,#REF!,$A65,#REF!,$B65,#REF!,$C65,#REF!,"Other Sector Demand")</f>
        <v>#REF!</v>
      </c>
      <c r="I65" s="105" t="e">
        <f t="shared" si="1"/>
        <v>#REF!</v>
      </c>
      <c r="J65" s="106" t="e">
        <f t="shared" si="2"/>
        <v>#REF!</v>
      </c>
      <c r="K65" s="107" t="e">
        <f t="shared" si="3"/>
        <v>#REF!</v>
      </c>
    </row>
    <row r="66" spans="1:11" ht="15" customHeight="1" x14ac:dyDescent="0.2">
      <c r="A66" s="104" t="s">
        <v>205</v>
      </c>
      <c r="B66" s="104" t="s">
        <v>206</v>
      </c>
      <c r="C66" s="104" t="s">
        <v>59</v>
      </c>
      <c r="D66" s="104">
        <v>2020</v>
      </c>
      <c r="E66" s="105" t="e">
        <f>SUMIFS(#REF!,#REF!,$A66,#REF!,$B66,#REF!,$C66,#REF!,"Storage Demand")</f>
        <v>#REF!</v>
      </c>
      <c r="F66" s="105" t="e">
        <f>SUMIFS(#REF!,#REF!,$A66,#REF!,$B66,#REF!,$C66,#REF!,"&lt;&gt;Other Sector Demand")</f>
        <v>#REF!</v>
      </c>
      <c r="G66" s="106" t="e">
        <f t="shared" ref="G66:G129" si="4">IF($F66=0,0,$E66/$F66)</f>
        <v>#REF!</v>
      </c>
      <c r="H66" s="105" t="e">
        <f>SUMIFS(#REF!,#REF!,$A66,#REF!,$B66,#REF!,$C66,#REF!,"Other Sector Demand")</f>
        <v>#REF!</v>
      </c>
      <c r="I66" s="105" t="e">
        <f t="shared" ref="I66:I129" si="5">$F66+$H66</f>
        <v>#REF!</v>
      </c>
      <c r="J66" s="106" t="e">
        <f t="shared" ref="J66:J129" si="6">IF($I66=0,0,$E66/$I66)</f>
        <v>#REF!</v>
      </c>
      <c r="K66" s="107" t="e">
        <f t="shared" ref="K66:K129" si="7">IF(SUMIFS($F$2:$F$1025,$A$2:$A$1025,$A66,$B$2:$B$1025,$B66,$C$2:$C$1025,$C66)=0,0,SUMIFS($E$2:$E$1025,$A$2:$A$1025,$A66,$B$2:$B$1025,$B66,$C$2:$C$1025,$C66)/SUMIFS($F$2:$F$1025,$A$2:$A$1025,$A66,$B$2:$B$1025,$B66,$C$2:$C$1025,$C66))</f>
        <v>#REF!</v>
      </c>
    </row>
    <row r="67" spans="1:11" ht="15" customHeight="1" x14ac:dyDescent="0.2">
      <c r="A67" s="104" t="s">
        <v>205</v>
      </c>
      <c r="B67" s="104" t="s">
        <v>206</v>
      </c>
      <c r="C67" s="104" t="s">
        <v>59</v>
      </c>
      <c r="D67" s="104">
        <v>2030</v>
      </c>
      <c r="E67" s="105" t="e">
        <f>SUMIFS(#REF!,#REF!,$A67,#REF!,$B67,#REF!,$C67,#REF!,"Storage Demand")</f>
        <v>#REF!</v>
      </c>
      <c r="F67" s="105" t="e">
        <f>SUMIFS(#REF!,#REF!,$A67,#REF!,$B67,#REF!,$C67,#REF!,"&lt;&gt;Other Sector Demand")</f>
        <v>#REF!</v>
      </c>
      <c r="G67" s="106" t="e">
        <f t="shared" si="4"/>
        <v>#REF!</v>
      </c>
      <c r="H67" s="105" t="e">
        <f>SUMIFS(#REF!,#REF!,$A67,#REF!,$B67,#REF!,$C67,#REF!,"Other Sector Demand")</f>
        <v>#REF!</v>
      </c>
      <c r="I67" s="105" t="e">
        <f t="shared" si="5"/>
        <v>#REF!</v>
      </c>
      <c r="J67" s="106" t="e">
        <f t="shared" si="6"/>
        <v>#REF!</v>
      </c>
      <c r="K67" s="107" t="e">
        <f t="shared" si="7"/>
        <v>#REF!</v>
      </c>
    </row>
    <row r="68" spans="1:11" ht="15" customHeight="1" x14ac:dyDescent="0.2">
      <c r="A68" s="104" t="s">
        <v>205</v>
      </c>
      <c r="B68" s="104" t="s">
        <v>206</v>
      </c>
      <c r="C68" s="104" t="s">
        <v>59</v>
      </c>
      <c r="D68" s="104">
        <v>2040</v>
      </c>
      <c r="E68" s="105" t="e">
        <f>SUMIFS(#REF!,#REF!,$A68,#REF!,$B68,#REF!,$C68,#REF!,"Storage Demand")</f>
        <v>#REF!</v>
      </c>
      <c r="F68" s="105" t="e">
        <f>SUMIFS(#REF!,#REF!,$A68,#REF!,$B68,#REF!,$C68,#REF!,"&lt;&gt;Other Sector Demand")</f>
        <v>#REF!</v>
      </c>
      <c r="G68" s="106" t="e">
        <f t="shared" si="4"/>
        <v>#REF!</v>
      </c>
      <c r="H68" s="105" t="e">
        <f>SUMIFS(#REF!,#REF!,$A68,#REF!,$B68,#REF!,$C68,#REF!,"Other Sector Demand")</f>
        <v>#REF!</v>
      </c>
      <c r="I68" s="105" t="e">
        <f t="shared" si="5"/>
        <v>#REF!</v>
      </c>
      <c r="J68" s="106" t="e">
        <f t="shared" si="6"/>
        <v>#REF!</v>
      </c>
      <c r="K68" s="107" t="e">
        <f t="shared" si="7"/>
        <v>#REF!</v>
      </c>
    </row>
    <row r="69" spans="1:11" ht="15" customHeight="1" x14ac:dyDescent="0.2">
      <c r="A69" s="104" t="s">
        <v>205</v>
      </c>
      <c r="B69" s="104" t="s">
        <v>206</v>
      </c>
      <c r="C69" s="104" t="s">
        <v>59</v>
      </c>
      <c r="D69" s="104">
        <v>2050</v>
      </c>
      <c r="E69" s="105" t="e">
        <f>SUMIFS(#REF!,#REF!,$A69,#REF!,$B69,#REF!,$C69,#REF!,"Storage Demand")</f>
        <v>#REF!</v>
      </c>
      <c r="F69" s="105" t="e">
        <f>SUMIFS(#REF!,#REF!,$A69,#REF!,$B69,#REF!,$C69,#REF!,"&lt;&gt;Other Sector Demand")</f>
        <v>#REF!</v>
      </c>
      <c r="G69" s="106" t="e">
        <f t="shared" si="4"/>
        <v>#REF!</v>
      </c>
      <c r="H69" s="105" t="e">
        <f>SUMIFS(#REF!,#REF!,$A69,#REF!,$B69,#REF!,$C69,#REF!,"Other Sector Demand")</f>
        <v>#REF!</v>
      </c>
      <c r="I69" s="105" t="e">
        <f t="shared" si="5"/>
        <v>#REF!</v>
      </c>
      <c r="J69" s="106" t="e">
        <f t="shared" si="6"/>
        <v>#REF!</v>
      </c>
      <c r="K69" s="107" t="e">
        <f t="shared" si="7"/>
        <v>#REF!</v>
      </c>
    </row>
    <row r="70" spans="1:11" ht="15" customHeight="1" x14ac:dyDescent="0.2">
      <c r="A70" s="104" t="s">
        <v>205</v>
      </c>
      <c r="B70" s="104" t="s">
        <v>206</v>
      </c>
      <c r="C70" s="104" t="s">
        <v>60</v>
      </c>
      <c r="D70" s="104">
        <v>2020</v>
      </c>
      <c r="E70" s="105" t="e">
        <f>SUMIFS(#REF!,#REF!,$A70,#REF!,$B70,#REF!,$C70,#REF!,"Storage Demand")</f>
        <v>#REF!</v>
      </c>
      <c r="F70" s="105" t="e">
        <f>SUMIFS(#REF!,#REF!,$A70,#REF!,$B70,#REF!,$C70,#REF!,"&lt;&gt;Other Sector Demand")</f>
        <v>#REF!</v>
      </c>
      <c r="G70" s="106" t="e">
        <f t="shared" si="4"/>
        <v>#REF!</v>
      </c>
      <c r="H70" s="105" t="e">
        <f>SUMIFS(#REF!,#REF!,$A70,#REF!,$B70,#REF!,$C70,#REF!,"Other Sector Demand")</f>
        <v>#REF!</v>
      </c>
      <c r="I70" s="105" t="e">
        <f t="shared" si="5"/>
        <v>#REF!</v>
      </c>
      <c r="J70" s="106" t="e">
        <f t="shared" si="6"/>
        <v>#REF!</v>
      </c>
      <c r="K70" s="107" t="e">
        <f t="shared" si="7"/>
        <v>#REF!</v>
      </c>
    </row>
    <row r="71" spans="1:11" ht="15" customHeight="1" x14ac:dyDescent="0.2">
      <c r="A71" s="104" t="s">
        <v>205</v>
      </c>
      <c r="B71" s="104" t="s">
        <v>206</v>
      </c>
      <c r="C71" s="104" t="s">
        <v>60</v>
      </c>
      <c r="D71" s="104">
        <v>2030</v>
      </c>
      <c r="E71" s="105" t="e">
        <f>SUMIFS(#REF!,#REF!,$A71,#REF!,$B71,#REF!,$C71,#REF!,"Storage Demand")</f>
        <v>#REF!</v>
      </c>
      <c r="F71" s="105" t="e">
        <f>SUMIFS(#REF!,#REF!,$A71,#REF!,$B71,#REF!,$C71,#REF!,"&lt;&gt;Other Sector Demand")</f>
        <v>#REF!</v>
      </c>
      <c r="G71" s="106" t="e">
        <f t="shared" si="4"/>
        <v>#REF!</v>
      </c>
      <c r="H71" s="105" t="e">
        <f>SUMIFS(#REF!,#REF!,$A71,#REF!,$B71,#REF!,$C71,#REF!,"Other Sector Demand")</f>
        <v>#REF!</v>
      </c>
      <c r="I71" s="105" t="e">
        <f t="shared" si="5"/>
        <v>#REF!</v>
      </c>
      <c r="J71" s="106" t="e">
        <f t="shared" si="6"/>
        <v>#REF!</v>
      </c>
      <c r="K71" s="107" t="e">
        <f t="shared" si="7"/>
        <v>#REF!</v>
      </c>
    </row>
    <row r="72" spans="1:11" ht="15" customHeight="1" x14ac:dyDescent="0.2">
      <c r="A72" s="104" t="s">
        <v>205</v>
      </c>
      <c r="B72" s="104" t="s">
        <v>206</v>
      </c>
      <c r="C72" s="104" t="s">
        <v>60</v>
      </c>
      <c r="D72" s="104">
        <v>2040</v>
      </c>
      <c r="E72" s="105" t="e">
        <f>SUMIFS(#REF!,#REF!,$A72,#REF!,$B72,#REF!,$C72,#REF!,"Storage Demand")</f>
        <v>#REF!</v>
      </c>
      <c r="F72" s="105" t="e">
        <f>SUMIFS(#REF!,#REF!,$A72,#REF!,$B72,#REF!,$C72,#REF!,"&lt;&gt;Other Sector Demand")</f>
        <v>#REF!</v>
      </c>
      <c r="G72" s="106" t="e">
        <f t="shared" si="4"/>
        <v>#REF!</v>
      </c>
      <c r="H72" s="105" t="e">
        <f>SUMIFS(#REF!,#REF!,$A72,#REF!,$B72,#REF!,$C72,#REF!,"Other Sector Demand")</f>
        <v>#REF!</v>
      </c>
      <c r="I72" s="105" t="e">
        <f t="shared" si="5"/>
        <v>#REF!</v>
      </c>
      <c r="J72" s="106" t="e">
        <f t="shared" si="6"/>
        <v>#REF!</v>
      </c>
      <c r="K72" s="107" t="e">
        <f t="shared" si="7"/>
        <v>#REF!</v>
      </c>
    </row>
    <row r="73" spans="1:11" ht="15" customHeight="1" x14ac:dyDescent="0.2">
      <c r="A73" s="104" t="s">
        <v>205</v>
      </c>
      <c r="B73" s="104" t="s">
        <v>206</v>
      </c>
      <c r="C73" s="104" t="s">
        <v>60</v>
      </c>
      <c r="D73" s="104">
        <v>2050</v>
      </c>
      <c r="E73" s="105" t="e">
        <f>SUMIFS(#REF!,#REF!,$A73,#REF!,$B73,#REF!,$C73,#REF!,"Storage Demand")</f>
        <v>#REF!</v>
      </c>
      <c r="F73" s="105" t="e">
        <f>SUMIFS(#REF!,#REF!,$A73,#REF!,$B73,#REF!,$C73,#REF!,"&lt;&gt;Other Sector Demand")</f>
        <v>#REF!</v>
      </c>
      <c r="G73" s="106" t="e">
        <f t="shared" si="4"/>
        <v>#REF!</v>
      </c>
      <c r="H73" s="105" t="e">
        <f>SUMIFS(#REF!,#REF!,$A73,#REF!,$B73,#REF!,$C73,#REF!,"Other Sector Demand")</f>
        <v>#REF!</v>
      </c>
      <c r="I73" s="105" t="e">
        <f t="shared" si="5"/>
        <v>#REF!</v>
      </c>
      <c r="J73" s="106" t="e">
        <f t="shared" si="6"/>
        <v>#REF!</v>
      </c>
      <c r="K73" s="107" t="e">
        <f t="shared" si="7"/>
        <v>#REF!</v>
      </c>
    </row>
    <row r="74" spans="1:11" ht="15" customHeight="1" x14ac:dyDescent="0.2">
      <c r="A74" s="104" t="s">
        <v>205</v>
      </c>
      <c r="B74" s="104" t="s">
        <v>206</v>
      </c>
      <c r="C74" s="104" t="s">
        <v>61</v>
      </c>
      <c r="D74" s="104">
        <v>2020</v>
      </c>
      <c r="E74" s="105" t="e">
        <f>SUMIFS(#REF!,#REF!,$A74,#REF!,$B74,#REF!,$C74,#REF!,"Storage Demand")</f>
        <v>#REF!</v>
      </c>
      <c r="F74" s="105" t="e">
        <f>SUMIFS(#REF!,#REF!,$A74,#REF!,$B74,#REF!,$C74,#REF!,"&lt;&gt;Other Sector Demand")</f>
        <v>#REF!</v>
      </c>
      <c r="G74" s="106" t="e">
        <f t="shared" si="4"/>
        <v>#REF!</v>
      </c>
      <c r="H74" s="105" t="e">
        <f>SUMIFS(#REF!,#REF!,$A74,#REF!,$B74,#REF!,$C74,#REF!,"Other Sector Demand")</f>
        <v>#REF!</v>
      </c>
      <c r="I74" s="105" t="e">
        <f t="shared" si="5"/>
        <v>#REF!</v>
      </c>
      <c r="J74" s="106" t="e">
        <f t="shared" si="6"/>
        <v>#REF!</v>
      </c>
      <c r="K74" s="107" t="e">
        <f t="shared" si="7"/>
        <v>#REF!</v>
      </c>
    </row>
    <row r="75" spans="1:11" ht="15" customHeight="1" x14ac:dyDescent="0.2">
      <c r="A75" s="104" t="s">
        <v>205</v>
      </c>
      <c r="B75" s="104" t="s">
        <v>206</v>
      </c>
      <c r="C75" s="104" t="s">
        <v>61</v>
      </c>
      <c r="D75" s="104">
        <v>2030</v>
      </c>
      <c r="E75" s="105" t="e">
        <f>SUMIFS(#REF!,#REF!,$A75,#REF!,$B75,#REF!,$C75,#REF!,"Storage Demand")</f>
        <v>#REF!</v>
      </c>
      <c r="F75" s="105" t="e">
        <f>SUMIFS(#REF!,#REF!,$A75,#REF!,$B75,#REF!,$C75,#REF!,"&lt;&gt;Other Sector Demand")</f>
        <v>#REF!</v>
      </c>
      <c r="G75" s="106" t="e">
        <f t="shared" si="4"/>
        <v>#REF!</v>
      </c>
      <c r="H75" s="105" t="e">
        <f>SUMIFS(#REF!,#REF!,$A75,#REF!,$B75,#REF!,$C75,#REF!,"Other Sector Demand")</f>
        <v>#REF!</v>
      </c>
      <c r="I75" s="105" t="e">
        <f t="shared" si="5"/>
        <v>#REF!</v>
      </c>
      <c r="J75" s="106" t="e">
        <f t="shared" si="6"/>
        <v>#REF!</v>
      </c>
      <c r="K75" s="107" t="e">
        <f t="shared" si="7"/>
        <v>#REF!</v>
      </c>
    </row>
    <row r="76" spans="1:11" ht="15" customHeight="1" x14ac:dyDescent="0.2">
      <c r="A76" s="104" t="s">
        <v>205</v>
      </c>
      <c r="B76" s="104" t="s">
        <v>206</v>
      </c>
      <c r="C76" s="104" t="s">
        <v>61</v>
      </c>
      <c r="D76" s="104">
        <v>2040</v>
      </c>
      <c r="E76" s="105" t="e">
        <f>SUMIFS(#REF!,#REF!,$A76,#REF!,$B76,#REF!,$C76,#REF!,"Storage Demand")</f>
        <v>#REF!</v>
      </c>
      <c r="F76" s="105" t="e">
        <f>SUMIFS(#REF!,#REF!,$A76,#REF!,$B76,#REF!,$C76,#REF!,"&lt;&gt;Other Sector Demand")</f>
        <v>#REF!</v>
      </c>
      <c r="G76" s="106" t="e">
        <f t="shared" si="4"/>
        <v>#REF!</v>
      </c>
      <c r="H76" s="105" t="e">
        <f>SUMIFS(#REF!,#REF!,$A76,#REF!,$B76,#REF!,$C76,#REF!,"Other Sector Demand")</f>
        <v>#REF!</v>
      </c>
      <c r="I76" s="105" t="e">
        <f t="shared" si="5"/>
        <v>#REF!</v>
      </c>
      <c r="J76" s="106" t="e">
        <f t="shared" si="6"/>
        <v>#REF!</v>
      </c>
      <c r="K76" s="107" t="e">
        <f t="shared" si="7"/>
        <v>#REF!</v>
      </c>
    </row>
    <row r="77" spans="1:11" ht="15" customHeight="1" x14ac:dyDescent="0.2">
      <c r="A77" s="104" t="s">
        <v>205</v>
      </c>
      <c r="B77" s="104" t="s">
        <v>206</v>
      </c>
      <c r="C77" s="104" t="s">
        <v>61</v>
      </c>
      <c r="D77" s="104">
        <v>2050</v>
      </c>
      <c r="E77" s="105" t="e">
        <f>SUMIFS(#REF!,#REF!,$A77,#REF!,$B77,#REF!,$C77,#REF!,"Storage Demand")</f>
        <v>#REF!</v>
      </c>
      <c r="F77" s="105" t="e">
        <f>SUMIFS(#REF!,#REF!,$A77,#REF!,$B77,#REF!,$C77,#REF!,"&lt;&gt;Other Sector Demand")</f>
        <v>#REF!</v>
      </c>
      <c r="G77" s="106" t="e">
        <f t="shared" si="4"/>
        <v>#REF!</v>
      </c>
      <c r="H77" s="105" t="e">
        <f>SUMIFS(#REF!,#REF!,$A77,#REF!,$B77,#REF!,$C77,#REF!,"Other Sector Demand")</f>
        <v>#REF!</v>
      </c>
      <c r="I77" s="105" t="e">
        <f t="shared" si="5"/>
        <v>#REF!</v>
      </c>
      <c r="J77" s="106" t="e">
        <f t="shared" si="6"/>
        <v>#REF!</v>
      </c>
      <c r="K77" s="107" t="e">
        <f t="shared" si="7"/>
        <v>#REF!</v>
      </c>
    </row>
    <row r="78" spans="1:11" ht="15" customHeight="1" x14ac:dyDescent="0.2">
      <c r="A78" s="104" t="s">
        <v>205</v>
      </c>
      <c r="B78" s="104" t="s">
        <v>206</v>
      </c>
      <c r="C78" s="104" t="s">
        <v>64</v>
      </c>
      <c r="D78" s="104">
        <v>2020</v>
      </c>
      <c r="E78" s="105" t="e">
        <f>SUMIFS(#REF!,#REF!,$A78,#REF!,$B78,#REF!,$C78,#REF!,"Storage Demand")</f>
        <v>#REF!</v>
      </c>
      <c r="F78" s="105" t="e">
        <f>SUMIFS(#REF!,#REF!,$A78,#REF!,$B78,#REF!,$C78,#REF!,"&lt;&gt;Other Sector Demand")</f>
        <v>#REF!</v>
      </c>
      <c r="G78" s="106" t="e">
        <f t="shared" si="4"/>
        <v>#REF!</v>
      </c>
      <c r="H78" s="105" t="e">
        <f>SUMIFS(#REF!,#REF!,$A78,#REF!,$B78,#REF!,$C78,#REF!,"Other Sector Demand")</f>
        <v>#REF!</v>
      </c>
      <c r="I78" s="105" t="e">
        <f t="shared" si="5"/>
        <v>#REF!</v>
      </c>
      <c r="J78" s="106" t="e">
        <f t="shared" si="6"/>
        <v>#REF!</v>
      </c>
      <c r="K78" s="107" t="e">
        <f t="shared" si="7"/>
        <v>#REF!</v>
      </c>
    </row>
    <row r="79" spans="1:11" ht="15" customHeight="1" x14ac:dyDescent="0.2">
      <c r="A79" s="104" t="s">
        <v>205</v>
      </c>
      <c r="B79" s="104" t="s">
        <v>206</v>
      </c>
      <c r="C79" s="104" t="s">
        <v>64</v>
      </c>
      <c r="D79" s="104">
        <v>2030</v>
      </c>
      <c r="E79" s="105" t="e">
        <f>SUMIFS(#REF!,#REF!,$A79,#REF!,$B79,#REF!,$C79,#REF!,"Storage Demand")</f>
        <v>#REF!</v>
      </c>
      <c r="F79" s="105" t="e">
        <f>SUMIFS(#REF!,#REF!,$A79,#REF!,$B79,#REF!,$C79,#REF!,"&lt;&gt;Other Sector Demand")</f>
        <v>#REF!</v>
      </c>
      <c r="G79" s="106" t="e">
        <f t="shared" si="4"/>
        <v>#REF!</v>
      </c>
      <c r="H79" s="105" t="e">
        <f>SUMIFS(#REF!,#REF!,$A79,#REF!,$B79,#REF!,$C79,#REF!,"Other Sector Demand")</f>
        <v>#REF!</v>
      </c>
      <c r="I79" s="105" t="e">
        <f t="shared" si="5"/>
        <v>#REF!</v>
      </c>
      <c r="J79" s="106" t="e">
        <f t="shared" si="6"/>
        <v>#REF!</v>
      </c>
      <c r="K79" s="107" t="e">
        <f t="shared" si="7"/>
        <v>#REF!</v>
      </c>
    </row>
    <row r="80" spans="1:11" ht="15" customHeight="1" x14ac:dyDescent="0.2">
      <c r="A80" s="104" t="s">
        <v>205</v>
      </c>
      <c r="B80" s="104" t="s">
        <v>206</v>
      </c>
      <c r="C80" s="104" t="s">
        <v>64</v>
      </c>
      <c r="D80" s="104">
        <v>2040</v>
      </c>
      <c r="E80" s="105" t="e">
        <f>SUMIFS(#REF!,#REF!,$A80,#REF!,$B80,#REF!,$C80,#REF!,"Storage Demand")</f>
        <v>#REF!</v>
      </c>
      <c r="F80" s="105" t="e">
        <f>SUMIFS(#REF!,#REF!,$A80,#REF!,$B80,#REF!,$C80,#REF!,"&lt;&gt;Other Sector Demand")</f>
        <v>#REF!</v>
      </c>
      <c r="G80" s="106" t="e">
        <f t="shared" si="4"/>
        <v>#REF!</v>
      </c>
      <c r="H80" s="105" t="e">
        <f>SUMIFS(#REF!,#REF!,$A80,#REF!,$B80,#REF!,$C80,#REF!,"Other Sector Demand")</f>
        <v>#REF!</v>
      </c>
      <c r="I80" s="105" t="e">
        <f t="shared" si="5"/>
        <v>#REF!</v>
      </c>
      <c r="J80" s="106" t="e">
        <f t="shared" si="6"/>
        <v>#REF!</v>
      </c>
      <c r="K80" s="107" t="e">
        <f t="shared" si="7"/>
        <v>#REF!</v>
      </c>
    </row>
    <row r="81" spans="1:11" ht="15" customHeight="1" x14ac:dyDescent="0.2">
      <c r="A81" s="104" t="s">
        <v>205</v>
      </c>
      <c r="B81" s="104" t="s">
        <v>206</v>
      </c>
      <c r="C81" s="104" t="s">
        <v>64</v>
      </c>
      <c r="D81" s="104">
        <v>2050</v>
      </c>
      <c r="E81" s="105" t="e">
        <f>SUMIFS(#REF!,#REF!,$A81,#REF!,$B81,#REF!,$C81,#REF!,"Storage Demand")</f>
        <v>#REF!</v>
      </c>
      <c r="F81" s="105" t="e">
        <f>SUMIFS(#REF!,#REF!,$A81,#REF!,$B81,#REF!,$C81,#REF!,"&lt;&gt;Other Sector Demand")</f>
        <v>#REF!</v>
      </c>
      <c r="G81" s="106" t="e">
        <f t="shared" si="4"/>
        <v>#REF!</v>
      </c>
      <c r="H81" s="105" t="e">
        <f>SUMIFS(#REF!,#REF!,$A81,#REF!,$B81,#REF!,$C81,#REF!,"Other Sector Demand")</f>
        <v>#REF!</v>
      </c>
      <c r="I81" s="105" t="e">
        <f t="shared" si="5"/>
        <v>#REF!</v>
      </c>
      <c r="J81" s="106" t="e">
        <f t="shared" si="6"/>
        <v>#REF!</v>
      </c>
      <c r="K81" s="107" t="e">
        <f t="shared" si="7"/>
        <v>#REF!</v>
      </c>
    </row>
    <row r="82" spans="1:11" ht="15" customHeight="1" x14ac:dyDescent="0.2">
      <c r="A82" s="104" t="s">
        <v>205</v>
      </c>
      <c r="B82" s="104" t="s">
        <v>206</v>
      </c>
      <c r="C82" s="104" t="s">
        <v>66</v>
      </c>
      <c r="D82" s="104">
        <v>2020</v>
      </c>
      <c r="E82" s="105" t="e">
        <f>SUMIFS(#REF!,#REF!,$A82,#REF!,$B82,#REF!,$C82,#REF!,"Storage Demand")</f>
        <v>#REF!</v>
      </c>
      <c r="F82" s="105" t="e">
        <f>SUMIFS(#REF!,#REF!,$A82,#REF!,$B82,#REF!,$C82,#REF!,"&lt;&gt;Other Sector Demand")</f>
        <v>#REF!</v>
      </c>
      <c r="G82" s="106" t="e">
        <f t="shared" si="4"/>
        <v>#REF!</v>
      </c>
      <c r="H82" s="105" t="e">
        <f>SUMIFS(#REF!,#REF!,$A82,#REF!,$B82,#REF!,$C82,#REF!,"Other Sector Demand")</f>
        <v>#REF!</v>
      </c>
      <c r="I82" s="105" t="e">
        <f t="shared" si="5"/>
        <v>#REF!</v>
      </c>
      <c r="J82" s="106" t="e">
        <f t="shared" si="6"/>
        <v>#REF!</v>
      </c>
      <c r="K82" s="107" t="e">
        <f t="shared" si="7"/>
        <v>#REF!</v>
      </c>
    </row>
    <row r="83" spans="1:11" ht="15" customHeight="1" x14ac:dyDescent="0.2">
      <c r="A83" s="104" t="s">
        <v>205</v>
      </c>
      <c r="B83" s="104" t="s">
        <v>206</v>
      </c>
      <c r="C83" s="104" t="s">
        <v>66</v>
      </c>
      <c r="D83" s="104">
        <v>2030</v>
      </c>
      <c r="E83" s="105" t="e">
        <f>SUMIFS(#REF!,#REF!,$A83,#REF!,$B83,#REF!,$C83,#REF!,"Storage Demand")</f>
        <v>#REF!</v>
      </c>
      <c r="F83" s="105" t="e">
        <f>SUMIFS(#REF!,#REF!,$A83,#REF!,$B83,#REF!,$C83,#REF!,"&lt;&gt;Other Sector Demand")</f>
        <v>#REF!</v>
      </c>
      <c r="G83" s="106" t="e">
        <f t="shared" si="4"/>
        <v>#REF!</v>
      </c>
      <c r="H83" s="105" t="e">
        <f>SUMIFS(#REF!,#REF!,$A83,#REF!,$B83,#REF!,$C83,#REF!,"Other Sector Demand")</f>
        <v>#REF!</v>
      </c>
      <c r="I83" s="105" t="e">
        <f t="shared" si="5"/>
        <v>#REF!</v>
      </c>
      <c r="J83" s="106" t="e">
        <f t="shared" si="6"/>
        <v>#REF!</v>
      </c>
      <c r="K83" s="107" t="e">
        <f t="shared" si="7"/>
        <v>#REF!</v>
      </c>
    </row>
    <row r="84" spans="1:11" ht="15" customHeight="1" x14ac:dyDescent="0.2">
      <c r="A84" s="104" t="s">
        <v>205</v>
      </c>
      <c r="B84" s="104" t="s">
        <v>206</v>
      </c>
      <c r="C84" s="104" t="s">
        <v>66</v>
      </c>
      <c r="D84" s="104">
        <v>2040</v>
      </c>
      <c r="E84" s="105" t="e">
        <f>SUMIFS(#REF!,#REF!,$A84,#REF!,$B84,#REF!,$C84,#REF!,"Storage Demand")</f>
        <v>#REF!</v>
      </c>
      <c r="F84" s="105" t="e">
        <f>SUMIFS(#REF!,#REF!,$A84,#REF!,$B84,#REF!,$C84,#REF!,"&lt;&gt;Other Sector Demand")</f>
        <v>#REF!</v>
      </c>
      <c r="G84" s="106" t="e">
        <f t="shared" si="4"/>
        <v>#REF!</v>
      </c>
      <c r="H84" s="105" t="e">
        <f>SUMIFS(#REF!,#REF!,$A84,#REF!,$B84,#REF!,$C84,#REF!,"Other Sector Demand")</f>
        <v>#REF!</v>
      </c>
      <c r="I84" s="105" t="e">
        <f t="shared" si="5"/>
        <v>#REF!</v>
      </c>
      <c r="J84" s="106" t="e">
        <f t="shared" si="6"/>
        <v>#REF!</v>
      </c>
      <c r="K84" s="107" t="e">
        <f t="shared" si="7"/>
        <v>#REF!</v>
      </c>
    </row>
    <row r="85" spans="1:11" ht="15" customHeight="1" x14ac:dyDescent="0.2">
      <c r="A85" s="104" t="s">
        <v>205</v>
      </c>
      <c r="B85" s="104" t="s">
        <v>206</v>
      </c>
      <c r="C85" s="104" t="s">
        <v>66</v>
      </c>
      <c r="D85" s="104">
        <v>2050</v>
      </c>
      <c r="E85" s="105" t="e">
        <f>SUMIFS(#REF!,#REF!,$A85,#REF!,$B85,#REF!,$C85,#REF!,"Storage Demand")</f>
        <v>#REF!</v>
      </c>
      <c r="F85" s="105" t="e">
        <f>SUMIFS(#REF!,#REF!,$A85,#REF!,$B85,#REF!,$C85,#REF!,"&lt;&gt;Other Sector Demand")</f>
        <v>#REF!</v>
      </c>
      <c r="G85" s="106" t="e">
        <f t="shared" si="4"/>
        <v>#REF!</v>
      </c>
      <c r="H85" s="105" t="e">
        <f>SUMIFS(#REF!,#REF!,$A85,#REF!,$B85,#REF!,$C85,#REF!,"Other Sector Demand")</f>
        <v>#REF!</v>
      </c>
      <c r="I85" s="105" t="e">
        <f t="shared" si="5"/>
        <v>#REF!</v>
      </c>
      <c r="J85" s="106" t="e">
        <f t="shared" si="6"/>
        <v>#REF!</v>
      </c>
      <c r="K85" s="107" t="e">
        <f t="shared" si="7"/>
        <v>#REF!</v>
      </c>
    </row>
    <row r="86" spans="1:11" ht="15" customHeight="1" x14ac:dyDescent="0.2">
      <c r="A86" s="104" t="s">
        <v>205</v>
      </c>
      <c r="B86" s="104" t="s">
        <v>206</v>
      </c>
      <c r="C86" s="104" t="s">
        <v>67</v>
      </c>
      <c r="D86" s="104">
        <v>2020</v>
      </c>
      <c r="E86" s="105" t="e">
        <f>SUMIFS(#REF!,#REF!,$A86,#REF!,$B86,#REF!,$C86,#REF!,"Storage Demand")</f>
        <v>#REF!</v>
      </c>
      <c r="F86" s="105" t="e">
        <f>SUMIFS(#REF!,#REF!,$A86,#REF!,$B86,#REF!,$C86,#REF!,"&lt;&gt;Other Sector Demand")</f>
        <v>#REF!</v>
      </c>
      <c r="G86" s="106" t="e">
        <f t="shared" si="4"/>
        <v>#REF!</v>
      </c>
      <c r="H86" s="105" t="e">
        <f>SUMIFS(#REF!,#REF!,$A86,#REF!,$B86,#REF!,$C86,#REF!,"Other Sector Demand")</f>
        <v>#REF!</v>
      </c>
      <c r="I86" s="105" t="e">
        <f t="shared" si="5"/>
        <v>#REF!</v>
      </c>
      <c r="J86" s="106" t="e">
        <f t="shared" si="6"/>
        <v>#REF!</v>
      </c>
      <c r="K86" s="107" t="e">
        <f t="shared" si="7"/>
        <v>#REF!</v>
      </c>
    </row>
    <row r="87" spans="1:11" ht="15" customHeight="1" x14ac:dyDescent="0.2">
      <c r="A87" s="104" t="s">
        <v>205</v>
      </c>
      <c r="B87" s="104" t="s">
        <v>206</v>
      </c>
      <c r="C87" s="104" t="s">
        <v>67</v>
      </c>
      <c r="D87" s="104">
        <v>2030</v>
      </c>
      <c r="E87" s="105" t="e">
        <f>SUMIFS(#REF!,#REF!,$A87,#REF!,$B87,#REF!,$C87,#REF!,"Storage Demand")</f>
        <v>#REF!</v>
      </c>
      <c r="F87" s="105" t="e">
        <f>SUMIFS(#REF!,#REF!,$A87,#REF!,$B87,#REF!,$C87,#REF!,"&lt;&gt;Other Sector Demand")</f>
        <v>#REF!</v>
      </c>
      <c r="G87" s="106" t="e">
        <f t="shared" si="4"/>
        <v>#REF!</v>
      </c>
      <c r="H87" s="105" t="e">
        <f>SUMIFS(#REF!,#REF!,$A87,#REF!,$B87,#REF!,$C87,#REF!,"Other Sector Demand")</f>
        <v>#REF!</v>
      </c>
      <c r="I87" s="105" t="e">
        <f t="shared" si="5"/>
        <v>#REF!</v>
      </c>
      <c r="J87" s="106" t="e">
        <f t="shared" si="6"/>
        <v>#REF!</v>
      </c>
      <c r="K87" s="107" t="e">
        <f t="shared" si="7"/>
        <v>#REF!</v>
      </c>
    </row>
    <row r="88" spans="1:11" ht="15" customHeight="1" x14ac:dyDescent="0.2">
      <c r="A88" s="104" t="s">
        <v>205</v>
      </c>
      <c r="B88" s="104" t="s">
        <v>206</v>
      </c>
      <c r="C88" s="104" t="s">
        <v>67</v>
      </c>
      <c r="D88" s="104">
        <v>2040</v>
      </c>
      <c r="E88" s="105" t="e">
        <f>SUMIFS(#REF!,#REF!,$A88,#REF!,$B88,#REF!,$C88,#REF!,"Storage Demand")</f>
        <v>#REF!</v>
      </c>
      <c r="F88" s="105" t="e">
        <f>SUMIFS(#REF!,#REF!,$A88,#REF!,$B88,#REF!,$C88,#REF!,"&lt;&gt;Other Sector Demand")</f>
        <v>#REF!</v>
      </c>
      <c r="G88" s="106" t="e">
        <f t="shared" si="4"/>
        <v>#REF!</v>
      </c>
      <c r="H88" s="105" t="e">
        <f>SUMIFS(#REF!,#REF!,$A88,#REF!,$B88,#REF!,$C88,#REF!,"Other Sector Demand")</f>
        <v>#REF!</v>
      </c>
      <c r="I88" s="105" t="e">
        <f t="shared" si="5"/>
        <v>#REF!</v>
      </c>
      <c r="J88" s="106" t="e">
        <f t="shared" si="6"/>
        <v>#REF!</v>
      </c>
      <c r="K88" s="107" t="e">
        <f t="shared" si="7"/>
        <v>#REF!</v>
      </c>
    </row>
    <row r="89" spans="1:11" ht="15" customHeight="1" x14ac:dyDescent="0.2">
      <c r="A89" s="104" t="s">
        <v>205</v>
      </c>
      <c r="B89" s="104" t="s">
        <v>206</v>
      </c>
      <c r="C89" s="104" t="s">
        <v>67</v>
      </c>
      <c r="D89" s="104">
        <v>2050</v>
      </c>
      <c r="E89" s="105" t="e">
        <f>SUMIFS(#REF!,#REF!,$A89,#REF!,$B89,#REF!,$C89,#REF!,"Storage Demand")</f>
        <v>#REF!</v>
      </c>
      <c r="F89" s="105" t="e">
        <f>SUMIFS(#REF!,#REF!,$A89,#REF!,$B89,#REF!,$C89,#REF!,"&lt;&gt;Other Sector Demand")</f>
        <v>#REF!</v>
      </c>
      <c r="G89" s="106" t="e">
        <f t="shared" si="4"/>
        <v>#REF!</v>
      </c>
      <c r="H89" s="105" t="e">
        <f>SUMIFS(#REF!,#REF!,$A89,#REF!,$B89,#REF!,$C89,#REF!,"Other Sector Demand")</f>
        <v>#REF!</v>
      </c>
      <c r="I89" s="105" t="e">
        <f t="shared" si="5"/>
        <v>#REF!</v>
      </c>
      <c r="J89" s="106" t="e">
        <f t="shared" si="6"/>
        <v>#REF!</v>
      </c>
      <c r="K89" s="107" t="e">
        <f t="shared" si="7"/>
        <v>#REF!</v>
      </c>
    </row>
    <row r="90" spans="1:11" ht="15" customHeight="1" x14ac:dyDescent="0.2">
      <c r="A90" s="104" t="s">
        <v>205</v>
      </c>
      <c r="B90" s="104" t="s">
        <v>206</v>
      </c>
      <c r="C90" s="104" t="s">
        <v>68</v>
      </c>
      <c r="D90" s="104">
        <v>2020</v>
      </c>
      <c r="E90" s="105" t="e">
        <f>SUMIFS(#REF!,#REF!,$A90,#REF!,$B90,#REF!,$C90,#REF!,"Storage Demand")</f>
        <v>#REF!</v>
      </c>
      <c r="F90" s="105" t="e">
        <f>SUMIFS(#REF!,#REF!,$A90,#REF!,$B90,#REF!,$C90,#REF!,"&lt;&gt;Other Sector Demand")</f>
        <v>#REF!</v>
      </c>
      <c r="G90" s="106" t="e">
        <f t="shared" si="4"/>
        <v>#REF!</v>
      </c>
      <c r="H90" s="105" t="e">
        <f>SUMIFS(#REF!,#REF!,$A90,#REF!,$B90,#REF!,$C90,#REF!,"Other Sector Demand")</f>
        <v>#REF!</v>
      </c>
      <c r="I90" s="105" t="e">
        <f t="shared" si="5"/>
        <v>#REF!</v>
      </c>
      <c r="J90" s="106" t="e">
        <f t="shared" si="6"/>
        <v>#REF!</v>
      </c>
      <c r="K90" s="107" t="e">
        <f t="shared" si="7"/>
        <v>#REF!</v>
      </c>
    </row>
    <row r="91" spans="1:11" ht="15" customHeight="1" x14ac:dyDescent="0.2">
      <c r="A91" s="104" t="s">
        <v>205</v>
      </c>
      <c r="B91" s="104" t="s">
        <v>206</v>
      </c>
      <c r="C91" s="104" t="s">
        <v>68</v>
      </c>
      <c r="D91" s="104">
        <v>2030</v>
      </c>
      <c r="E91" s="105" t="e">
        <f>SUMIFS(#REF!,#REF!,$A91,#REF!,$B91,#REF!,$C91,#REF!,"Storage Demand")</f>
        <v>#REF!</v>
      </c>
      <c r="F91" s="105" t="e">
        <f>SUMIFS(#REF!,#REF!,$A91,#REF!,$B91,#REF!,$C91,#REF!,"&lt;&gt;Other Sector Demand")</f>
        <v>#REF!</v>
      </c>
      <c r="G91" s="106" t="e">
        <f t="shared" si="4"/>
        <v>#REF!</v>
      </c>
      <c r="H91" s="105" t="e">
        <f>SUMIFS(#REF!,#REF!,$A91,#REF!,$B91,#REF!,$C91,#REF!,"Other Sector Demand")</f>
        <v>#REF!</v>
      </c>
      <c r="I91" s="105" t="e">
        <f t="shared" si="5"/>
        <v>#REF!</v>
      </c>
      <c r="J91" s="106" t="e">
        <f t="shared" si="6"/>
        <v>#REF!</v>
      </c>
      <c r="K91" s="107" t="e">
        <f t="shared" si="7"/>
        <v>#REF!</v>
      </c>
    </row>
    <row r="92" spans="1:11" ht="15" customHeight="1" x14ac:dyDescent="0.2">
      <c r="A92" s="104" t="s">
        <v>205</v>
      </c>
      <c r="B92" s="104" t="s">
        <v>206</v>
      </c>
      <c r="C92" s="104" t="s">
        <v>68</v>
      </c>
      <c r="D92" s="104">
        <v>2040</v>
      </c>
      <c r="E92" s="105" t="e">
        <f>SUMIFS(#REF!,#REF!,$A92,#REF!,$B92,#REF!,$C92,#REF!,"Storage Demand")</f>
        <v>#REF!</v>
      </c>
      <c r="F92" s="105" t="e">
        <f>SUMIFS(#REF!,#REF!,$A92,#REF!,$B92,#REF!,$C92,#REF!,"&lt;&gt;Other Sector Demand")</f>
        <v>#REF!</v>
      </c>
      <c r="G92" s="106" t="e">
        <f t="shared" si="4"/>
        <v>#REF!</v>
      </c>
      <c r="H92" s="105" t="e">
        <f>SUMIFS(#REF!,#REF!,$A92,#REF!,$B92,#REF!,$C92,#REF!,"Other Sector Demand")</f>
        <v>#REF!</v>
      </c>
      <c r="I92" s="105" t="e">
        <f t="shared" si="5"/>
        <v>#REF!</v>
      </c>
      <c r="J92" s="106" t="e">
        <f t="shared" si="6"/>
        <v>#REF!</v>
      </c>
      <c r="K92" s="107" t="e">
        <f t="shared" si="7"/>
        <v>#REF!</v>
      </c>
    </row>
    <row r="93" spans="1:11" ht="15" customHeight="1" x14ac:dyDescent="0.2">
      <c r="A93" s="104" t="s">
        <v>205</v>
      </c>
      <c r="B93" s="104" t="s">
        <v>206</v>
      </c>
      <c r="C93" s="104" t="s">
        <v>68</v>
      </c>
      <c r="D93" s="104">
        <v>2050</v>
      </c>
      <c r="E93" s="105" t="e">
        <f>SUMIFS(#REF!,#REF!,$A93,#REF!,$B93,#REF!,$C93,#REF!,"Storage Demand")</f>
        <v>#REF!</v>
      </c>
      <c r="F93" s="105" t="e">
        <f>SUMIFS(#REF!,#REF!,$A93,#REF!,$B93,#REF!,$C93,#REF!,"&lt;&gt;Other Sector Demand")</f>
        <v>#REF!</v>
      </c>
      <c r="G93" s="106" t="e">
        <f t="shared" si="4"/>
        <v>#REF!</v>
      </c>
      <c r="H93" s="105" t="e">
        <f>SUMIFS(#REF!,#REF!,$A93,#REF!,$B93,#REF!,$C93,#REF!,"Other Sector Demand")</f>
        <v>#REF!</v>
      </c>
      <c r="I93" s="105" t="e">
        <f t="shared" si="5"/>
        <v>#REF!</v>
      </c>
      <c r="J93" s="106" t="e">
        <f t="shared" si="6"/>
        <v>#REF!</v>
      </c>
      <c r="K93" s="107" t="e">
        <f t="shared" si="7"/>
        <v>#REF!</v>
      </c>
    </row>
    <row r="94" spans="1:11" ht="15" customHeight="1" x14ac:dyDescent="0.2">
      <c r="A94" s="104" t="s">
        <v>205</v>
      </c>
      <c r="B94" s="104" t="s">
        <v>206</v>
      </c>
      <c r="C94" s="104" t="s">
        <v>69</v>
      </c>
      <c r="D94" s="104">
        <v>2020</v>
      </c>
      <c r="E94" s="105" t="e">
        <f>SUMIFS(#REF!,#REF!,$A94,#REF!,$B94,#REF!,$C94,#REF!,"Storage Demand")</f>
        <v>#REF!</v>
      </c>
      <c r="F94" s="105" t="e">
        <f>SUMIFS(#REF!,#REF!,$A94,#REF!,$B94,#REF!,$C94,#REF!,"&lt;&gt;Other Sector Demand")</f>
        <v>#REF!</v>
      </c>
      <c r="G94" s="106" t="e">
        <f t="shared" si="4"/>
        <v>#REF!</v>
      </c>
      <c r="H94" s="105" t="e">
        <f>SUMIFS(#REF!,#REF!,$A94,#REF!,$B94,#REF!,$C94,#REF!,"Other Sector Demand")</f>
        <v>#REF!</v>
      </c>
      <c r="I94" s="105" t="e">
        <f t="shared" si="5"/>
        <v>#REF!</v>
      </c>
      <c r="J94" s="106" t="e">
        <f t="shared" si="6"/>
        <v>#REF!</v>
      </c>
      <c r="K94" s="107" t="e">
        <f t="shared" si="7"/>
        <v>#REF!</v>
      </c>
    </row>
    <row r="95" spans="1:11" ht="15" customHeight="1" x14ac:dyDescent="0.2">
      <c r="A95" s="104" t="s">
        <v>205</v>
      </c>
      <c r="B95" s="104" t="s">
        <v>206</v>
      </c>
      <c r="C95" s="104" t="s">
        <v>69</v>
      </c>
      <c r="D95" s="104">
        <v>2030</v>
      </c>
      <c r="E95" s="105" t="e">
        <f>SUMIFS(#REF!,#REF!,$A95,#REF!,$B95,#REF!,$C95,#REF!,"Storage Demand")</f>
        <v>#REF!</v>
      </c>
      <c r="F95" s="105" t="e">
        <f>SUMIFS(#REF!,#REF!,$A95,#REF!,$B95,#REF!,$C95,#REF!,"&lt;&gt;Other Sector Demand")</f>
        <v>#REF!</v>
      </c>
      <c r="G95" s="106" t="e">
        <f t="shared" si="4"/>
        <v>#REF!</v>
      </c>
      <c r="H95" s="105" t="e">
        <f>SUMIFS(#REF!,#REF!,$A95,#REF!,$B95,#REF!,$C95,#REF!,"Other Sector Demand")</f>
        <v>#REF!</v>
      </c>
      <c r="I95" s="105" t="e">
        <f t="shared" si="5"/>
        <v>#REF!</v>
      </c>
      <c r="J95" s="106" t="e">
        <f t="shared" si="6"/>
        <v>#REF!</v>
      </c>
      <c r="K95" s="107" t="e">
        <f t="shared" si="7"/>
        <v>#REF!</v>
      </c>
    </row>
    <row r="96" spans="1:11" ht="15" customHeight="1" x14ac:dyDescent="0.2">
      <c r="A96" s="104" t="s">
        <v>205</v>
      </c>
      <c r="B96" s="104" t="s">
        <v>206</v>
      </c>
      <c r="C96" s="104" t="s">
        <v>69</v>
      </c>
      <c r="D96" s="104">
        <v>2040</v>
      </c>
      <c r="E96" s="105" t="e">
        <f>SUMIFS(#REF!,#REF!,$A96,#REF!,$B96,#REF!,$C96,#REF!,"Storage Demand")</f>
        <v>#REF!</v>
      </c>
      <c r="F96" s="105" t="e">
        <f>SUMIFS(#REF!,#REF!,$A96,#REF!,$B96,#REF!,$C96,#REF!,"&lt;&gt;Other Sector Demand")</f>
        <v>#REF!</v>
      </c>
      <c r="G96" s="106" t="e">
        <f t="shared" si="4"/>
        <v>#REF!</v>
      </c>
      <c r="H96" s="105" t="e">
        <f>SUMIFS(#REF!,#REF!,$A96,#REF!,$B96,#REF!,$C96,#REF!,"Other Sector Demand")</f>
        <v>#REF!</v>
      </c>
      <c r="I96" s="105" t="e">
        <f t="shared" si="5"/>
        <v>#REF!</v>
      </c>
      <c r="J96" s="106" t="e">
        <f t="shared" si="6"/>
        <v>#REF!</v>
      </c>
      <c r="K96" s="107" t="e">
        <f t="shared" si="7"/>
        <v>#REF!</v>
      </c>
    </row>
    <row r="97" spans="1:11" ht="15" customHeight="1" x14ac:dyDescent="0.2">
      <c r="A97" s="104" t="s">
        <v>205</v>
      </c>
      <c r="B97" s="104" t="s">
        <v>206</v>
      </c>
      <c r="C97" s="104" t="s">
        <v>69</v>
      </c>
      <c r="D97" s="104">
        <v>2050</v>
      </c>
      <c r="E97" s="105" t="e">
        <f>SUMIFS(#REF!,#REF!,$A97,#REF!,$B97,#REF!,$C97,#REF!,"Storage Demand")</f>
        <v>#REF!</v>
      </c>
      <c r="F97" s="105" t="e">
        <f>SUMIFS(#REF!,#REF!,$A97,#REF!,$B97,#REF!,$C97,#REF!,"&lt;&gt;Other Sector Demand")</f>
        <v>#REF!</v>
      </c>
      <c r="G97" s="106" t="e">
        <f t="shared" si="4"/>
        <v>#REF!</v>
      </c>
      <c r="H97" s="105" t="e">
        <f>SUMIFS(#REF!,#REF!,$A97,#REF!,$B97,#REF!,$C97,#REF!,"Other Sector Demand")</f>
        <v>#REF!</v>
      </c>
      <c r="I97" s="105" t="e">
        <f t="shared" si="5"/>
        <v>#REF!</v>
      </c>
      <c r="J97" s="106" t="e">
        <f t="shared" si="6"/>
        <v>#REF!</v>
      </c>
      <c r="K97" s="107" t="e">
        <f t="shared" si="7"/>
        <v>#REF!</v>
      </c>
    </row>
    <row r="98" spans="1:11" ht="15" customHeight="1" x14ac:dyDescent="0.2">
      <c r="A98" s="104" t="s">
        <v>205</v>
      </c>
      <c r="B98" s="104" t="s">
        <v>206</v>
      </c>
      <c r="C98" s="104" t="s">
        <v>70</v>
      </c>
      <c r="D98" s="104">
        <v>2020</v>
      </c>
      <c r="E98" s="105" t="e">
        <f>SUMIFS(#REF!,#REF!,$A98,#REF!,$B98,#REF!,$C98,#REF!,"Storage Demand")</f>
        <v>#REF!</v>
      </c>
      <c r="F98" s="105" t="e">
        <f>SUMIFS(#REF!,#REF!,$A98,#REF!,$B98,#REF!,$C98,#REF!,"&lt;&gt;Other Sector Demand")</f>
        <v>#REF!</v>
      </c>
      <c r="G98" s="106" t="e">
        <f t="shared" si="4"/>
        <v>#REF!</v>
      </c>
      <c r="H98" s="105" t="e">
        <f>SUMIFS(#REF!,#REF!,$A98,#REF!,$B98,#REF!,$C98,#REF!,"Other Sector Demand")</f>
        <v>#REF!</v>
      </c>
      <c r="I98" s="105" t="e">
        <f t="shared" si="5"/>
        <v>#REF!</v>
      </c>
      <c r="J98" s="106" t="e">
        <f t="shared" si="6"/>
        <v>#REF!</v>
      </c>
      <c r="K98" s="107" t="e">
        <f t="shared" si="7"/>
        <v>#REF!</v>
      </c>
    </row>
    <row r="99" spans="1:11" ht="15" customHeight="1" x14ac:dyDescent="0.2">
      <c r="A99" s="104" t="s">
        <v>205</v>
      </c>
      <c r="B99" s="104" t="s">
        <v>206</v>
      </c>
      <c r="C99" s="104" t="s">
        <v>70</v>
      </c>
      <c r="D99" s="104">
        <v>2030</v>
      </c>
      <c r="E99" s="105" t="e">
        <f>SUMIFS(#REF!,#REF!,$A99,#REF!,$B99,#REF!,$C99,#REF!,"Storage Demand")</f>
        <v>#REF!</v>
      </c>
      <c r="F99" s="105" t="e">
        <f>SUMIFS(#REF!,#REF!,$A99,#REF!,$B99,#REF!,$C99,#REF!,"&lt;&gt;Other Sector Demand")</f>
        <v>#REF!</v>
      </c>
      <c r="G99" s="106" t="e">
        <f t="shared" si="4"/>
        <v>#REF!</v>
      </c>
      <c r="H99" s="105" t="e">
        <f>SUMIFS(#REF!,#REF!,$A99,#REF!,$B99,#REF!,$C99,#REF!,"Other Sector Demand")</f>
        <v>#REF!</v>
      </c>
      <c r="I99" s="105" t="e">
        <f t="shared" si="5"/>
        <v>#REF!</v>
      </c>
      <c r="J99" s="106" t="e">
        <f t="shared" si="6"/>
        <v>#REF!</v>
      </c>
      <c r="K99" s="107" t="e">
        <f t="shared" si="7"/>
        <v>#REF!</v>
      </c>
    </row>
    <row r="100" spans="1:11" ht="15" customHeight="1" x14ac:dyDescent="0.2">
      <c r="A100" s="104" t="s">
        <v>205</v>
      </c>
      <c r="B100" s="104" t="s">
        <v>206</v>
      </c>
      <c r="C100" s="104" t="s">
        <v>70</v>
      </c>
      <c r="D100" s="104">
        <v>2040</v>
      </c>
      <c r="E100" s="105" t="e">
        <f>SUMIFS(#REF!,#REF!,$A100,#REF!,$B100,#REF!,$C100,#REF!,"Storage Demand")</f>
        <v>#REF!</v>
      </c>
      <c r="F100" s="105" t="e">
        <f>SUMIFS(#REF!,#REF!,$A100,#REF!,$B100,#REF!,$C100,#REF!,"&lt;&gt;Other Sector Demand")</f>
        <v>#REF!</v>
      </c>
      <c r="G100" s="106" t="e">
        <f t="shared" si="4"/>
        <v>#REF!</v>
      </c>
      <c r="H100" s="105" t="e">
        <f>SUMIFS(#REF!,#REF!,$A100,#REF!,$B100,#REF!,$C100,#REF!,"Other Sector Demand")</f>
        <v>#REF!</v>
      </c>
      <c r="I100" s="105" t="e">
        <f t="shared" si="5"/>
        <v>#REF!</v>
      </c>
      <c r="J100" s="106" t="e">
        <f t="shared" si="6"/>
        <v>#REF!</v>
      </c>
      <c r="K100" s="107" t="e">
        <f t="shared" si="7"/>
        <v>#REF!</v>
      </c>
    </row>
    <row r="101" spans="1:11" ht="15" customHeight="1" x14ac:dyDescent="0.2">
      <c r="A101" s="104" t="s">
        <v>205</v>
      </c>
      <c r="B101" s="104" t="s">
        <v>206</v>
      </c>
      <c r="C101" s="104" t="s">
        <v>70</v>
      </c>
      <c r="D101" s="104">
        <v>2050</v>
      </c>
      <c r="E101" s="105" t="e">
        <f>SUMIFS(#REF!,#REF!,$A101,#REF!,$B101,#REF!,$C101,#REF!,"Storage Demand")</f>
        <v>#REF!</v>
      </c>
      <c r="F101" s="105" t="e">
        <f>SUMIFS(#REF!,#REF!,$A101,#REF!,$B101,#REF!,$C101,#REF!,"&lt;&gt;Other Sector Demand")</f>
        <v>#REF!</v>
      </c>
      <c r="G101" s="106" t="e">
        <f t="shared" si="4"/>
        <v>#REF!</v>
      </c>
      <c r="H101" s="105" t="e">
        <f>SUMIFS(#REF!,#REF!,$A101,#REF!,$B101,#REF!,$C101,#REF!,"Other Sector Demand")</f>
        <v>#REF!</v>
      </c>
      <c r="I101" s="105" t="e">
        <f t="shared" si="5"/>
        <v>#REF!</v>
      </c>
      <c r="J101" s="106" t="e">
        <f t="shared" si="6"/>
        <v>#REF!</v>
      </c>
      <c r="K101" s="107" t="e">
        <f t="shared" si="7"/>
        <v>#REF!</v>
      </c>
    </row>
    <row r="102" spans="1:11" ht="15" customHeight="1" x14ac:dyDescent="0.2">
      <c r="A102" s="104" t="s">
        <v>205</v>
      </c>
      <c r="B102" s="104" t="s">
        <v>206</v>
      </c>
      <c r="C102" s="104" t="s">
        <v>71</v>
      </c>
      <c r="D102" s="104">
        <v>2020</v>
      </c>
      <c r="E102" s="105" t="e">
        <f>SUMIFS(#REF!,#REF!,$A102,#REF!,$B102,#REF!,$C102,#REF!,"Storage Demand")</f>
        <v>#REF!</v>
      </c>
      <c r="F102" s="105" t="e">
        <f>SUMIFS(#REF!,#REF!,$A102,#REF!,$B102,#REF!,$C102,#REF!,"&lt;&gt;Other Sector Demand")</f>
        <v>#REF!</v>
      </c>
      <c r="G102" s="106" t="e">
        <f t="shared" si="4"/>
        <v>#REF!</v>
      </c>
      <c r="H102" s="105" t="e">
        <f>SUMIFS(#REF!,#REF!,$A102,#REF!,$B102,#REF!,$C102,#REF!,"Other Sector Demand")</f>
        <v>#REF!</v>
      </c>
      <c r="I102" s="105" t="e">
        <f t="shared" si="5"/>
        <v>#REF!</v>
      </c>
      <c r="J102" s="106" t="e">
        <f t="shared" si="6"/>
        <v>#REF!</v>
      </c>
      <c r="K102" s="107" t="e">
        <f t="shared" si="7"/>
        <v>#REF!</v>
      </c>
    </row>
    <row r="103" spans="1:11" ht="15" customHeight="1" x14ac:dyDescent="0.2">
      <c r="A103" s="104" t="s">
        <v>205</v>
      </c>
      <c r="B103" s="104" t="s">
        <v>206</v>
      </c>
      <c r="C103" s="104" t="s">
        <v>71</v>
      </c>
      <c r="D103" s="104">
        <v>2030</v>
      </c>
      <c r="E103" s="105" t="e">
        <f>SUMIFS(#REF!,#REF!,$A103,#REF!,$B103,#REF!,$C103,#REF!,"Storage Demand")</f>
        <v>#REF!</v>
      </c>
      <c r="F103" s="105" t="e">
        <f>SUMIFS(#REF!,#REF!,$A103,#REF!,$B103,#REF!,$C103,#REF!,"&lt;&gt;Other Sector Demand")</f>
        <v>#REF!</v>
      </c>
      <c r="G103" s="106" t="e">
        <f t="shared" si="4"/>
        <v>#REF!</v>
      </c>
      <c r="H103" s="105" t="e">
        <f>SUMIFS(#REF!,#REF!,$A103,#REF!,$B103,#REF!,$C103,#REF!,"Other Sector Demand")</f>
        <v>#REF!</v>
      </c>
      <c r="I103" s="105" t="e">
        <f t="shared" si="5"/>
        <v>#REF!</v>
      </c>
      <c r="J103" s="106" t="e">
        <f t="shared" si="6"/>
        <v>#REF!</v>
      </c>
      <c r="K103" s="107" t="e">
        <f t="shared" si="7"/>
        <v>#REF!</v>
      </c>
    </row>
    <row r="104" spans="1:11" ht="15" customHeight="1" x14ac:dyDescent="0.2">
      <c r="A104" s="104" t="s">
        <v>205</v>
      </c>
      <c r="B104" s="104" t="s">
        <v>206</v>
      </c>
      <c r="C104" s="104" t="s">
        <v>71</v>
      </c>
      <c r="D104" s="104">
        <v>2040</v>
      </c>
      <c r="E104" s="105" t="e">
        <f>SUMIFS(#REF!,#REF!,$A104,#REF!,$B104,#REF!,$C104,#REF!,"Storage Demand")</f>
        <v>#REF!</v>
      </c>
      <c r="F104" s="105" t="e">
        <f>SUMIFS(#REF!,#REF!,$A104,#REF!,$B104,#REF!,$C104,#REF!,"&lt;&gt;Other Sector Demand")</f>
        <v>#REF!</v>
      </c>
      <c r="G104" s="106" t="e">
        <f t="shared" si="4"/>
        <v>#REF!</v>
      </c>
      <c r="H104" s="105" t="e">
        <f>SUMIFS(#REF!,#REF!,$A104,#REF!,$B104,#REF!,$C104,#REF!,"Other Sector Demand")</f>
        <v>#REF!</v>
      </c>
      <c r="I104" s="105" t="e">
        <f t="shared" si="5"/>
        <v>#REF!</v>
      </c>
      <c r="J104" s="106" t="e">
        <f t="shared" si="6"/>
        <v>#REF!</v>
      </c>
      <c r="K104" s="107" t="e">
        <f t="shared" si="7"/>
        <v>#REF!</v>
      </c>
    </row>
    <row r="105" spans="1:11" ht="15" customHeight="1" x14ac:dyDescent="0.2">
      <c r="A105" s="104" t="s">
        <v>205</v>
      </c>
      <c r="B105" s="104" t="s">
        <v>206</v>
      </c>
      <c r="C105" s="104" t="s">
        <v>71</v>
      </c>
      <c r="D105" s="104">
        <v>2050</v>
      </c>
      <c r="E105" s="105" t="e">
        <f>SUMIFS(#REF!,#REF!,$A105,#REF!,$B105,#REF!,$C105,#REF!,"Storage Demand")</f>
        <v>#REF!</v>
      </c>
      <c r="F105" s="105" t="e">
        <f>SUMIFS(#REF!,#REF!,$A105,#REF!,$B105,#REF!,$C105,#REF!,"&lt;&gt;Other Sector Demand")</f>
        <v>#REF!</v>
      </c>
      <c r="G105" s="106" t="e">
        <f t="shared" si="4"/>
        <v>#REF!</v>
      </c>
      <c r="H105" s="105" t="e">
        <f>SUMIFS(#REF!,#REF!,$A105,#REF!,$B105,#REF!,$C105,#REF!,"Other Sector Demand")</f>
        <v>#REF!</v>
      </c>
      <c r="I105" s="105" t="e">
        <f t="shared" si="5"/>
        <v>#REF!</v>
      </c>
      <c r="J105" s="106" t="e">
        <f t="shared" si="6"/>
        <v>#REF!</v>
      </c>
      <c r="K105" s="107" t="e">
        <f t="shared" si="7"/>
        <v>#REF!</v>
      </c>
    </row>
    <row r="106" spans="1:11" ht="15" customHeight="1" x14ac:dyDescent="0.2">
      <c r="A106" s="104" t="s">
        <v>205</v>
      </c>
      <c r="B106" s="104" t="s">
        <v>206</v>
      </c>
      <c r="C106" s="104" t="s">
        <v>73</v>
      </c>
      <c r="D106" s="104">
        <v>2020</v>
      </c>
      <c r="E106" s="105" t="e">
        <f>SUMIFS(#REF!,#REF!,$A106,#REF!,$B106,#REF!,$C106,#REF!,"Storage Demand")</f>
        <v>#REF!</v>
      </c>
      <c r="F106" s="105" t="e">
        <f>SUMIFS(#REF!,#REF!,$A106,#REF!,$B106,#REF!,$C106,#REF!,"&lt;&gt;Other Sector Demand")</f>
        <v>#REF!</v>
      </c>
      <c r="G106" s="106" t="e">
        <f t="shared" si="4"/>
        <v>#REF!</v>
      </c>
      <c r="H106" s="105" t="e">
        <f>SUMIFS(#REF!,#REF!,$A106,#REF!,$B106,#REF!,$C106,#REF!,"Other Sector Demand")</f>
        <v>#REF!</v>
      </c>
      <c r="I106" s="105" t="e">
        <f t="shared" si="5"/>
        <v>#REF!</v>
      </c>
      <c r="J106" s="106" t="e">
        <f t="shared" si="6"/>
        <v>#REF!</v>
      </c>
      <c r="K106" s="107" t="e">
        <f t="shared" si="7"/>
        <v>#REF!</v>
      </c>
    </row>
    <row r="107" spans="1:11" ht="15" customHeight="1" x14ac:dyDescent="0.2">
      <c r="A107" s="104" t="s">
        <v>205</v>
      </c>
      <c r="B107" s="104" t="s">
        <v>206</v>
      </c>
      <c r="C107" s="104" t="s">
        <v>73</v>
      </c>
      <c r="D107" s="104">
        <v>2030</v>
      </c>
      <c r="E107" s="105" t="e">
        <f>SUMIFS(#REF!,#REF!,$A107,#REF!,$B107,#REF!,$C107,#REF!,"Storage Demand")</f>
        <v>#REF!</v>
      </c>
      <c r="F107" s="105" t="e">
        <f>SUMIFS(#REF!,#REF!,$A107,#REF!,$B107,#REF!,$C107,#REF!,"&lt;&gt;Other Sector Demand")</f>
        <v>#REF!</v>
      </c>
      <c r="G107" s="106" t="e">
        <f t="shared" si="4"/>
        <v>#REF!</v>
      </c>
      <c r="H107" s="105" t="e">
        <f>SUMIFS(#REF!,#REF!,$A107,#REF!,$B107,#REF!,$C107,#REF!,"Other Sector Demand")</f>
        <v>#REF!</v>
      </c>
      <c r="I107" s="105" t="e">
        <f t="shared" si="5"/>
        <v>#REF!</v>
      </c>
      <c r="J107" s="106" t="e">
        <f t="shared" si="6"/>
        <v>#REF!</v>
      </c>
      <c r="K107" s="107" t="e">
        <f t="shared" si="7"/>
        <v>#REF!</v>
      </c>
    </row>
    <row r="108" spans="1:11" ht="15" customHeight="1" x14ac:dyDescent="0.2">
      <c r="A108" s="104" t="s">
        <v>205</v>
      </c>
      <c r="B108" s="104" t="s">
        <v>206</v>
      </c>
      <c r="C108" s="104" t="s">
        <v>73</v>
      </c>
      <c r="D108" s="104">
        <v>2040</v>
      </c>
      <c r="E108" s="105" t="e">
        <f>SUMIFS(#REF!,#REF!,$A108,#REF!,$B108,#REF!,$C108,#REF!,"Storage Demand")</f>
        <v>#REF!</v>
      </c>
      <c r="F108" s="105" t="e">
        <f>SUMIFS(#REF!,#REF!,$A108,#REF!,$B108,#REF!,$C108,#REF!,"&lt;&gt;Other Sector Demand")</f>
        <v>#REF!</v>
      </c>
      <c r="G108" s="106" t="e">
        <f t="shared" si="4"/>
        <v>#REF!</v>
      </c>
      <c r="H108" s="105" t="e">
        <f>SUMIFS(#REF!,#REF!,$A108,#REF!,$B108,#REF!,$C108,#REF!,"Other Sector Demand")</f>
        <v>#REF!</v>
      </c>
      <c r="I108" s="105" t="e">
        <f t="shared" si="5"/>
        <v>#REF!</v>
      </c>
      <c r="J108" s="106" t="e">
        <f t="shared" si="6"/>
        <v>#REF!</v>
      </c>
      <c r="K108" s="107" t="e">
        <f t="shared" si="7"/>
        <v>#REF!</v>
      </c>
    </row>
    <row r="109" spans="1:11" ht="15" customHeight="1" x14ac:dyDescent="0.2">
      <c r="A109" s="104" t="s">
        <v>205</v>
      </c>
      <c r="B109" s="104" t="s">
        <v>206</v>
      </c>
      <c r="C109" s="104" t="s">
        <v>73</v>
      </c>
      <c r="D109" s="104">
        <v>2050</v>
      </c>
      <c r="E109" s="105" t="e">
        <f>SUMIFS(#REF!,#REF!,$A109,#REF!,$B109,#REF!,$C109,#REF!,"Storage Demand")</f>
        <v>#REF!</v>
      </c>
      <c r="F109" s="105" t="e">
        <f>SUMIFS(#REF!,#REF!,$A109,#REF!,$B109,#REF!,$C109,#REF!,"&lt;&gt;Other Sector Demand")</f>
        <v>#REF!</v>
      </c>
      <c r="G109" s="106" t="e">
        <f t="shared" si="4"/>
        <v>#REF!</v>
      </c>
      <c r="H109" s="105" t="e">
        <f>SUMIFS(#REF!,#REF!,$A109,#REF!,$B109,#REF!,$C109,#REF!,"Other Sector Demand")</f>
        <v>#REF!</v>
      </c>
      <c r="I109" s="105" t="e">
        <f t="shared" si="5"/>
        <v>#REF!</v>
      </c>
      <c r="J109" s="106" t="e">
        <f t="shared" si="6"/>
        <v>#REF!</v>
      </c>
      <c r="K109" s="107" t="e">
        <f t="shared" si="7"/>
        <v>#REF!</v>
      </c>
    </row>
    <row r="110" spans="1:11" ht="15" customHeight="1" x14ac:dyDescent="0.2">
      <c r="A110" s="104" t="s">
        <v>205</v>
      </c>
      <c r="B110" s="104" t="s">
        <v>206</v>
      </c>
      <c r="C110" s="104" t="s">
        <v>74</v>
      </c>
      <c r="D110" s="104">
        <v>2020</v>
      </c>
      <c r="E110" s="105" t="e">
        <f>SUMIFS(#REF!,#REF!,$A110,#REF!,$B110,#REF!,$C110,#REF!,"Storage Demand")</f>
        <v>#REF!</v>
      </c>
      <c r="F110" s="105" t="e">
        <f>SUMIFS(#REF!,#REF!,$A110,#REF!,$B110,#REF!,$C110,#REF!,"&lt;&gt;Other Sector Demand")</f>
        <v>#REF!</v>
      </c>
      <c r="G110" s="106" t="e">
        <f t="shared" si="4"/>
        <v>#REF!</v>
      </c>
      <c r="H110" s="105" t="e">
        <f>SUMIFS(#REF!,#REF!,$A110,#REF!,$B110,#REF!,$C110,#REF!,"Other Sector Demand")</f>
        <v>#REF!</v>
      </c>
      <c r="I110" s="105" t="e">
        <f t="shared" si="5"/>
        <v>#REF!</v>
      </c>
      <c r="J110" s="106" t="e">
        <f t="shared" si="6"/>
        <v>#REF!</v>
      </c>
      <c r="K110" s="107" t="e">
        <f t="shared" si="7"/>
        <v>#REF!</v>
      </c>
    </row>
    <row r="111" spans="1:11" ht="15" customHeight="1" x14ac:dyDescent="0.2">
      <c r="A111" s="104" t="s">
        <v>205</v>
      </c>
      <c r="B111" s="104" t="s">
        <v>206</v>
      </c>
      <c r="C111" s="104" t="s">
        <v>74</v>
      </c>
      <c r="D111" s="104">
        <v>2030</v>
      </c>
      <c r="E111" s="105" t="e">
        <f>SUMIFS(#REF!,#REF!,$A111,#REF!,$B111,#REF!,$C111,#REF!,"Storage Demand")</f>
        <v>#REF!</v>
      </c>
      <c r="F111" s="105" t="e">
        <f>SUMIFS(#REF!,#REF!,$A111,#REF!,$B111,#REF!,$C111,#REF!,"&lt;&gt;Other Sector Demand")</f>
        <v>#REF!</v>
      </c>
      <c r="G111" s="106" t="e">
        <f t="shared" si="4"/>
        <v>#REF!</v>
      </c>
      <c r="H111" s="105" t="e">
        <f>SUMIFS(#REF!,#REF!,$A111,#REF!,$B111,#REF!,$C111,#REF!,"Other Sector Demand")</f>
        <v>#REF!</v>
      </c>
      <c r="I111" s="105" t="e">
        <f t="shared" si="5"/>
        <v>#REF!</v>
      </c>
      <c r="J111" s="106" t="e">
        <f t="shared" si="6"/>
        <v>#REF!</v>
      </c>
      <c r="K111" s="107" t="e">
        <f t="shared" si="7"/>
        <v>#REF!</v>
      </c>
    </row>
    <row r="112" spans="1:11" ht="15" customHeight="1" x14ac:dyDescent="0.2">
      <c r="A112" s="104" t="s">
        <v>205</v>
      </c>
      <c r="B112" s="104" t="s">
        <v>206</v>
      </c>
      <c r="C112" s="104" t="s">
        <v>74</v>
      </c>
      <c r="D112" s="104">
        <v>2040</v>
      </c>
      <c r="E112" s="105" t="e">
        <f>SUMIFS(#REF!,#REF!,$A112,#REF!,$B112,#REF!,$C112,#REF!,"Storage Demand")</f>
        <v>#REF!</v>
      </c>
      <c r="F112" s="105" t="e">
        <f>SUMIFS(#REF!,#REF!,$A112,#REF!,$B112,#REF!,$C112,#REF!,"&lt;&gt;Other Sector Demand")</f>
        <v>#REF!</v>
      </c>
      <c r="G112" s="106" t="e">
        <f t="shared" si="4"/>
        <v>#REF!</v>
      </c>
      <c r="H112" s="105" t="e">
        <f>SUMIFS(#REF!,#REF!,$A112,#REF!,$B112,#REF!,$C112,#REF!,"Other Sector Demand")</f>
        <v>#REF!</v>
      </c>
      <c r="I112" s="105" t="e">
        <f t="shared" si="5"/>
        <v>#REF!</v>
      </c>
      <c r="J112" s="106" t="e">
        <f t="shared" si="6"/>
        <v>#REF!</v>
      </c>
      <c r="K112" s="107" t="e">
        <f t="shared" si="7"/>
        <v>#REF!</v>
      </c>
    </row>
    <row r="113" spans="1:11" ht="15" customHeight="1" x14ac:dyDescent="0.2">
      <c r="A113" s="104" t="s">
        <v>205</v>
      </c>
      <c r="B113" s="104" t="s">
        <v>206</v>
      </c>
      <c r="C113" s="104" t="s">
        <v>74</v>
      </c>
      <c r="D113" s="104">
        <v>2050</v>
      </c>
      <c r="E113" s="105" t="e">
        <f>SUMIFS(#REF!,#REF!,$A113,#REF!,$B113,#REF!,$C113,#REF!,"Storage Demand")</f>
        <v>#REF!</v>
      </c>
      <c r="F113" s="105" t="e">
        <f>SUMIFS(#REF!,#REF!,$A113,#REF!,$B113,#REF!,$C113,#REF!,"&lt;&gt;Other Sector Demand")</f>
        <v>#REF!</v>
      </c>
      <c r="G113" s="106" t="e">
        <f t="shared" si="4"/>
        <v>#REF!</v>
      </c>
      <c r="H113" s="105" t="e">
        <f>SUMIFS(#REF!,#REF!,$A113,#REF!,$B113,#REF!,$C113,#REF!,"Other Sector Demand")</f>
        <v>#REF!</v>
      </c>
      <c r="I113" s="105" t="e">
        <f t="shared" si="5"/>
        <v>#REF!</v>
      </c>
      <c r="J113" s="106" t="e">
        <f t="shared" si="6"/>
        <v>#REF!</v>
      </c>
      <c r="K113" s="107" t="e">
        <f t="shared" si="7"/>
        <v>#REF!</v>
      </c>
    </row>
    <row r="114" spans="1:11" ht="15" customHeight="1" x14ac:dyDescent="0.2">
      <c r="A114" s="104" t="s">
        <v>205</v>
      </c>
      <c r="B114" s="104" t="s">
        <v>206</v>
      </c>
      <c r="C114" s="104" t="s">
        <v>75</v>
      </c>
      <c r="D114" s="104">
        <v>2020</v>
      </c>
      <c r="E114" s="105" t="e">
        <f>SUMIFS(#REF!,#REF!,$A114,#REF!,$B114,#REF!,$C114,#REF!,"Storage Demand")</f>
        <v>#REF!</v>
      </c>
      <c r="F114" s="105" t="e">
        <f>SUMIFS(#REF!,#REF!,$A114,#REF!,$B114,#REF!,$C114,#REF!,"&lt;&gt;Other Sector Demand")</f>
        <v>#REF!</v>
      </c>
      <c r="G114" s="106" t="e">
        <f t="shared" si="4"/>
        <v>#REF!</v>
      </c>
      <c r="H114" s="105" t="e">
        <f>SUMIFS(#REF!,#REF!,$A114,#REF!,$B114,#REF!,$C114,#REF!,"Other Sector Demand")</f>
        <v>#REF!</v>
      </c>
      <c r="I114" s="105" t="e">
        <f t="shared" si="5"/>
        <v>#REF!</v>
      </c>
      <c r="J114" s="106" t="e">
        <f t="shared" si="6"/>
        <v>#REF!</v>
      </c>
      <c r="K114" s="107" t="e">
        <f t="shared" si="7"/>
        <v>#REF!</v>
      </c>
    </row>
    <row r="115" spans="1:11" ht="15" customHeight="1" x14ac:dyDescent="0.2">
      <c r="A115" s="104" t="s">
        <v>205</v>
      </c>
      <c r="B115" s="104" t="s">
        <v>206</v>
      </c>
      <c r="C115" s="104" t="s">
        <v>75</v>
      </c>
      <c r="D115" s="104">
        <v>2030</v>
      </c>
      <c r="E115" s="105" t="e">
        <f>SUMIFS(#REF!,#REF!,$A115,#REF!,$B115,#REF!,$C115,#REF!,"Storage Demand")</f>
        <v>#REF!</v>
      </c>
      <c r="F115" s="105" t="e">
        <f>SUMIFS(#REF!,#REF!,$A115,#REF!,$B115,#REF!,$C115,#REF!,"&lt;&gt;Other Sector Demand")</f>
        <v>#REF!</v>
      </c>
      <c r="G115" s="106" t="e">
        <f t="shared" si="4"/>
        <v>#REF!</v>
      </c>
      <c r="H115" s="105" t="e">
        <f>SUMIFS(#REF!,#REF!,$A115,#REF!,$B115,#REF!,$C115,#REF!,"Other Sector Demand")</f>
        <v>#REF!</v>
      </c>
      <c r="I115" s="105" t="e">
        <f t="shared" si="5"/>
        <v>#REF!</v>
      </c>
      <c r="J115" s="106" t="e">
        <f t="shared" si="6"/>
        <v>#REF!</v>
      </c>
      <c r="K115" s="107" t="e">
        <f t="shared" si="7"/>
        <v>#REF!</v>
      </c>
    </row>
    <row r="116" spans="1:11" ht="15" customHeight="1" x14ac:dyDescent="0.2">
      <c r="A116" s="104" t="s">
        <v>205</v>
      </c>
      <c r="B116" s="104" t="s">
        <v>206</v>
      </c>
      <c r="C116" s="104" t="s">
        <v>75</v>
      </c>
      <c r="D116" s="104">
        <v>2040</v>
      </c>
      <c r="E116" s="105" t="e">
        <f>SUMIFS(#REF!,#REF!,$A116,#REF!,$B116,#REF!,$C116,#REF!,"Storage Demand")</f>
        <v>#REF!</v>
      </c>
      <c r="F116" s="105" t="e">
        <f>SUMIFS(#REF!,#REF!,$A116,#REF!,$B116,#REF!,$C116,#REF!,"&lt;&gt;Other Sector Demand")</f>
        <v>#REF!</v>
      </c>
      <c r="G116" s="106" t="e">
        <f t="shared" si="4"/>
        <v>#REF!</v>
      </c>
      <c r="H116" s="105" t="e">
        <f>SUMIFS(#REF!,#REF!,$A116,#REF!,$B116,#REF!,$C116,#REF!,"Other Sector Demand")</f>
        <v>#REF!</v>
      </c>
      <c r="I116" s="105" t="e">
        <f t="shared" si="5"/>
        <v>#REF!</v>
      </c>
      <c r="J116" s="106" t="e">
        <f t="shared" si="6"/>
        <v>#REF!</v>
      </c>
      <c r="K116" s="107" t="e">
        <f t="shared" si="7"/>
        <v>#REF!</v>
      </c>
    </row>
    <row r="117" spans="1:11" ht="15" customHeight="1" x14ac:dyDescent="0.2">
      <c r="A117" s="104" t="s">
        <v>205</v>
      </c>
      <c r="B117" s="104" t="s">
        <v>206</v>
      </c>
      <c r="C117" s="104" t="s">
        <v>75</v>
      </c>
      <c r="D117" s="104">
        <v>2050</v>
      </c>
      <c r="E117" s="105" t="e">
        <f>SUMIFS(#REF!,#REF!,$A117,#REF!,$B117,#REF!,$C117,#REF!,"Storage Demand")</f>
        <v>#REF!</v>
      </c>
      <c r="F117" s="105" t="e">
        <f>SUMIFS(#REF!,#REF!,$A117,#REF!,$B117,#REF!,$C117,#REF!,"&lt;&gt;Other Sector Demand")</f>
        <v>#REF!</v>
      </c>
      <c r="G117" s="106" t="e">
        <f t="shared" si="4"/>
        <v>#REF!</v>
      </c>
      <c r="H117" s="105" t="e">
        <f>SUMIFS(#REF!,#REF!,$A117,#REF!,$B117,#REF!,$C117,#REF!,"Other Sector Demand")</f>
        <v>#REF!</v>
      </c>
      <c r="I117" s="105" t="e">
        <f t="shared" si="5"/>
        <v>#REF!</v>
      </c>
      <c r="J117" s="106" t="e">
        <f t="shared" si="6"/>
        <v>#REF!</v>
      </c>
      <c r="K117" s="107" t="e">
        <f t="shared" si="7"/>
        <v>#REF!</v>
      </c>
    </row>
    <row r="118" spans="1:11" ht="15" customHeight="1" x14ac:dyDescent="0.2">
      <c r="A118" s="104" t="s">
        <v>205</v>
      </c>
      <c r="B118" s="104" t="s">
        <v>206</v>
      </c>
      <c r="C118" s="104" t="s">
        <v>76</v>
      </c>
      <c r="D118" s="104">
        <v>2020</v>
      </c>
      <c r="E118" s="105" t="e">
        <f>SUMIFS(#REF!,#REF!,$A118,#REF!,$B118,#REF!,$C118,#REF!,"Storage Demand")</f>
        <v>#REF!</v>
      </c>
      <c r="F118" s="105" t="e">
        <f>SUMIFS(#REF!,#REF!,$A118,#REF!,$B118,#REF!,$C118,#REF!,"&lt;&gt;Other Sector Demand")</f>
        <v>#REF!</v>
      </c>
      <c r="G118" s="106" t="e">
        <f t="shared" si="4"/>
        <v>#REF!</v>
      </c>
      <c r="H118" s="105" t="e">
        <f>SUMIFS(#REF!,#REF!,$A118,#REF!,$B118,#REF!,$C118,#REF!,"Other Sector Demand")</f>
        <v>#REF!</v>
      </c>
      <c r="I118" s="105" t="e">
        <f t="shared" si="5"/>
        <v>#REF!</v>
      </c>
      <c r="J118" s="106" t="e">
        <f t="shared" si="6"/>
        <v>#REF!</v>
      </c>
      <c r="K118" s="107" t="e">
        <f t="shared" si="7"/>
        <v>#REF!</v>
      </c>
    </row>
    <row r="119" spans="1:11" ht="15" customHeight="1" x14ac:dyDescent="0.2">
      <c r="A119" s="104" t="s">
        <v>205</v>
      </c>
      <c r="B119" s="104" t="s">
        <v>206</v>
      </c>
      <c r="C119" s="104" t="s">
        <v>76</v>
      </c>
      <c r="D119" s="104">
        <v>2030</v>
      </c>
      <c r="E119" s="105" t="e">
        <f>SUMIFS(#REF!,#REF!,$A119,#REF!,$B119,#REF!,$C119,#REF!,"Storage Demand")</f>
        <v>#REF!</v>
      </c>
      <c r="F119" s="105" t="e">
        <f>SUMIFS(#REF!,#REF!,$A119,#REF!,$B119,#REF!,$C119,#REF!,"&lt;&gt;Other Sector Demand")</f>
        <v>#REF!</v>
      </c>
      <c r="G119" s="106" t="e">
        <f t="shared" si="4"/>
        <v>#REF!</v>
      </c>
      <c r="H119" s="105" t="e">
        <f>SUMIFS(#REF!,#REF!,$A119,#REF!,$B119,#REF!,$C119,#REF!,"Other Sector Demand")</f>
        <v>#REF!</v>
      </c>
      <c r="I119" s="105" t="e">
        <f t="shared" si="5"/>
        <v>#REF!</v>
      </c>
      <c r="J119" s="106" t="e">
        <f t="shared" si="6"/>
        <v>#REF!</v>
      </c>
      <c r="K119" s="107" t="e">
        <f t="shared" si="7"/>
        <v>#REF!</v>
      </c>
    </row>
    <row r="120" spans="1:11" ht="15" customHeight="1" x14ac:dyDescent="0.2">
      <c r="A120" s="104" t="s">
        <v>205</v>
      </c>
      <c r="B120" s="104" t="s">
        <v>206</v>
      </c>
      <c r="C120" s="104" t="s">
        <v>76</v>
      </c>
      <c r="D120" s="104">
        <v>2040</v>
      </c>
      <c r="E120" s="105" t="e">
        <f>SUMIFS(#REF!,#REF!,$A120,#REF!,$B120,#REF!,$C120,#REF!,"Storage Demand")</f>
        <v>#REF!</v>
      </c>
      <c r="F120" s="105" t="e">
        <f>SUMIFS(#REF!,#REF!,$A120,#REF!,$B120,#REF!,$C120,#REF!,"&lt;&gt;Other Sector Demand")</f>
        <v>#REF!</v>
      </c>
      <c r="G120" s="106" t="e">
        <f t="shared" si="4"/>
        <v>#REF!</v>
      </c>
      <c r="H120" s="105" t="e">
        <f>SUMIFS(#REF!,#REF!,$A120,#REF!,$B120,#REF!,$C120,#REF!,"Other Sector Demand")</f>
        <v>#REF!</v>
      </c>
      <c r="I120" s="105" t="e">
        <f t="shared" si="5"/>
        <v>#REF!</v>
      </c>
      <c r="J120" s="106" t="e">
        <f t="shared" si="6"/>
        <v>#REF!</v>
      </c>
      <c r="K120" s="107" t="e">
        <f t="shared" si="7"/>
        <v>#REF!</v>
      </c>
    </row>
    <row r="121" spans="1:11" ht="15" customHeight="1" x14ac:dyDescent="0.2">
      <c r="A121" s="104" t="s">
        <v>205</v>
      </c>
      <c r="B121" s="104" t="s">
        <v>206</v>
      </c>
      <c r="C121" s="104" t="s">
        <v>76</v>
      </c>
      <c r="D121" s="104">
        <v>2050</v>
      </c>
      <c r="E121" s="105" t="e">
        <f>SUMIFS(#REF!,#REF!,$A121,#REF!,$B121,#REF!,$C121,#REF!,"Storage Demand")</f>
        <v>#REF!</v>
      </c>
      <c r="F121" s="105" t="e">
        <f>SUMIFS(#REF!,#REF!,$A121,#REF!,$B121,#REF!,$C121,#REF!,"&lt;&gt;Other Sector Demand")</f>
        <v>#REF!</v>
      </c>
      <c r="G121" s="106" t="e">
        <f t="shared" si="4"/>
        <v>#REF!</v>
      </c>
      <c r="H121" s="105" t="e">
        <f>SUMIFS(#REF!,#REF!,$A121,#REF!,$B121,#REF!,$C121,#REF!,"Other Sector Demand")</f>
        <v>#REF!</v>
      </c>
      <c r="I121" s="105" t="e">
        <f t="shared" si="5"/>
        <v>#REF!</v>
      </c>
      <c r="J121" s="106" t="e">
        <f t="shared" si="6"/>
        <v>#REF!</v>
      </c>
      <c r="K121" s="107" t="e">
        <f t="shared" si="7"/>
        <v>#REF!</v>
      </c>
    </row>
    <row r="122" spans="1:11" ht="15" customHeight="1" x14ac:dyDescent="0.2">
      <c r="A122" s="104" t="s">
        <v>205</v>
      </c>
      <c r="B122" s="104" t="s">
        <v>206</v>
      </c>
      <c r="C122" s="104" t="s">
        <v>77</v>
      </c>
      <c r="D122" s="104">
        <v>2020</v>
      </c>
      <c r="E122" s="105" t="e">
        <f>SUMIFS(#REF!,#REF!,$A122,#REF!,$B122,#REF!,$C122,#REF!,"Storage Demand")</f>
        <v>#REF!</v>
      </c>
      <c r="F122" s="105" t="e">
        <f>SUMIFS(#REF!,#REF!,$A122,#REF!,$B122,#REF!,$C122,#REF!,"&lt;&gt;Other Sector Demand")</f>
        <v>#REF!</v>
      </c>
      <c r="G122" s="106" t="e">
        <f t="shared" si="4"/>
        <v>#REF!</v>
      </c>
      <c r="H122" s="105" t="e">
        <f>SUMIFS(#REF!,#REF!,$A122,#REF!,$B122,#REF!,$C122,#REF!,"Other Sector Demand")</f>
        <v>#REF!</v>
      </c>
      <c r="I122" s="105" t="e">
        <f t="shared" si="5"/>
        <v>#REF!</v>
      </c>
      <c r="J122" s="106" t="e">
        <f t="shared" si="6"/>
        <v>#REF!</v>
      </c>
      <c r="K122" s="107" t="e">
        <f t="shared" si="7"/>
        <v>#REF!</v>
      </c>
    </row>
    <row r="123" spans="1:11" ht="15" customHeight="1" x14ac:dyDescent="0.2">
      <c r="A123" s="104" t="s">
        <v>205</v>
      </c>
      <c r="B123" s="104" t="s">
        <v>206</v>
      </c>
      <c r="C123" s="104" t="s">
        <v>77</v>
      </c>
      <c r="D123" s="104">
        <v>2030</v>
      </c>
      <c r="E123" s="105" t="e">
        <f>SUMIFS(#REF!,#REF!,$A123,#REF!,$B123,#REF!,$C123,#REF!,"Storage Demand")</f>
        <v>#REF!</v>
      </c>
      <c r="F123" s="105" t="e">
        <f>SUMIFS(#REF!,#REF!,$A123,#REF!,$B123,#REF!,$C123,#REF!,"&lt;&gt;Other Sector Demand")</f>
        <v>#REF!</v>
      </c>
      <c r="G123" s="106" t="e">
        <f t="shared" si="4"/>
        <v>#REF!</v>
      </c>
      <c r="H123" s="105" t="e">
        <f>SUMIFS(#REF!,#REF!,$A123,#REF!,$B123,#REF!,$C123,#REF!,"Other Sector Demand")</f>
        <v>#REF!</v>
      </c>
      <c r="I123" s="105" t="e">
        <f t="shared" si="5"/>
        <v>#REF!</v>
      </c>
      <c r="J123" s="106" t="e">
        <f t="shared" si="6"/>
        <v>#REF!</v>
      </c>
      <c r="K123" s="107" t="e">
        <f t="shared" si="7"/>
        <v>#REF!</v>
      </c>
    </row>
    <row r="124" spans="1:11" ht="15" customHeight="1" x14ac:dyDescent="0.2">
      <c r="A124" s="104" t="s">
        <v>205</v>
      </c>
      <c r="B124" s="104" t="s">
        <v>206</v>
      </c>
      <c r="C124" s="104" t="s">
        <v>77</v>
      </c>
      <c r="D124" s="104">
        <v>2040</v>
      </c>
      <c r="E124" s="105" t="e">
        <f>SUMIFS(#REF!,#REF!,$A124,#REF!,$B124,#REF!,$C124,#REF!,"Storage Demand")</f>
        <v>#REF!</v>
      </c>
      <c r="F124" s="105" t="e">
        <f>SUMIFS(#REF!,#REF!,$A124,#REF!,$B124,#REF!,$C124,#REF!,"&lt;&gt;Other Sector Demand")</f>
        <v>#REF!</v>
      </c>
      <c r="G124" s="106" t="e">
        <f t="shared" si="4"/>
        <v>#REF!</v>
      </c>
      <c r="H124" s="105" t="e">
        <f>SUMIFS(#REF!,#REF!,$A124,#REF!,$B124,#REF!,$C124,#REF!,"Other Sector Demand")</f>
        <v>#REF!</v>
      </c>
      <c r="I124" s="105" t="e">
        <f t="shared" si="5"/>
        <v>#REF!</v>
      </c>
      <c r="J124" s="106" t="e">
        <f t="shared" si="6"/>
        <v>#REF!</v>
      </c>
      <c r="K124" s="107" t="e">
        <f t="shared" si="7"/>
        <v>#REF!</v>
      </c>
    </row>
    <row r="125" spans="1:11" ht="15" customHeight="1" x14ac:dyDescent="0.2">
      <c r="A125" s="104" t="s">
        <v>205</v>
      </c>
      <c r="B125" s="104" t="s">
        <v>206</v>
      </c>
      <c r="C125" s="104" t="s">
        <v>77</v>
      </c>
      <c r="D125" s="104">
        <v>2050</v>
      </c>
      <c r="E125" s="105" t="e">
        <f>SUMIFS(#REF!,#REF!,$A125,#REF!,$B125,#REF!,$C125,#REF!,"Storage Demand")</f>
        <v>#REF!</v>
      </c>
      <c r="F125" s="105" t="e">
        <f>SUMIFS(#REF!,#REF!,$A125,#REF!,$B125,#REF!,$C125,#REF!,"&lt;&gt;Other Sector Demand")</f>
        <v>#REF!</v>
      </c>
      <c r="G125" s="106" t="e">
        <f t="shared" si="4"/>
        <v>#REF!</v>
      </c>
      <c r="H125" s="105" t="e">
        <f>SUMIFS(#REF!,#REF!,$A125,#REF!,$B125,#REF!,$C125,#REF!,"Other Sector Demand")</f>
        <v>#REF!</v>
      </c>
      <c r="I125" s="105" t="e">
        <f t="shared" si="5"/>
        <v>#REF!</v>
      </c>
      <c r="J125" s="106" t="e">
        <f t="shared" si="6"/>
        <v>#REF!</v>
      </c>
      <c r="K125" s="107" t="e">
        <f t="shared" si="7"/>
        <v>#REF!</v>
      </c>
    </row>
    <row r="126" spans="1:11" ht="15" customHeight="1" x14ac:dyDescent="0.2">
      <c r="A126" s="104" t="s">
        <v>205</v>
      </c>
      <c r="B126" s="104" t="s">
        <v>206</v>
      </c>
      <c r="C126" s="104" t="s">
        <v>78</v>
      </c>
      <c r="D126" s="104">
        <v>2020</v>
      </c>
      <c r="E126" s="105" t="e">
        <f>SUMIFS(#REF!,#REF!,$A126,#REF!,$B126,#REF!,$C126,#REF!,"Storage Demand")</f>
        <v>#REF!</v>
      </c>
      <c r="F126" s="105" t="e">
        <f>SUMIFS(#REF!,#REF!,$A126,#REF!,$B126,#REF!,$C126,#REF!,"&lt;&gt;Other Sector Demand")</f>
        <v>#REF!</v>
      </c>
      <c r="G126" s="106" t="e">
        <f t="shared" si="4"/>
        <v>#REF!</v>
      </c>
      <c r="H126" s="105" t="e">
        <f>SUMIFS(#REF!,#REF!,$A126,#REF!,$B126,#REF!,$C126,#REF!,"Other Sector Demand")</f>
        <v>#REF!</v>
      </c>
      <c r="I126" s="105" t="e">
        <f t="shared" si="5"/>
        <v>#REF!</v>
      </c>
      <c r="J126" s="106" t="e">
        <f t="shared" si="6"/>
        <v>#REF!</v>
      </c>
      <c r="K126" s="107" t="e">
        <f t="shared" si="7"/>
        <v>#REF!</v>
      </c>
    </row>
    <row r="127" spans="1:11" ht="15" customHeight="1" x14ac:dyDescent="0.2">
      <c r="A127" s="104" t="s">
        <v>205</v>
      </c>
      <c r="B127" s="104" t="s">
        <v>206</v>
      </c>
      <c r="C127" s="104" t="s">
        <v>78</v>
      </c>
      <c r="D127" s="104">
        <v>2030</v>
      </c>
      <c r="E127" s="105" t="e">
        <f>SUMIFS(#REF!,#REF!,$A127,#REF!,$B127,#REF!,$C127,#REF!,"Storage Demand")</f>
        <v>#REF!</v>
      </c>
      <c r="F127" s="105" t="e">
        <f>SUMIFS(#REF!,#REF!,$A127,#REF!,$B127,#REF!,$C127,#REF!,"&lt;&gt;Other Sector Demand")</f>
        <v>#REF!</v>
      </c>
      <c r="G127" s="106" t="e">
        <f t="shared" si="4"/>
        <v>#REF!</v>
      </c>
      <c r="H127" s="105" t="e">
        <f>SUMIFS(#REF!,#REF!,$A127,#REF!,$B127,#REF!,$C127,#REF!,"Other Sector Demand")</f>
        <v>#REF!</v>
      </c>
      <c r="I127" s="105" t="e">
        <f t="shared" si="5"/>
        <v>#REF!</v>
      </c>
      <c r="J127" s="106" t="e">
        <f t="shared" si="6"/>
        <v>#REF!</v>
      </c>
      <c r="K127" s="107" t="e">
        <f t="shared" si="7"/>
        <v>#REF!</v>
      </c>
    </row>
    <row r="128" spans="1:11" ht="15" customHeight="1" x14ac:dyDescent="0.2">
      <c r="A128" s="104" t="s">
        <v>205</v>
      </c>
      <c r="B128" s="104" t="s">
        <v>206</v>
      </c>
      <c r="C128" s="104" t="s">
        <v>78</v>
      </c>
      <c r="D128" s="104">
        <v>2040</v>
      </c>
      <c r="E128" s="105" t="e">
        <f>SUMIFS(#REF!,#REF!,$A128,#REF!,$B128,#REF!,$C128,#REF!,"Storage Demand")</f>
        <v>#REF!</v>
      </c>
      <c r="F128" s="105" t="e">
        <f>SUMIFS(#REF!,#REF!,$A128,#REF!,$B128,#REF!,$C128,#REF!,"&lt;&gt;Other Sector Demand")</f>
        <v>#REF!</v>
      </c>
      <c r="G128" s="106" t="e">
        <f t="shared" si="4"/>
        <v>#REF!</v>
      </c>
      <c r="H128" s="105" t="e">
        <f>SUMIFS(#REF!,#REF!,$A128,#REF!,$B128,#REF!,$C128,#REF!,"Other Sector Demand")</f>
        <v>#REF!</v>
      </c>
      <c r="I128" s="105" t="e">
        <f t="shared" si="5"/>
        <v>#REF!</v>
      </c>
      <c r="J128" s="106" t="e">
        <f t="shared" si="6"/>
        <v>#REF!</v>
      </c>
      <c r="K128" s="107" t="e">
        <f t="shared" si="7"/>
        <v>#REF!</v>
      </c>
    </row>
    <row r="129" spans="1:11" ht="15" customHeight="1" x14ac:dyDescent="0.2">
      <c r="A129" s="104" t="s">
        <v>205</v>
      </c>
      <c r="B129" s="104" t="s">
        <v>206</v>
      </c>
      <c r="C129" s="104" t="s">
        <v>78</v>
      </c>
      <c r="D129" s="104">
        <v>2050</v>
      </c>
      <c r="E129" s="105" t="e">
        <f>SUMIFS(#REF!,#REF!,$A129,#REF!,$B129,#REF!,$C129,#REF!,"Storage Demand")</f>
        <v>#REF!</v>
      </c>
      <c r="F129" s="105" t="e">
        <f>SUMIFS(#REF!,#REF!,$A129,#REF!,$B129,#REF!,$C129,#REF!,"&lt;&gt;Other Sector Demand")</f>
        <v>#REF!</v>
      </c>
      <c r="G129" s="106" t="e">
        <f t="shared" si="4"/>
        <v>#REF!</v>
      </c>
      <c r="H129" s="105" t="e">
        <f>SUMIFS(#REF!,#REF!,$A129,#REF!,$B129,#REF!,$C129,#REF!,"Other Sector Demand")</f>
        <v>#REF!</v>
      </c>
      <c r="I129" s="105" t="e">
        <f t="shared" si="5"/>
        <v>#REF!</v>
      </c>
      <c r="J129" s="106" t="e">
        <f t="shared" si="6"/>
        <v>#REF!</v>
      </c>
      <c r="K129" s="107" t="e">
        <f t="shared" si="7"/>
        <v>#REF!</v>
      </c>
    </row>
    <row r="130" spans="1:11" ht="15" customHeight="1" x14ac:dyDescent="0.2">
      <c r="A130" s="104" t="s">
        <v>205</v>
      </c>
      <c r="B130" s="104" t="s">
        <v>208</v>
      </c>
      <c r="C130" s="104" t="s">
        <v>38</v>
      </c>
      <c r="D130" s="104">
        <v>2020</v>
      </c>
      <c r="E130" s="105" t="e">
        <f>SUMIFS(#REF!,#REF!,$A130,#REF!,$B130,#REF!,$C130,#REF!,"Storage Demand")</f>
        <v>#REF!</v>
      </c>
      <c r="F130" s="105" t="e">
        <f>SUMIFS(#REF!,#REF!,$A130,#REF!,$B130,#REF!,$C130,#REF!,"&lt;&gt;Other Sector Demand")</f>
        <v>#REF!</v>
      </c>
      <c r="G130" s="106" t="e">
        <f t="shared" ref="G130:G193" si="8">IF($F130=0,0,$E130/$F130)</f>
        <v>#REF!</v>
      </c>
      <c r="H130" s="105" t="e">
        <f>SUMIFS(#REF!,#REF!,$A130,#REF!,$B130,#REF!,$C130,#REF!,"Other Sector Demand")</f>
        <v>#REF!</v>
      </c>
      <c r="I130" s="105" t="e">
        <f t="shared" ref="I130:I193" si="9">$F130+$H130</f>
        <v>#REF!</v>
      </c>
      <c r="J130" s="106" t="e">
        <f t="shared" ref="J130:J193" si="10">IF($I130=0,0,$E130/$I130)</f>
        <v>#REF!</v>
      </c>
      <c r="K130" s="107" t="e">
        <f t="shared" ref="K130:K193" si="11">IF(SUMIFS($F$2:$F$1025,$A$2:$A$1025,$A130,$B$2:$B$1025,$B130,$C$2:$C$1025,$C130)=0,0,SUMIFS($E$2:$E$1025,$A$2:$A$1025,$A130,$B$2:$B$1025,$B130,$C$2:$C$1025,$C130)/SUMIFS($F$2:$F$1025,$A$2:$A$1025,$A130,$B$2:$B$1025,$B130,$C$2:$C$1025,$C130))</f>
        <v>#REF!</v>
      </c>
    </row>
    <row r="131" spans="1:11" ht="15" customHeight="1" x14ac:dyDescent="0.2">
      <c r="A131" s="104" t="s">
        <v>205</v>
      </c>
      <c r="B131" s="104" t="s">
        <v>208</v>
      </c>
      <c r="C131" s="104" t="s">
        <v>38</v>
      </c>
      <c r="D131" s="104">
        <v>2030</v>
      </c>
      <c r="E131" s="105" t="e">
        <f>SUMIFS(#REF!,#REF!,$A131,#REF!,$B131,#REF!,$C131,#REF!,"Storage Demand")</f>
        <v>#REF!</v>
      </c>
      <c r="F131" s="105" t="e">
        <f>SUMIFS(#REF!,#REF!,$A131,#REF!,$B131,#REF!,$C131,#REF!,"&lt;&gt;Other Sector Demand")</f>
        <v>#REF!</v>
      </c>
      <c r="G131" s="106" t="e">
        <f t="shared" si="8"/>
        <v>#REF!</v>
      </c>
      <c r="H131" s="105" t="e">
        <f>SUMIFS(#REF!,#REF!,$A131,#REF!,$B131,#REF!,$C131,#REF!,"Other Sector Demand")</f>
        <v>#REF!</v>
      </c>
      <c r="I131" s="105" t="e">
        <f t="shared" si="9"/>
        <v>#REF!</v>
      </c>
      <c r="J131" s="106" t="e">
        <f t="shared" si="10"/>
        <v>#REF!</v>
      </c>
      <c r="K131" s="107" t="e">
        <f t="shared" si="11"/>
        <v>#REF!</v>
      </c>
    </row>
    <row r="132" spans="1:11" ht="15" customHeight="1" x14ac:dyDescent="0.2">
      <c r="A132" s="104" t="s">
        <v>205</v>
      </c>
      <c r="B132" s="104" t="s">
        <v>208</v>
      </c>
      <c r="C132" s="104" t="s">
        <v>38</v>
      </c>
      <c r="D132" s="104">
        <v>2040</v>
      </c>
      <c r="E132" s="105" t="e">
        <f>SUMIFS(#REF!,#REF!,$A132,#REF!,$B132,#REF!,$C132,#REF!,"Storage Demand")</f>
        <v>#REF!</v>
      </c>
      <c r="F132" s="105" t="e">
        <f>SUMIFS(#REF!,#REF!,$A132,#REF!,$B132,#REF!,$C132,#REF!,"&lt;&gt;Other Sector Demand")</f>
        <v>#REF!</v>
      </c>
      <c r="G132" s="106" t="e">
        <f t="shared" si="8"/>
        <v>#REF!</v>
      </c>
      <c r="H132" s="105" t="e">
        <f>SUMIFS(#REF!,#REF!,$A132,#REF!,$B132,#REF!,$C132,#REF!,"Other Sector Demand")</f>
        <v>#REF!</v>
      </c>
      <c r="I132" s="105" t="e">
        <f t="shared" si="9"/>
        <v>#REF!</v>
      </c>
      <c r="J132" s="106" t="e">
        <f t="shared" si="10"/>
        <v>#REF!</v>
      </c>
      <c r="K132" s="107" t="e">
        <f t="shared" si="11"/>
        <v>#REF!</v>
      </c>
    </row>
    <row r="133" spans="1:11" ht="15" customHeight="1" x14ac:dyDescent="0.2">
      <c r="A133" s="104" t="s">
        <v>205</v>
      </c>
      <c r="B133" s="104" t="s">
        <v>208</v>
      </c>
      <c r="C133" s="104" t="s">
        <v>38</v>
      </c>
      <c r="D133" s="104">
        <v>2050</v>
      </c>
      <c r="E133" s="105" t="e">
        <f>SUMIFS(#REF!,#REF!,$A133,#REF!,$B133,#REF!,$C133,#REF!,"Storage Demand")</f>
        <v>#REF!</v>
      </c>
      <c r="F133" s="105" t="e">
        <f>SUMIFS(#REF!,#REF!,$A133,#REF!,$B133,#REF!,$C133,#REF!,"&lt;&gt;Other Sector Demand")</f>
        <v>#REF!</v>
      </c>
      <c r="G133" s="106" t="e">
        <f t="shared" si="8"/>
        <v>#REF!</v>
      </c>
      <c r="H133" s="105" t="e">
        <f>SUMIFS(#REF!,#REF!,$A133,#REF!,$B133,#REF!,$C133,#REF!,"Other Sector Demand")</f>
        <v>#REF!</v>
      </c>
      <c r="I133" s="105" t="e">
        <f t="shared" si="9"/>
        <v>#REF!</v>
      </c>
      <c r="J133" s="106" t="e">
        <f t="shared" si="10"/>
        <v>#REF!</v>
      </c>
      <c r="K133" s="107" t="e">
        <f t="shared" si="11"/>
        <v>#REF!</v>
      </c>
    </row>
    <row r="134" spans="1:11" ht="15" customHeight="1" x14ac:dyDescent="0.2">
      <c r="A134" s="104" t="s">
        <v>205</v>
      </c>
      <c r="B134" s="104" t="s">
        <v>208</v>
      </c>
      <c r="C134" s="104" t="s">
        <v>39</v>
      </c>
      <c r="D134" s="104">
        <v>2020</v>
      </c>
      <c r="E134" s="105" t="e">
        <f>SUMIFS(#REF!,#REF!,$A134,#REF!,$B134,#REF!,$C134,#REF!,"Storage Demand")</f>
        <v>#REF!</v>
      </c>
      <c r="F134" s="105" t="e">
        <f>SUMIFS(#REF!,#REF!,$A134,#REF!,$B134,#REF!,$C134,#REF!,"&lt;&gt;Other Sector Demand")</f>
        <v>#REF!</v>
      </c>
      <c r="G134" s="106" t="e">
        <f t="shared" si="8"/>
        <v>#REF!</v>
      </c>
      <c r="H134" s="105" t="e">
        <f>SUMIFS(#REF!,#REF!,$A134,#REF!,$B134,#REF!,$C134,#REF!,"Other Sector Demand")</f>
        <v>#REF!</v>
      </c>
      <c r="I134" s="105" t="e">
        <f t="shared" si="9"/>
        <v>#REF!</v>
      </c>
      <c r="J134" s="106" t="e">
        <f t="shared" si="10"/>
        <v>#REF!</v>
      </c>
      <c r="K134" s="107" t="e">
        <f t="shared" si="11"/>
        <v>#REF!</v>
      </c>
    </row>
    <row r="135" spans="1:11" ht="15" customHeight="1" x14ac:dyDescent="0.2">
      <c r="A135" s="104" t="s">
        <v>205</v>
      </c>
      <c r="B135" s="104" t="s">
        <v>208</v>
      </c>
      <c r="C135" s="104" t="s">
        <v>39</v>
      </c>
      <c r="D135" s="104">
        <v>2030</v>
      </c>
      <c r="E135" s="105" t="e">
        <f>SUMIFS(#REF!,#REF!,$A135,#REF!,$B135,#REF!,$C135,#REF!,"Storage Demand")</f>
        <v>#REF!</v>
      </c>
      <c r="F135" s="105" t="e">
        <f>SUMIFS(#REF!,#REF!,$A135,#REF!,$B135,#REF!,$C135,#REF!,"&lt;&gt;Other Sector Demand")</f>
        <v>#REF!</v>
      </c>
      <c r="G135" s="106" t="e">
        <f t="shared" si="8"/>
        <v>#REF!</v>
      </c>
      <c r="H135" s="105" t="e">
        <f>SUMIFS(#REF!,#REF!,$A135,#REF!,$B135,#REF!,$C135,#REF!,"Other Sector Demand")</f>
        <v>#REF!</v>
      </c>
      <c r="I135" s="105" t="e">
        <f t="shared" si="9"/>
        <v>#REF!</v>
      </c>
      <c r="J135" s="106" t="e">
        <f t="shared" si="10"/>
        <v>#REF!</v>
      </c>
      <c r="K135" s="107" t="e">
        <f t="shared" si="11"/>
        <v>#REF!</v>
      </c>
    </row>
    <row r="136" spans="1:11" ht="15" customHeight="1" x14ac:dyDescent="0.2">
      <c r="A136" s="104" t="s">
        <v>205</v>
      </c>
      <c r="B136" s="104" t="s">
        <v>208</v>
      </c>
      <c r="C136" s="104" t="s">
        <v>39</v>
      </c>
      <c r="D136" s="104">
        <v>2040</v>
      </c>
      <c r="E136" s="105" t="e">
        <f>SUMIFS(#REF!,#REF!,$A136,#REF!,$B136,#REF!,$C136,#REF!,"Storage Demand")</f>
        <v>#REF!</v>
      </c>
      <c r="F136" s="105" t="e">
        <f>SUMIFS(#REF!,#REF!,$A136,#REF!,$B136,#REF!,$C136,#REF!,"&lt;&gt;Other Sector Demand")</f>
        <v>#REF!</v>
      </c>
      <c r="G136" s="106" t="e">
        <f t="shared" si="8"/>
        <v>#REF!</v>
      </c>
      <c r="H136" s="105" t="e">
        <f>SUMIFS(#REF!,#REF!,$A136,#REF!,$B136,#REF!,$C136,#REF!,"Other Sector Demand")</f>
        <v>#REF!</v>
      </c>
      <c r="I136" s="105" t="e">
        <f t="shared" si="9"/>
        <v>#REF!</v>
      </c>
      <c r="J136" s="106" t="e">
        <f t="shared" si="10"/>
        <v>#REF!</v>
      </c>
      <c r="K136" s="107" t="e">
        <f t="shared" si="11"/>
        <v>#REF!</v>
      </c>
    </row>
    <row r="137" spans="1:11" ht="15" customHeight="1" x14ac:dyDescent="0.2">
      <c r="A137" s="104" t="s">
        <v>205</v>
      </c>
      <c r="B137" s="104" t="s">
        <v>208</v>
      </c>
      <c r="C137" s="104" t="s">
        <v>39</v>
      </c>
      <c r="D137" s="104">
        <v>2050</v>
      </c>
      <c r="E137" s="105" t="e">
        <f>SUMIFS(#REF!,#REF!,$A137,#REF!,$B137,#REF!,$C137,#REF!,"Storage Demand")</f>
        <v>#REF!</v>
      </c>
      <c r="F137" s="105" t="e">
        <f>SUMIFS(#REF!,#REF!,$A137,#REF!,$B137,#REF!,$C137,#REF!,"&lt;&gt;Other Sector Demand")</f>
        <v>#REF!</v>
      </c>
      <c r="G137" s="106" t="e">
        <f t="shared" si="8"/>
        <v>#REF!</v>
      </c>
      <c r="H137" s="105" t="e">
        <f>SUMIFS(#REF!,#REF!,$A137,#REF!,$B137,#REF!,$C137,#REF!,"Other Sector Demand")</f>
        <v>#REF!</v>
      </c>
      <c r="I137" s="105" t="e">
        <f t="shared" si="9"/>
        <v>#REF!</v>
      </c>
      <c r="J137" s="106" t="e">
        <f t="shared" si="10"/>
        <v>#REF!</v>
      </c>
      <c r="K137" s="107" t="e">
        <f t="shared" si="11"/>
        <v>#REF!</v>
      </c>
    </row>
    <row r="138" spans="1:11" ht="15" customHeight="1" x14ac:dyDescent="0.2">
      <c r="A138" s="104" t="s">
        <v>205</v>
      </c>
      <c r="B138" s="104" t="s">
        <v>208</v>
      </c>
      <c r="C138" s="104" t="s">
        <v>40</v>
      </c>
      <c r="D138" s="104">
        <v>2020</v>
      </c>
      <c r="E138" s="105" t="e">
        <f>SUMIFS(#REF!,#REF!,$A138,#REF!,$B138,#REF!,$C138,#REF!,"Storage Demand")</f>
        <v>#REF!</v>
      </c>
      <c r="F138" s="105" t="e">
        <f>SUMIFS(#REF!,#REF!,$A138,#REF!,$B138,#REF!,$C138,#REF!,"&lt;&gt;Other Sector Demand")</f>
        <v>#REF!</v>
      </c>
      <c r="G138" s="106" t="e">
        <f t="shared" si="8"/>
        <v>#REF!</v>
      </c>
      <c r="H138" s="105" t="e">
        <f>SUMIFS(#REF!,#REF!,$A138,#REF!,$B138,#REF!,$C138,#REF!,"Other Sector Demand")</f>
        <v>#REF!</v>
      </c>
      <c r="I138" s="105" t="e">
        <f t="shared" si="9"/>
        <v>#REF!</v>
      </c>
      <c r="J138" s="106" t="e">
        <f t="shared" si="10"/>
        <v>#REF!</v>
      </c>
      <c r="K138" s="107" t="e">
        <f t="shared" si="11"/>
        <v>#REF!</v>
      </c>
    </row>
    <row r="139" spans="1:11" ht="15" customHeight="1" x14ac:dyDescent="0.2">
      <c r="A139" s="104" t="s">
        <v>205</v>
      </c>
      <c r="B139" s="104" t="s">
        <v>208</v>
      </c>
      <c r="C139" s="104" t="s">
        <v>40</v>
      </c>
      <c r="D139" s="104">
        <v>2030</v>
      </c>
      <c r="E139" s="105" t="e">
        <f>SUMIFS(#REF!,#REF!,$A139,#REF!,$B139,#REF!,$C139,#REF!,"Storage Demand")</f>
        <v>#REF!</v>
      </c>
      <c r="F139" s="105" t="e">
        <f>SUMIFS(#REF!,#REF!,$A139,#REF!,$B139,#REF!,$C139,#REF!,"&lt;&gt;Other Sector Demand")</f>
        <v>#REF!</v>
      </c>
      <c r="G139" s="106" t="e">
        <f t="shared" si="8"/>
        <v>#REF!</v>
      </c>
      <c r="H139" s="105" t="e">
        <f>SUMIFS(#REF!,#REF!,$A139,#REF!,$B139,#REF!,$C139,#REF!,"Other Sector Demand")</f>
        <v>#REF!</v>
      </c>
      <c r="I139" s="105" t="e">
        <f t="shared" si="9"/>
        <v>#REF!</v>
      </c>
      <c r="J139" s="106" t="e">
        <f t="shared" si="10"/>
        <v>#REF!</v>
      </c>
      <c r="K139" s="107" t="e">
        <f t="shared" si="11"/>
        <v>#REF!</v>
      </c>
    </row>
    <row r="140" spans="1:11" ht="15" customHeight="1" x14ac:dyDescent="0.2">
      <c r="A140" s="104" t="s">
        <v>205</v>
      </c>
      <c r="B140" s="104" t="s">
        <v>208</v>
      </c>
      <c r="C140" s="104" t="s">
        <v>40</v>
      </c>
      <c r="D140" s="104">
        <v>2040</v>
      </c>
      <c r="E140" s="105" t="e">
        <f>SUMIFS(#REF!,#REF!,$A140,#REF!,$B140,#REF!,$C140,#REF!,"Storage Demand")</f>
        <v>#REF!</v>
      </c>
      <c r="F140" s="105" t="e">
        <f>SUMIFS(#REF!,#REF!,$A140,#REF!,$B140,#REF!,$C140,#REF!,"&lt;&gt;Other Sector Demand")</f>
        <v>#REF!</v>
      </c>
      <c r="G140" s="106" t="e">
        <f t="shared" si="8"/>
        <v>#REF!</v>
      </c>
      <c r="H140" s="105" t="e">
        <f>SUMIFS(#REF!,#REF!,$A140,#REF!,$B140,#REF!,$C140,#REF!,"Other Sector Demand")</f>
        <v>#REF!</v>
      </c>
      <c r="I140" s="105" t="e">
        <f t="shared" si="9"/>
        <v>#REF!</v>
      </c>
      <c r="J140" s="106" t="e">
        <f t="shared" si="10"/>
        <v>#REF!</v>
      </c>
      <c r="K140" s="107" t="e">
        <f t="shared" si="11"/>
        <v>#REF!</v>
      </c>
    </row>
    <row r="141" spans="1:11" ht="15" customHeight="1" x14ac:dyDescent="0.2">
      <c r="A141" s="104" t="s">
        <v>205</v>
      </c>
      <c r="B141" s="104" t="s">
        <v>208</v>
      </c>
      <c r="C141" s="104" t="s">
        <v>40</v>
      </c>
      <c r="D141" s="104">
        <v>2050</v>
      </c>
      <c r="E141" s="105" t="e">
        <f>SUMIFS(#REF!,#REF!,$A141,#REF!,$B141,#REF!,$C141,#REF!,"Storage Demand")</f>
        <v>#REF!</v>
      </c>
      <c r="F141" s="105" t="e">
        <f>SUMIFS(#REF!,#REF!,$A141,#REF!,$B141,#REF!,$C141,#REF!,"&lt;&gt;Other Sector Demand")</f>
        <v>#REF!</v>
      </c>
      <c r="G141" s="106" t="e">
        <f t="shared" si="8"/>
        <v>#REF!</v>
      </c>
      <c r="H141" s="105" t="e">
        <f>SUMIFS(#REF!,#REF!,$A141,#REF!,$B141,#REF!,$C141,#REF!,"Other Sector Demand")</f>
        <v>#REF!</v>
      </c>
      <c r="I141" s="105" t="e">
        <f t="shared" si="9"/>
        <v>#REF!</v>
      </c>
      <c r="J141" s="106" t="e">
        <f t="shared" si="10"/>
        <v>#REF!</v>
      </c>
      <c r="K141" s="107" t="e">
        <f t="shared" si="11"/>
        <v>#REF!</v>
      </c>
    </row>
    <row r="142" spans="1:11" ht="15" customHeight="1" x14ac:dyDescent="0.2">
      <c r="A142" s="104" t="s">
        <v>205</v>
      </c>
      <c r="B142" s="104" t="s">
        <v>208</v>
      </c>
      <c r="C142" s="104" t="s">
        <v>41</v>
      </c>
      <c r="D142" s="104">
        <v>2020</v>
      </c>
      <c r="E142" s="105" t="e">
        <f>SUMIFS(#REF!,#REF!,$A142,#REF!,$B142,#REF!,$C142,#REF!,"Storage Demand")</f>
        <v>#REF!</v>
      </c>
      <c r="F142" s="105" t="e">
        <f>SUMIFS(#REF!,#REF!,$A142,#REF!,$B142,#REF!,$C142,#REF!,"&lt;&gt;Other Sector Demand")</f>
        <v>#REF!</v>
      </c>
      <c r="G142" s="106" t="e">
        <f t="shared" si="8"/>
        <v>#REF!</v>
      </c>
      <c r="H142" s="105" t="e">
        <f>SUMIFS(#REF!,#REF!,$A142,#REF!,$B142,#REF!,$C142,#REF!,"Other Sector Demand")</f>
        <v>#REF!</v>
      </c>
      <c r="I142" s="105" t="e">
        <f t="shared" si="9"/>
        <v>#REF!</v>
      </c>
      <c r="J142" s="106" t="e">
        <f t="shared" si="10"/>
        <v>#REF!</v>
      </c>
      <c r="K142" s="107" t="e">
        <f t="shared" si="11"/>
        <v>#REF!</v>
      </c>
    </row>
    <row r="143" spans="1:11" ht="15" customHeight="1" x14ac:dyDescent="0.2">
      <c r="A143" s="104" t="s">
        <v>205</v>
      </c>
      <c r="B143" s="104" t="s">
        <v>208</v>
      </c>
      <c r="C143" s="104" t="s">
        <v>41</v>
      </c>
      <c r="D143" s="104">
        <v>2030</v>
      </c>
      <c r="E143" s="105" t="e">
        <f>SUMIFS(#REF!,#REF!,$A143,#REF!,$B143,#REF!,$C143,#REF!,"Storage Demand")</f>
        <v>#REF!</v>
      </c>
      <c r="F143" s="105" t="e">
        <f>SUMIFS(#REF!,#REF!,$A143,#REF!,$B143,#REF!,$C143,#REF!,"&lt;&gt;Other Sector Demand")</f>
        <v>#REF!</v>
      </c>
      <c r="G143" s="106" t="e">
        <f t="shared" si="8"/>
        <v>#REF!</v>
      </c>
      <c r="H143" s="105" t="e">
        <f>SUMIFS(#REF!,#REF!,$A143,#REF!,$B143,#REF!,$C143,#REF!,"Other Sector Demand")</f>
        <v>#REF!</v>
      </c>
      <c r="I143" s="105" t="e">
        <f t="shared" si="9"/>
        <v>#REF!</v>
      </c>
      <c r="J143" s="106" t="e">
        <f t="shared" si="10"/>
        <v>#REF!</v>
      </c>
      <c r="K143" s="107" t="e">
        <f t="shared" si="11"/>
        <v>#REF!</v>
      </c>
    </row>
    <row r="144" spans="1:11" ht="15" customHeight="1" x14ac:dyDescent="0.2">
      <c r="A144" s="104" t="s">
        <v>205</v>
      </c>
      <c r="B144" s="104" t="s">
        <v>208</v>
      </c>
      <c r="C144" s="104" t="s">
        <v>41</v>
      </c>
      <c r="D144" s="104">
        <v>2040</v>
      </c>
      <c r="E144" s="105" t="e">
        <f>SUMIFS(#REF!,#REF!,$A144,#REF!,$B144,#REF!,$C144,#REF!,"Storage Demand")</f>
        <v>#REF!</v>
      </c>
      <c r="F144" s="105" t="e">
        <f>SUMIFS(#REF!,#REF!,$A144,#REF!,$B144,#REF!,$C144,#REF!,"&lt;&gt;Other Sector Demand")</f>
        <v>#REF!</v>
      </c>
      <c r="G144" s="106" t="e">
        <f t="shared" si="8"/>
        <v>#REF!</v>
      </c>
      <c r="H144" s="105" t="e">
        <f>SUMIFS(#REF!,#REF!,$A144,#REF!,$B144,#REF!,$C144,#REF!,"Other Sector Demand")</f>
        <v>#REF!</v>
      </c>
      <c r="I144" s="105" t="e">
        <f t="shared" si="9"/>
        <v>#REF!</v>
      </c>
      <c r="J144" s="106" t="e">
        <f t="shared" si="10"/>
        <v>#REF!</v>
      </c>
      <c r="K144" s="107" t="e">
        <f t="shared" si="11"/>
        <v>#REF!</v>
      </c>
    </row>
    <row r="145" spans="1:11" ht="15" customHeight="1" x14ac:dyDescent="0.2">
      <c r="A145" s="104" t="s">
        <v>205</v>
      </c>
      <c r="B145" s="104" t="s">
        <v>208</v>
      </c>
      <c r="C145" s="104" t="s">
        <v>41</v>
      </c>
      <c r="D145" s="104">
        <v>2050</v>
      </c>
      <c r="E145" s="105" t="e">
        <f>SUMIFS(#REF!,#REF!,$A145,#REF!,$B145,#REF!,$C145,#REF!,"Storage Demand")</f>
        <v>#REF!</v>
      </c>
      <c r="F145" s="105" t="e">
        <f>SUMIFS(#REF!,#REF!,$A145,#REF!,$B145,#REF!,$C145,#REF!,"&lt;&gt;Other Sector Demand")</f>
        <v>#REF!</v>
      </c>
      <c r="G145" s="106" t="e">
        <f t="shared" si="8"/>
        <v>#REF!</v>
      </c>
      <c r="H145" s="105" t="e">
        <f>SUMIFS(#REF!,#REF!,$A145,#REF!,$B145,#REF!,$C145,#REF!,"Other Sector Demand")</f>
        <v>#REF!</v>
      </c>
      <c r="I145" s="105" t="e">
        <f t="shared" si="9"/>
        <v>#REF!</v>
      </c>
      <c r="J145" s="106" t="e">
        <f t="shared" si="10"/>
        <v>#REF!</v>
      </c>
      <c r="K145" s="107" t="e">
        <f t="shared" si="11"/>
        <v>#REF!</v>
      </c>
    </row>
    <row r="146" spans="1:11" ht="15" customHeight="1" x14ac:dyDescent="0.2">
      <c r="A146" s="104" t="s">
        <v>205</v>
      </c>
      <c r="B146" s="104" t="s">
        <v>208</v>
      </c>
      <c r="C146" s="104" t="s">
        <v>42</v>
      </c>
      <c r="D146" s="104">
        <v>2020</v>
      </c>
      <c r="E146" s="105" t="e">
        <f>SUMIFS(#REF!,#REF!,$A146,#REF!,$B146,#REF!,$C146,#REF!,"Storage Demand")</f>
        <v>#REF!</v>
      </c>
      <c r="F146" s="105" t="e">
        <f>SUMIFS(#REF!,#REF!,$A146,#REF!,$B146,#REF!,$C146,#REF!,"&lt;&gt;Other Sector Demand")</f>
        <v>#REF!</v>
      </c>
      <c r="G146" s="106" t="e">
        <f t="shared" si="8"/>
        <v>#REF!</v>
      </c>
      <c r="H146" s="105" t="e">
        <f>SUMIFS(#REF!,#REF!,$A146,#REF!,$B146,#REF!,$C146,#REF!,"Other Sector Demand")</f>
        <v>#REF!</v>
      </c>
      <c r="I146" s="105" t="e">
        <f t="shared" si="9"/>
        <v>#REF!</v>
      </c>
      <c r="J146" s="106" t="e">
        <f t="shared" si="10"/>
        <v>#REF!</v>
      </c>
      <c r="K146" s="107" t="e">
        <f t="shared" si="11"/>
        <v>#REF!</v>
      </c>
    </row>
    <row r="147" spans="1:11" ht="15" customHeight="1" x14ac:dyDescent="0.2">
      <c r="A147" s="104" t="s">
        <v>205</v>
      </c>
      <c r="B147" s="104" t="s">
        <v>208</v>
      </c>
      <c r="C147" s="104" t="s">
        <v>42</v>
      </c>
      <c r="D147" s="104">
        <v>2030</v>
      </c>
      <c r="E147" s="105" t="e">
        <f>SUMIFS(#REF!,#REF!,$A147,#REF!,$B147,#REF!,$C147,#REF!,"Storage Demand")</f>
        <v>#REF!</v>
      </c>
      <c r="F147" s="105" t="e">
        <f>SUMIFS(#REF!,#REF!,$A147,#REF!,$B147,#REF!,$C147,#REF!,"&lt;&gt;Other Sector Demand")</f>
        <v>#REF!</v>
      </c>
      <c r="G147" s="106" t="e">
        <f t="shared" si="8"/>
        <v>#REF!</v>
      </c>
      <c r="H147" s="105" t="e">
        <f>SUMIFS(#REF!,#REF!,$A147,#REF!,$B147,#REF!,$C147,#REF!,"Other Sector Demand")</f>
        <v>#REF!</v>
      </c>
      <c r="I147" s="105" t="e">
        <f t="shared" si="9"/>
        <v>#REF!</v>
      </c>
      <c r="J147" s="106" t="e">
        <f t="shared" si="10"/>
        <v>#REF!</v>
      </c>
      <c r="K147" s="107" t="e">
        <f t="shared" si="11"/>
        <v>#REF!</v>
      </c>
    </row>
    <row r="148" spans="1:11" ht="15" customHeight="1" x14ac:dyDescent="0.2">
      <c r="A148" s="104" t="s">
        <v>205</v>
      </c>
      <c r="B148" s="104" t="s">
        <v>208</v>
      </c>
      <c r="C148" s="104" t="s">
        <v>42</v>
      </c>
      <c r="D148" s="104">
        <v>2040</v>
      </c>
      <c r="E148" s="105" t="e">
        <f>SUMIFS(#REF!,#REF!,$A148,#REF!,$B148,#REF!,$C148,#REF!,"Storage Demand")</f>
        <v>#REF!</v>
      </c>
      <c r="F148" s="105" t="e">
        <f>SUMIFS(#REF!,#REF!,$A148,#REF!,$B148,#REF!,$C148,#REF!,"&lt;&gt;Other Sector Demand")</f>
        <v>#REF!</v>
      </c>
      <c r="G148" s="106" t="e">
        <f t="shared" si="8"/>
        <v>#REF!</v>
      </c>
      <c r="H148" s="105" t="e">
        <f>SUMIFS(#REF!,#REF!,$A148,#REF!,$B148,#REF!,$C148,#REF!,"Other Sector Demand")</f>
        <v>#REF!</v>
      </c>
      <c r="I148" s="105" t="e">
        <f t="shared" si="9"/>
        <v>#REF!</v>
      </c>
      <c r="J148" s="106" t="e">
        <f t="shared" si="10"/>
        <v>#REF!</v>
      </c>
      <c r="K148" s="107" t="e">
        <f t="shared" si="11"/>
        <v>#REF!</v>
      </c>
    </row>
    <row r="149" spans="1:11" ht="15" customHeight="1" x14ac:dyDescent="0.2">
      <c r="A149" s="104" t="s">
        <v>205</v>
      </c>
      <c r="B149" s="104" t="s">
        <v>208</v>
      </c>
      <c r="C149" s="104" t="s">
        <v>42</v>
      </c>
      <c r="D149" s="104">
        <v>2050</v>
      </c>
      <c r="E149" s="105" t="e">
        <f>SUMIFS(#REF!,#REF!,$A149,#REF!,$B149,#REF!,$C149,#REF!,"Storage Demand")</f>
        <v>#REF!</v>
      </c>
      <c r="F149" s="105" t="e">
        <f>SUMIFS(#REF!,#REF!,$A149,#REF!,$B149,#REF!,$C149,#REF!,"&lt;&gt;Other Sector Demand")</f>
        <v>#REF!</v>
      </c>
      <c r="G149" s="106" t="e">
        <f t="shared" si="8"/>
        <v>#REF!</v>
      </c>
      <c r="H149" s="105" t="e">
        <f>SUMIFS(#REF!,#REF!,$A149,#REF!,$B149,#REF!,$C149,#REF!,"Other Sector Demand")</f>
        <v>#REF!</v>
      </c>
      <c r="I149" s="105" t="e">
        <f t="shared" si="9"/>
        <v>#REF!</v>
      </c>
      <c r="J149" s="106" t="e">
        <f t="shared" si="10"/>
        <v>#REF!</v>
      </c>
      <c r="K149" s="107" t="e">
        <f t="shared" si="11"/>
        <v>#REF!</v>
      </c>
    </row>
    <row r="150" spans="1:11" ht="15" customHeight="1" x14ac:dyDescent="0.2">
      <c r="A150" s="104" t="s">
        <v>205</v>
      </c>
      <c r="B150" s="104" t="s">
        <v>208</v>
      </c>
      <c r="C150" s="104" t="s">
        <v>44</v>
      </c>
      <c r="D150" s="104">
        <v>2020</v>
      </c>
      <c r="E150" s="105" t="e">
        <f>SUMIFS(#REF!,#REF!,$A150,#REF!,$B150,#REF!,$C150,#REF!,"Storage Demand")</f>
        <v>#REF!</v>
      </c>
      <c r="F150" s="105" t="e">
        <f>SUMIFS(#REF!,#REF!,$A150,#REF!,$B150,#REF!,$C150,#REF!,"&lt;&gt;Other Sector Demand")</f>
        <v>#REF!</v>
      </c>
      <c r="G150" s="106" t="e">
        <f t="shared" si="8"/>
        <v>#REF!</v>
      </c>
      <c r="H150" s="105" t="e">
        <f>SUMIFS(#REF!,#REF!,$A150,#REF!,$B150,#REF!,$C150,#REF!,"Other Sector Demand")</f>
        <v>#REF!</v>
      </c>
      <c r="I150" s="105" t="e">
        <f t="shared" si="9"/>
        <v>#REF!</v>
      </c>
      <c r="J150" s="106" t="e">
        <f t="shared" si="10"/>
        <v>#REF!</v>
      </c>
      <c r="K150" s="107" t="e">
        <f t="shared" si="11"/>
        <v>#REF!</v>
      </c>
    </row>
    <row r="151" spans="1:11" ht="15" customHeight="1" x14ac:dyDescent="0.2">
      <c r="A151" s="104" t="s">
        <v>205</v>
      </c>
      <c r="B151" s="104" t="s">
        <v>208</v>
      </c>
      <c r="C151" s="104" t="s">
        <v>44</v>
      </c>
      <c r="D151" s="104">
        <v>2030</v>
      </c>
      <c r="E151" s="105" t="e">
        <f>SUMIFS(#REF!,#REF!,$A151,#REF!,$B151,#REF!,$C151,#REF!,"Storage Demand")</f>
        <v>#REF!</v>
      </c>
      <c r="F151" s="105" t="e">
        <f>SUMIFS(#REF!,#REF!,$A151,#REF!,$B151,#REF!,$C151,#REF!,"&lt;&gt;Other Sector Demand")</f>
        <v>#REF!</v>
      </c>
      <c r="G151" s="106" t="e">
        <f t="shared" si="8"/>
        <v>#REF!</v>
      </c>
      <c r="H151" s="105" t="e">
        <f>SUMIFS(#REF!,#REF!,$A151,#REF!,$B151,#REF!,$C151,#REF!,"Other Sector Demand")</f>
        <v>#REF!</v>
      </c>
      <c r="I151" s="105" t="e">
        <f t="shared" si="9"/>
        <v>#REF!</v>
      </c>
      <c r="J151" s="106" t="e">
        <f t="shared" si="10"/>
        <v>#REF!</v>
      </c>
      <c r="K151" s="107" t="e">
        <f t="shared" si="11"/>
        <v>#REF!</v>
      </c>
    </row>
    <row r="152" spans="1:11" ht="15" customHeight="1" x14ac:dyDescent="0.2">
      <c r="A152" s="104" t="s">
        <v>205</v>
      </c>
      <c r="B152" s="104" t="s">
        <v>208</v>
      </c>
      <c r="C152" s="104" t="s">
        <v>44</v>
      </c>
      <c r="D152" s="104">
        <v>2040</v>
      </c>
      <c r="E152" s="105" t="e">
        <f>SUMIFS(#REF!,#REF!,$A152,#REF!,$B152,#REF!,$C152,#REF!,"Storage Demand")</f>
        <v>#REF!</v>
      </c>
      <c r="F152" s="105" t="e">
        <f>SUMIFS(#REF!,#REF!,$A152,#REF!,$B152,#REF!,$C152,#REF!,"&lt;&gt;Other Sector Demand")</f>
        <v>#REF!</v>
      </c>
      <c r="G152" s="106" t="e">
        <f t="shared" si="8"/>
        <v>#REF!</v>
      </c>
      <c r="H152" s="105" t="e">
        <f>SUMIFS(#REF!,#REF!,$A152,#REF!,$B152,#REF!,$C152,#REF!,"Other Sector Demand")</f>
        <v>#REF!</v>
      </c>
      <c r="I152" s="105" t="e">
        <f t="shared" si="9"/>
        <v>#REF!</v>
      </c>
      <c r="J152" s="106" t="e">
        <f t="shared" si="10"/>
        <v>#REF!</v>
      </c>
      <c r="K152" s="107" t="e">
        <f t="shared" si="11"/>
        <v>#REF!</v>
      </c>
    </row>
    <row r="153" spans="1:11" ht="15" customHeight="1" x14ac:dyDescent="0.2">
      <c r="A153" s="104" t="s">
        <v>205</v>
      </c>
      <c r="B153" s="104" t="s">
        <v>208</v>
      </c>
      <c r="C153" s="104" t="s">
        <v>44</v>
      </c>
      <c r="D153" s="104">
        <v>2050</v>
      </c>
      <c r="E153" s="105" t="e">
        <f>SUMIFS(#REF!,#REF!,$A153,#REF!,$B153,#REF!,$C153,#REF!,"Storage Demand")</f>
        <v>#REF!</v>
      </c>
      <c r="F153" s="105" t="e">
        <f>SUMIFS(#REF!,#REF!,$A153,#REF!,$B153,#REF!,$C153,#REF!,"&lt;&gt;Other Sector Demand")</f>
        <v>#REF!</v>
      </c>
      <c r="G153" s="106" t="e">
        <f t="shared" si="8"/>
        <v>#REF!</v>
      </c>
      <c r="H153" s="105" t="e">
        <f>SUMIFS(#REF!,#REF!,$A153,#REF!,$B153,#REF!,$C153,#REF!,"Other Sector Demand")</f>
        <v>#REF!</v>
      </c>
      <c r="I153" s="105" t="e">
        <f t="shared" si="9"/>
        <v>#REF!</v>
      </c>
      <c r="J153" s="106" t="e">
        <f t="shared" si="10"/>
        <v>#REF!</v>
      </c>
      <c r="K153" s="107" t="e">
        <f t="shared" si="11"/>
        <v>#REF!</v>
      </c>
    </row>
    <row r="154" spans="1:11" ht="15" customHeight="1" x14ac:dyDescent="0.2">
      <c r="A154" s="104" t="s">
        <v>205</v>
      </c>
      <c r="B154" s="104" t="s">
        <v>208</v>
      </c>
      <c r="C154" s="104" t="s">
        <v>45</v>
      </c>
      <c r="D154" s="104">
        <v>2020</v>
      </c>
      <c r="E154" s="105" t="e">
        <f>SUMIFS(#REF!,#REF!,$A154,#REF!,$B154,#REF!,$C154,#REF!,"Storage Demand")</f>
        <v>#REF!</v>
      </c>
      <c r="F154" s="105" t="e">
        <f>SUMIFS(#REF!,#REF!,$A154,#REF!,$B154,#REF!,$C154,#REF!,"&lt;&gt;Other Sector Demand")</f>
        <v>#REF!</v>
      </c>
      <c r="G154" s="106" t="e">
        <f t="shared" si="8"/>
        <v>#REF!</v>
      </c>
      <c r="H154" s="105" t="e">
        <f>SUMIFS(#REF!,#REF!,$A154,#REF!,$B154,#REF!,$C154,#REF!,"Other Sector Demand")</f>
        <v>#REF!</v>
      </c>
      <c r="I154" s="105" t="e">
        <f t="shared" si="9"/>
        <v>#REF!</v>
      </c>
      <c r="J154" s="106" t="e">
        <f t="shared" si="10"/>
        <v>#REF!</v>
      </c>
      <c r="K154" s="107" t="e">
        <f t="shared" si="11"/>
        <v>#REF!</v>
      </c>
    </row>
    <row r="155" spans="1:11" ht="15" customHeight="1" x14ac:dyDescent="0.2">
      <c r="A155" s="104" t="s">
        <v>205</v>
      </c>
      <c r="B155" s="104" t="s">
        <v>208</v>
      </c>
      <c r="C155" s="104" t="s">
        <v>45</v>
      </c>
      <c r="D155" s="104">
        <v>2030</v>
      </c>
      <c r="E155" s="105" t="e">
        <f>SUMIFS(#REF!,#REF!,$A155,#REF!,$B155,#REF!,$C155,#REF!,"Storage Demand")</f>
        <v>#REF!</v>
      </c>
      <c r="F155" s="105" t="e">
        <f>SUMIFS(#REF!,#REF!,$A155,#REF!,$B155,#REF!,$C155,#REF!,"&lt;&gt;Other Sector Demand")</f>
        <v>#REF!</v>
      </c>
      <c r="G155" s="106" t="e">
        <f t="shared" si="8"/>
        <v>#REF!</v>
      </c>
      <c r="H155" s="105" t="e">
        <f>SUMIFS(#REF!,#REF!,$A155,#REF!,$B155,#REF!,$C155,#REF!,"Other Sector Demand")</f>
        <v>#REF!</v>
      </c>
      <c r="I155" s="105" t="e">
        <f t="shared" si="9"/>
        <v>#REF!</v>
      </c>
      <c r="J155" s="106" t="e">
        <f t="shared" si="10"/>
        <v>#REF!</v>
      </c>
      <c r="K155" s="107" t="e">
        <f t="shared" si="11"/>
        <v>#REF!</v>
      </c>
    </row>
    <row r="156" spans="1:11" ht="15" customHeight="1" x14ac:dyDescent="0.2">
      <c r="A156" s="104" t="s">
        <v>205</v>
      </c>
      <c r="B156" s="104" t="s">
        <v>208</v>
      </c>
      <c r="C156" s="104" t="s">
        <v>45</v>
      </c>
      <c r="D156" s="104">
        <v>2040</v>
      </c>
      <c r="E156" s="105" t="e">
        <f>SUMIFS(#REF!,#REF!,$A156,#REF!,$B156,#REF!,$C156,#REF!,"Storage Demand")</f>
        <v>#REF!</v>
      </c>
      <c r="F156" s="105" t="e">
        <f>SUMIFS(#REF!,#REF!,$A156,#REF!,$B156,#REF!,$C156,#REF!,"&lt;&gt;Other Sector Demand")</f>
        <v>#REF!</v>
      </c>
      <c r="G156" s="106" t="e">
        <f t="shared" si="8"/>
        <v>#REF!</v>
      </c>
      <c r="H156" s="105" t="e">
        <f>SUMIFS(#REF!,#REF!,$A156,#REF!,$B156,#REF!,$C156,#REF!,"Other Sector Demand")</f>
        <v>#REF!</v>
      </c>
      <c r="I156" s="105" t="e">
        <f t="shared" si="9"/>
        <v>#REF!</v>
      </c>
      <c r="J156" s="106" t="e">
        <f t="shared" si="10"/>
        <v>#REF!</v>
      </c>
      <c r="K156" s="107" t="e">
        <f t="shared" si="11"/>
        <v>#REF!</v>
      </c>
    </row>
    <row r="157" spans="1:11" ht="15" customHeight="1" x14ac:dyDescent="0.2">
      <c r="A157" s="104" t="s">
        <v>205</v>
      </c>
      <c r="B157" s="104" t="s">
        <v>208</v>
      </c>
      <c r="C157" s="104" t="s">
        <v>45</v>
      </c>
      <c r="D157" s="104">
        <v>2050</v>
      </c>
      <c r="E157" s="105" t="e">
        <f>SUMIFS(#REF!,#REF!,$A157,#REF!,$B157,#REF!,$C157,#REF!,"Storage Demand")</f>
        <v>#REF!</v>
      </c>
      <c r="F157" s="105" t="e">
        <f>SUMIFS(#REF!,#REF!,$A157,#REF!,$B157,#REF!,$C157,#REF!,"&lt;&gt;Other Sector Demand")</f>
        <v>#REF!</v>
      </c>
      <c r="G157" s="106" t="e">
        <f t="shared" si="8"/>
        <v>#REF!</v>
      </c>
      <c r="H157" s="105" t="e">
        <f>SUMIFS(#REF!,#REF!,$A157,#REF!,$B157,#REF!,$C157,#REF!,"Other Sector Demand")</f>
        <v>#REF!</v>
      </c>
      <c r="I157" s="105" t="e">
        <f t="shared" si="9"/>
        <v>#REF!</v>
      </c>
      <c r="J157" s="106" t="e">
        <f t="shared" si="10"/>
        <v>#REF!</v>
      </c>
      <c r="K157" s="107" t="e">
        <f t="shared" si="11"/>
        <v>#REF!</v>
      </c>
    </row>
    <row r="158" spans="1:11" ht="15" customHeight="1" x14ac:dyDescent="0.2">
      <c r="A158" s="104" t="s">
        <v>205</v>
      </c>
      <c r="B158" s="104" t="s">
        <v>208</v>
      </c>
      <c r="C158" s="104" t="s">
        <v>46</v>
      </c>
      <c r="D158" s="104">
        <v>2020</v>
      </c>
      <c r="E158" s="105" t="e">
        <f>SUMIFS(#REF!,#REF!,$A158,#REF!,$B158,#REF!,$C158,#REF!,"Storage Demand")</f>
        <v>#REF!</v>
      </c>
      <c r="F158" s="105" t="e">
        <f>SUMIFS(#REF!,#REF!,$A158,#REF!,$B158,#REF!,$C158,#REF!,"&lt;&gt;Other Sector Demand")</f>
        <v>#REF!</v>
      </c>
      <c r="G158" s="106" t="e">
        <f t="shared" si="8"/>
        <v>#REF!</v>
      </c>
      <c r="H158" s="105" t="e">
        <f>SUMIFS(#REF!,#REF!,$A158,#REF!,$B158,#REF!,$C158,#REF!,"Other Sector Demand")</f>
        <v>#REF!</v>
      </c>
      <c r="I158" s="105" t="e">
        <f t="shared" si="9"/>
        <v>#REF!</v>
      </c>
      <c r="J158" s="106" t="e">
        <f t="shared" si="10"/>
        <v>#REF!</v>
      </c>
      <c r="K158" s="107" t="e">
        <f t="shared" si="11"/>
        <v>#REF!</v>
      </c>
    </row>
    <row r="159" spans="1:11" ht="15" customHeight="1" x14ac:dyDescent="0.2">
      <c r="A159" s="104" t="s">
        <v>205</v>
      </c>
      <c r="B159" s="104" t="s">
        <v>208</v>
      </c>
      <c r="C159" s="104" t="s">
        <v>46</v>
      </c>
      <c r="D159" s="104">
        <v>2030</v>
      </c>
      <c r="E159" s="105" t="e">
        <f>SUMIFS(#REF!,#REF!,$A159,#REF!,$B159,#REF!,$C159,#REF!,"Storage Demand")</f>
        <v>#REF!</v>
      </c>
      <c r="F159" s="105" t="e">
        <f>SUMIFS(#REF!,#REF!,$A159,#REF!,$B159,#REF!,$C159,#REF!,"&lt;&gt;Other Sector Demand")</f>
        <v>#REF!</v>
      </c>
      <c r="G159" s="106" t="e">
        <f t="shared" si="8"/>
        <v>#REF!</v>
      </c>
      <c r="H159" s="105" t="e">
        <f>SUMIFS(#REF!,#REF!,$A159,#REF!,$B159,#REF!,$C159,#REF!,"Other Sector Demand")</f>
        <v>#REF!</v>
      </c>
      <c r="I159" s="105" t="e">
        <f t="shared" si="9"/>
        <v>#REF!</v>
      </c>
      <c r="J159" s="106" t="e">
        <f t="shared" si="10"/>
        <v>#REF!</v>
      </c>
      <c r="K159" s="107" t="e">
        <f t="shared" si="11"/>
        <v>#REF!</v>
      </c>
    </row>
    <row r="160" spans="1:11" ht="15" customHeight="1" x14ac:dyDescent="0.2">
      <c r="A160" s="104" t="s">
        <v>205</v>
      </c>
      <c r="B160" s="104" t="s">
        <v>208</v>
      </c>
      <c r="C160" s="104" t="s">
        <v>46</v>
      </c>
      <c r="D160" s="104">
        <v>2040</v>
      </c>
      <c r="E160" s="105" t="e">
        <f>SUMIFS(#REF!,#REF!,$A160,#REF!,$B160,#REF!,$C160,#REF!,"Storage Demand")</f>
        <v>#REF!</v>
      </c>
      <c r="F160" s="105" t="e">
        <f>SUMIFS(#REF!,#REF!,$A160,#REF!,$B160,#REF!,$C160,#REF!,"&lt;&gt;Other Sector Demand")</f>
        <v>#REF!</v>
      </c>
      <c r="G160" s="106" t="e">
        <f t="shared" si="8"/>
        <v>#REF!</v>
      </c>
      <c r="H160" s="105" t="e">
        <f>SUMIFS(#REF!,#REF!,$A160,#REF!,$B160,#REF!,$C160,#REF!,"Other Sector Demand")</f>
        <v>#REF!</v>
      </c>
      <c r="I160" s="105" t="e">
        <f t="shared" si="9"/>
        <v>#REF!</v>
      </c>
      <c r="J160" s="106" t="e">
        <f t="shared" si="10"/>
        <v>#REF!</v>
      </c>
      <c r="K160" s="107" t="e">
        <f t="shared" si="11"/>
        <v>#REF!</v>
      </c>
    </row>
    <row r="161" spans="1:11" ht="15" customHeight="1" x14ac:dyDescent="0.2">
      <c r="A161" s="104" t="s">
        <v>205</v>
      </c>
      <c r="B161" s="104" t="s">
        <v>208</v>
      </c>
      <c r="C161" s="104" t="s">
        <v>46</v>
      </c>
      <c r="D161" s="104">
        <v>2050</v>
      </c>
      <c r="E161" s="105" t="e">
        <f>SUMIFS(#REF!,#REF!,$A161,#REF!,$B161,#REF!,$C161,#REF!,"Storage Demand")</f>
        <v>#REF!</v>
      </c>
      <c r="F161" s="105" t="e">
        <f>SUMIFS(#REF!,#REF!,$A161,#REF!,$B161,#REF!,$C161,#REF!,"&lt;&gt;Other Sector Demand")</f>
        <v>#REF!</v>
      </c>
      <c r="G161" s="106" t="e">
        <f t="shared" si="8"/>
        <v>#REF!</v>
      </c>
      <c r="H161" s="105" t="e">
        <f>SUMIFS(#REF!,#REF!,$A161,#REF!,$B161,#REF!,$C161,#REF!,"Other Sector Demand")</f>
        <v>#REF!</v>
      </c>
      <c r="I161" s="105" t="e">
        <f t="shared" si="9"/>
        <v>#REF!</v>
      </c>
      <c r="J161" s="106" t="e">
        <f t="shared" si="10"/>
        <v>#REF!</v>
      </c>
      <c r="K161" s="107" t="e">
        <f t="shared" si="11"/>
        <v>#REF!</v>
      </c>
    </row>
    <row r="162" spans="1:11" ht="15" customHeight="1" x14ac:dyDescent="0.2">
      <c r="A162" s="104" t="s">
        <v>205</v>
      </c>
      <c r="B162" s="104" t="s">
        <v>208</v>
      </c>
      <c r="C162" s="104" t="s">
        <v>47</v>
      </c>
      <c r="D162" s="104">
        <v>2020</v>
      </c>
      <c r="E162" s="105" t="e">
        <f>SUMIFS(#REF!,#REF!,$A162,#REF!,$B162,#REF!,$C162,#REF!,"Storage Demand")</f>
        <v>#REF!</v>
      </c>
      <c r="F162" s="105" t="e">
        <f>SUMIFS(#REF!,#REF!,$A162,#REF!,$B162,#REF!,$C162,#REF!,"&lt;&gt;Other Sector Demand")</f>
        <v>#REF!</v>
      </c>
      <c r="G162" s="106" t="e">
        <f t="shared" si="8"/>
        <v>#REF!</v>
      </c>
      <c r="H162" s="105" t="e">
        <f>SUMIFS(#REF!,#REF!,$A162,#REF!,$B162,#REF!,$C162,#REF!,"Other Sector Demand")</f>
        <v>#REF!</v>
      </c>
      <c r="I162" s="105" t="e">
        <f t="shared" si="9"/>
        <v>#REF!</v>
      </c>
      <c r="J162" s="106" t="e">
        <f t="shared" si="10"/>
        <v>#REF!</v>
      </c>
      <c r="K162" s="107" t="e">
        <f t="shared" si="11"/>
        <v>#REF!</v>
      </c>
    </row>
    <row r="163" spans="1:11" ht="15" customHeight="1" x14ac:dyDescent="0.2">
      <c r="A163" s="104" t="s">
        <v>205</v>
      </c>
      <c r="B163" s="104" t="s">
        <v>208</v>
      </c>
      <c r="C163" s="104" t="s">
        <v>47</v>
      </c>
      <c r="D163" s="104">
        <v>2030</v>
      </c>
      <c r="E163" s="105" t="e">
        <f>SUMIFS(#REF!,#REF!,$A163,#REF!,$B163,#REF!,$C163,#REF!,"Storage Demand")</f>
        <v>#REF!</v>
      </c>
      <c r="F163" s="105" t="e">
        <f>SUMIFS(#REF!,#REF!,$A163,#REF!,$B163,#REF!,$C163,#REF!,"&lt;&gt;Other Sector Demand")</f>
        <v>#REF!</v>
      </c>
      <c r="G163" s="106" t="e">
        <f t="shared" si="8"/>
        <v>#REF!</v>
      </c>
      <c r="H163" s="105" t="e">
        <f>SUMIFS(#REF!,#REF!,$A163,#REF!,$B163,#REF!,$C163,#REF!,"Other Sector Demand")</f>
        <v>#REF!</v>
      </c>
      <c r="I163" s="105" t="e">
        <f t="shared" si="9"/>
        <v>#REF!</v>
      </c>
      <c r="J163" s="106" t="e">
        <f t="shared" si="10"/>
        <v>#REF!</v>
      </c>
      <c r="K163" s="107" t="e">
        <f t="shared" si="11"/>
        <v>#REF!</v>
      </c>
    </row>
    <row r="164" spans="1:11" ht="15" customHeight="1" x14ac:dyDescent="0.2">
      <c r="A164" s="104" t="s">
        <v>205</v>
      </c>
      <c r="B164" s="104" t="s">
        <v>208</v>
      </c>
      <c r="C164" s="104" t="s">
        <v>47</v>
      </c>
      <c r="D164" s="104">
        <v>2040</v>
      </c>
      <c r="E164" s="105" t="e">
        <f>SUMIFS(#REF!,#REF!,$A164,#REF!,$B164,#REF!,$C164,#REF!,"Storage Demand")</f>
        <v>#REF!</v>
      </c>
      <c r="F164" s="105" t="e">
        <f>SUMIFS(#REF!,#REF!,$A164,#REF!,$B164,#REF!,$C164,#REF!,"&lt;&gt;Other Sector Demand")</f>
        <v>#REF!</v>
      </c>
      <c r="G164" s="106" t="e">
        <f t="shared" si="8"/>
        <v>#REF!</v>
      </c>
      <c r="H164" s="105" t="e">
        <f>SUMIFS(#REF!,#REF!,$A164,#REF!,$B164,#REF!,$C164,#REF!,"Other Sector Demand")</f>
        <v>#REF!</v>
      </c>
      <c r="I164" s="105" t="e">
        <f t="shared" si="9"/>
        <v>#REF!</v>
      </c>
      <c r="J164" s="106" t="e">
        <f t="shared" si="10"/>
        <v>#REF!</v>
      </c>
      <c r="K164" s="107" t="e">
        <f t="shared" si="11"/>
        <v>#REF!</v>
      </c>
    </row>
    <row r="165" spans="1:11" ht="15" customHeight="1" x14ac:dyDescent="0.2">
      <c r="A165" s="104" t="s">
        <v>205</v>
      </c>
      <c r="B165" s="104" t="s">
        <v>208</v>
      </c>
      <c r="C165" s="104" t="s">
        <v>47</v>
      </c>
      <c r="D165" s="104">
        <v>2050</v>
      </c>
      <c r="E165" s="105" t="e">
        <f>SUMIFS(#REF!,#REF!,$A165,#REF!,$B165,#REF!,$C165,#REF!,"Storage Demand")</f>
        <v>#REF!</v>
      </c>
      <c r="F165" s="105" t="e">
        <f>SUMIFS(#REF!,#REF!,$A165,#REF!,$B165,#REF!,$C165,#REF!,"&lt;&gt;Other Sector Demand")</f>
        <v>#REF!</v>
      </c>
      <c r="G165" s="106" t="e">
        <f t="shared" si="8"/>
        <v>#REF!</v>
      </c>
      <c r="H165" s="105" t="e">
        <f>SUMIFS(#REF!,#REF!,$A165,#REF!,$B165,#REF!,$C165,#REF!,"Other Sector Demand")</f>
        <v>#REF!</v>
      </c>
      <c r="I165" s="105" t="e">
        <f t="shared" si="9"/>
        <v>#REF!</v>
      </c>
      <c r="J165" s="106" t="e">
        <f t="shared" si="10"/>
        <v>#REF!</v>
      </c>
      <c r="K165" s="107" t="e">
        <f t="shared" si="11"/>
        <v>#REF!</v>
      </c>
    </row>
    <row r="166" spans="1:11" ht="15" customHeight="1" x14ac:dyDescent="0.2">
      <c r="A166" s="104" t="s">
        <v>205</v>
      </c>
      <c r="B166" s="104" t="s">
        <v>208</v>
      </c>
      <c r="C166" s="104" t="s">
        <v>49</v>
      </c>
      <c r="D166" s="104">
        <v>2020</v>
      </c>
      <c r="E166" s="105" t="e">
        <f>SUMIFS(#REF!,#REF!,$A166,#REF!,$B166,#REF!,$C166,#REF!,"Storage Demand")</f>
        <v>#REF!</v>
      </c>
      <c r="F166" s="105" t="e">
        <f>SUMIFS(#REF!,#REF!,$A166,#REF!,$B166,#REF!,$C166,#REF!,"&lt;&gt;Other Sector Demand")</f>
        <v>#REF!</v>
      </c>
      <c r="G166" s="106" t="e">
        <f t="shared" si="8"/>
        <v>#REF!</v>
      </c>
      <c r="H166" s="105" t="e">
        <f>SUMIFS(#REF!,#REF!,$A166,#REF!,$B166,#REF!,$C166,#REF!,"Other Sector Demand")</f>
        <v>#REF!</v>
      </c>
      <c r="I166" s="105" t="e">
        <f t="shared" si="9"/>
        <v>#REF!</v>
      </c>
      <c r="J166" s="106" t="e">
        <f t="shared" si="10"/>
        <v>#REF!</v>
      </c>
      <c r="K166" s="107" t="e">
        <f t="shared" si="11"/>
        <v>#REF!</v>
      </c>
    </row>
    <row r="167" spans="1:11" ht="15" customHeight="1" x14ac:dyDescent="0.2">
      <c r="A167" s="104" t="s">
        <v>205</v>
      </c>
      <c r="B167" s="104" t="s">
        <v>208</v>
      </c>
      <c r="C167" s="104" t="s">
        <v>49</v>
      </c>
      <c r="D167" s="104">
        <v>2030</v>
      </c>
      <c r="E167" s="105" t="e">
        <f>SUMIFS(#REF!,#REF!,$A167,#REF!,$B167,#REF!,$C167,#REF!,"Storage Demand")</f>
        <v>#REF!</v>
      </c>
      <c r="F167" s="105" t="e">
        <f>SUMIFS(#REF!,#REF!,$A167,#REF!,$B167,#REF!,$C167,#REF!,"&lt;&gt;Other Sector Demand")</f>
        <v>#REF!</v>
      </c>
      <c r="G167" s="106" t="e">
        <f t="shared" si="8"/>
        <v>#REF!</v>
      </c>
      <c r="H167" s="105" t="e">
        <f>SUMIFS(#REF!,#REF!,$A167,#REF!,$B167,#REF!,$C167,#REF!,"Other Sector Demand")</f>
        <v>#REF!</v>
      </c>
      <c r="I167" s="105" t="e">
        <f t="shared" si="9"/>
        <v>#REF!</v>
      </c>
      <c r="J167" s="106" t="e">
        <f t="shared" si="10"/>
        <v>#REF!</v>
      </c>
      <c r="K167" s="107" t="e">
        <f t="shared" si="11"/>
        <v>#REF!</v>
      </c>
    </row>
    <row r="168" spans="1:11" ht="15" customHeight="1" x14ac:dyDescent="0.2">
      <c r="A168" s="104" t="s">
        <v>205</v>
      </c>
      <c r="B168" s="104" t="s">
        <v>208</v>
      </c>
      <c r="C168" s="104" t="s">
        <v>49</v>
      </c>
      <c r="D168" s="104">
        <v>2040</v>
      </c>
      <c r="E168" s="105" t="e">
        <f>SUMIFS(#REF!,#REF!,$A168,#REF!,$B168,#REF!,$C168,#REF!,"Storage Demand")</f>
        <v>#REF!</v>
      </c>
      <c r="F168" s="105" t="e">
        <f>SUMIFS(#REF!,#REF!,$A168,#REF!,$B168,#REF!,$C168,#REF!,"&lt;&gt;Other Sector Demand")</f>
        <v>#REF!</v>
      </c>
      <c r="G168" s="106" t="e">
        <f t="shared" si="8"/>
        <v>#REF!</v>
      </c>
      <c r="H168" s="105" t="e">
        <f>SUMIFS(#REF!,#REF!,$A168,#REF!,$B168,#REF!,$C168,#REF!,"Other Sector Demand")</f>
        <v>#REF!</v>
      </c>
      <c r="I168" s="105" t="e">
        <f t="shared" si="9"/>
        <v>#REF!</v>
      </c>
      <c r="J168" s="106" t="e">
        <f t="shared" si="10"/>
        <v>#REF!</v>
      </c>
      <c r="K168" s="107" t="e">
        <f t="shared" si="11"/>
        <v>#REF!</v>
      </c>
    </row>
    <row r="169" spans="1:11" ht="15" customHeight="1" x14ac:dyDescent="0.2">
      <c r="A169" s="104" t="s">
        <v>205</v>
      </c>
      <c r="B169" s="104" t="s">
        <v>208</v>
      </c>
      <c r="C169" s="104" t="s">
        <v>49</v>
      </c>
      <c r="D169" s="104">
        <v>2050</v>
      </c>
      <c r="E169" s="105" t="e">
        <f>SUMIFS(#REF!,#REF!,$A169,#REF!,$B169,#REF!,$C169,#REF!,"Storage Demand")</f>
        <v>#REF!</v>
      </c>
      <c r="F169" s="105" t="e">
        <f>SUMIFS(#REF!,#REF!,$A169,#REF!,$B169,#REF!,$C169,#REF!,"&lt;&gt;Other Sector Demand")</f>
        <v>#REF!</v>
      </c>
      <c r="G169" s="106" t="e">
        <f t="shared" si="8"/>
        <v>#REF!</v>
      </c>
      <c r="H169" s="105" t="e">
        <f>SUMIFS(#REF!,#REF!,$A169,#REF!,$B169,#REF!,$C169,#REF!,"Other Sector Demand")</f>
        <v>#REF!</v>
      </c>
      <c r="I169" s="105" t="e">
        <f t="shared" si="9"/>
        <v>#REF!</v>
      </c>
      <c r="J169" s="106" t="e">
        <f t="shared" si="10"/>
        <v>#REF!</v>
      </c>
      <c r="K169" s="107" t="e">
        <f t="shared" si="11"/>
        <v>#REF!</v>
      </c>
    </row>
    <row r="170" spans="1:11" ht="15" customHeight="1" x14ac:dyDescent="0.2">
      <c r="A170" s="104" t="s">
        <v>205</v>
      </c>
      <c r="B170" s="104" t="s">
        <v>208</v>
      </c>
      <c r="C170" s="104" t="s">
        <v>50</v>
      </c>
      <c r="D170" s="104">
        <v>2020</v>
      </c>
      <c r="E170" s="105" t="e">
        <f>SUMIFS(#REF!,#REF!,$A170,#REF!,$B170,#REF!,$C170,#REF!,"Storage Demand")</f>
        <v>#REF!</v>
      </c>
      <c r="F170" s="105" t="e">
        <f>SUMIFS(#REF!,#REF!,$A170,#REF!,$B170,#REF!,$C170,#REF!,"&lt;&gt;Other Sector Demand")</f>
        <v>#REF!</v>
      </c>
      <c r="G170" s="106" t="e">
        <f t="shared" si="8"/>
        <v>#REF!</v>
      </c>
      <c r="H170" s="105" t="e">
        <f>SUMIFS(#REF!,#REF!,$A170,#REF!,$B170,#REF!,$C170,#REF!,"Other Sector Demand")</f>
        <v>#REF!</v>
      </c>
      <c r="I170" s="105" t="e">
        <f t="shared" si="9"/>
        <v>#REF!</v>
      </c>
      <c r="J170" s="106" t="e">
        <f t="shared" si="10"/>
        <v>#REF!</v>
      </c>
      <c r="K170" s="107" t="e">
        <f t="shared" si="11"/>
        <v>#REF!</v>
      </c>
    </row>
    <row r="171" spans="1:11" ht="15" customHeight="1" x14ac:dyDescent="0.2">
      <c r="A171" s="104" t="s">
        <v>205</v>
      </c>
      <c r="B171" s="104" t="s">
        <v>208</v>
      </c>
      <c r="C171" s="104" t="s">
        <v>50</v>
      </c>
      <c r="D171" s="104">
        <v>2030</v>
      </c>
      <c r="E171" s="105" t="e">
        <f>SUMIFS(#REF!,#REF!,$A171,#REF!,$B171,#REF!,$C171,#REF!,"Storage Demand")</f>
        <v>#REF!</v>
      </c>
      <c r="F171" s="105" t="e">
        <f>SUMIFS(#REF!,#REF!,$A171,#REF!,$B171,#REF!,$C171,#REF!,"&lt;&gt;Other Sector Demand")</f>
        <v>#REF!</v>
      </c>
      <c r="G171" s="106" t="e">
        <f t="shared" si="8"/>
        <v>#REF!</v>
      </c>
      <c r="H171" s="105" t="e">
        <f>SUMIFS(#REF!,#REF!,$A171,#REF!,$B171,#REF!,$C171,#REF!,"Other Sector Demand")</f>
        <v>#REF!</v>
      </c>
      <c r="I171" s="105" t="e">
        <f t="shared" si="9"/>
        <v>#REF!</v>
      </c>
      <c r="J171" s="106" t="e">
        <f t="shared" si="10"/>
        <v>#REF!</v>
      </c>
      <c r="K171" s="107" t="e">
        <f t="shared" si="11"/>
        <v>#REF!</v>
      </c>
    </row>
    <row r="172" spans="1:11" ht="15" customHeight="1" x14ac:dyDescent="0.2">
      <c r="A172" s="104" t="s">
        <v>205</v>
      </c>
      <c r="B172" s="104" t="s">
        <v>208</v>
      </c>
      <c r="C172" s="104" t="s">
        <v>50</v>
      </c>
      <c r="D172" s="104">
        <v>2040</v>
      </c>
      <c r="E172" s="105" t="e">
        <f>SUMIFS(#REF!,#REF!,$A172,#REF!,$B172,#REF!,$C172,#REF!,"Storage Demand")</f>
        <v>#REF!</v>
      </c>
      <c r="F172" s="105" t="e">
        <f>SUMIFS(#REF!,#REF!,$A172,#REF!,$B172,#REF!,$C172,#REF!,"&lt;&gt;Other Sector Demand")</f>
        <v>#REF!</v>
      </c>
      <c r="G172" s="106" t="e">
        <f t="shared" si="8"/>
        <v>#REF!</v>
      </c>
      <c r="H172" s="105" t="e">
        <f>SUMIFS(#REF!,#REF!,$A172,#REF!,$B172,#REF!,$C172,#REF!,"Other Sector Demand")</f>
        <v>#REF!</v>
      </c>
      <c r="I172" s="105" t="e">
        <f t="shared" si="9"/>
        <v>#REF!</v>
      </c>
      <c r="J172" s="106" t="e">
        <f t="shared" si="10"/>
        <v>#REF!</v>
      </c>
      <c r="K172" s="107" t="e">
        <f t="shared" si="11"/>
        <v>#REF!</v>
      </c>
    </row>
    <row r="173" spans="1:11" ht="15" customHeight="1" x14ac:dyDescent="0.2">
      <c r="A173" s="104" t="s">
        <v>205</v>
      </c>
      <c r="B173" s="104" t="s">
        <v>208</v>
      </c>
      <c r="C173" s="104" t="s">
        <v>50</v>
      </c>
      <c r="D173" s="104">
        <v>2050</v>
      </c>
      <c r="E173" s="105" t="e">
        <f>SUMIFS(#REF!,#REF!,$A173,#REF!,$B173,#REF!,$C173,#REF!,"Storage Demand")</f>
        <v>#REF!</v>
      </c>
      <c r="F173" s="105" t="e">
        <f>SUMIFS(#REF!,#REF!,$A173,#REF!,$B173,#REF!,$C173,#REF!,"&lt;&gt;Other Sector Demand")</f>
        <v>#REF!</v>
      </c>
      <c r="G173" s="106" t="e">
        <f t="shared" si="8"/>
        <v>#REF!</v>
      </c>
      <c r="H173" s="105" t="e">
        <f>SUMIFS(#REF!,#REF!,$A173,#REF!,$B173,#REF!,$C173,#REF!,"Other Sector Demand")</f>
        <v>#REF!</v>
      </c>
      <c r="I173" s="105" t="e">
        <f t="shared" si="9"/>
        <v>#REF!</v>
      </c>
      <c r="J173" s="106" t="e">
        <f t="shared" si="10"/>
        <v>#REF!</v>
      </c>
      <c r="K173" s="107" t="e">
        <f t="shared" si="11"/>
        <v>#REF!</v>
      </c>
    </row>
    <row r="174" spans="1:11" ht="15" customHeight="1" x14ac:dyDescent="0.2">
      <c r="A174" s="104" t="s">
        <v>205</v>
      </c>
      <c r="B174" s="104" t="s">
        <v>208</v>
      </c>
      <c r="C174" s="104" t="s">
        <v>52</v>
      </c>
      <c r="D174" s="104">
        <v>2020</v>
      </c>
      <c r="E174" s="105" t="e">
        <f>SUMIFS(#REF!,#REF!,$A174,#REF!,$B174,#REF!,$C174,#REF!,"Storage Demand")</f>
        <v>#REF!</v>
      </c>
      <c r="F174" s="105" t="e">
        <f>SUMIFS(#REF!,#REF!,$A174,#REF!,$B174,#REF!,$C174,#REF!,"&lt;&gt;Other Sector Demand")</f>
        <v>#REF!</v>
      </c>
      <c r="G174" s="106" t="e">
        <f t="shared" si="8"/>
        <v>#REF!</v>
      </c>
      <c r="H174" s="105" t="e">
        <f>SUMIFS(#REF!,#REF!,$A174,#REF!,$B174,#REF!,$C174,#REF!,"Other Sector Demand")</f>
        <v>#REF!</v>
      </c>
      <c r="I174" s="105" t="e">
        <f t="shared" si="9"/>
        <v>#REF!</v>
      </c>
      <c r="J174" s="106" t="e">
        <f t="shared" si="10"/>
        <v>#REF!</v>
      </c>
      <c r="K174" s="107" t="e">
        <f t="shared" si="11"/>
        <v>#REF!</v>
      </c>
    </row>
    <row r="175" spans="1:11" ht="15" customHeight="1" x14ac:dyDescent="0.2">
      <c r="A175" s="104" t="s">
        <v>205</v>
      </c>
      <c r="B175" s="104" t="s">
        <v>208</v>
      </c>
      <c r="C175" s="104" t="s">
        <v>52</v>
      </c>
      <c r="D175" s="104">
        <v>2030</v>
      </c>
      <c r="E175" s="105" t="e">
        <f>SUMIFS(#REF!,#REF!,$A175,#REF!,$B175,#REF!,$C175,#REF!,"Storage Demand")</f>
        <v>#REF!</v>
      </c>
      <c r="F175" s="105" t="e">
        <f>SUMIFS(#REF!,#REF!,$A175,#REF!,$B175,#REF!,$C175,#REF!,"&lt;&gt;Other Sector Demand")</f>
        <v>#REF!</v>
      </c>
      <c r="G175" s="106" t="e">
        <f t="shared" si="8"/>
        <v>#REF!</v>
      </c>
      <c r="H175" s="105" t="e">
        <f>SUMIFS(#REF!,#REF!,$A175,#REF!,$B175,#REF!,$C175,#REF!,"Other Sector Demand")</f>
        <v>#REF!</v>
      </c>
      <c r="I175" s="105" t="e">
        <f t="shared" si="9"/>
        <v>#REF!</v>
      </c>
      <c r="J175" s="106" t="e">
        <f t="shared" si="10"/>
        <v>#REF!</v>
      </c>
      <c r="K175" s="107" t="e">
        <f t="shared" si="11"/>
        <v>#REF!</v>
      </c>
    </row>
    <row r="176" spans="1:11" ht="15" customHeight="1" x14ac:dyDescent="0.2">
      <c r="A176" s="104" t="s">
        <v>205</v>
      </c>
      <c r="B176" s="104" t="s">
        <v>208</v>
      </c>
      <c r="C176" s="104" t="s">
        <v>52</v>
      </c>
      <c r="D176" s="104">
        <v>2040</v>
      </c>
      <c r="E176" s="105" t="e">
        <f>SUMIFS(#REF!,#REF!,$A176,#REF!,$B176,#REF!,$C176,#REF!,"Storage Demand")</f>
        <v>#REF!</v>
      </c>
      <c r="F176" s="105" t="e">
        <f>SUMIFS(#REF!,#REF!,$A176,#REF!,$B176,#REF!,$C176,#REF!,"&lt;&gt;Other Sector Demand")</f>
        <v>#REF!</v>
      </c>
      <c r="G176" s="106" t="e">
        <f t="shared" si="8"/>
        <v>#REF!</v>
      </c>
      <c r="H176" s="105" t="e">
        <f>SUMIFS(#REF!,#REF!,$A176,#REF!,$B176,#REF!,$C176,#REF!,"Other Sector Demand")</f>
        <v>#REF!</v>
      </c>
      <c r="I176" s="105" t="e">
        <f t="shared" si="9"/>
        <v>#REF!</v>
      </c>
      <c r="J176" s="106" t="e">
        <f t="shared" si="10"/>
        <v>#REF!</v>
      </c>
      <c r="K176" s="107" t="e">
        <f t="shared" si="11"/>
        <v>#REF!</v>
      </c>
    </row>
    <row r="177" spans="1:11" ht="15" customHeight="1" x14ac:dyDescent="0.2">
      <c r="A177" s="104" t="s">
        <v>205</v>
      </c>
      <c r="B177" s="104" t="s">
        <v>208</v>
      </c>
      <c r="C177" s="104" t="s">
        <v>52</v>
      </c>
      <c r="D177" s="104">
        <v>2050</v>
      </c>
      <c r="E177" s="105" t="e">
        <f>SUMIFS(#REF!,#REF!,$A177,#REF!,$B177,#REF!,$C177,#REF!,"Storage Demand")</f>
        <v>#REF!</v>
      </c>
      <c r="F177" s="105" t="e">
        <f>SUMIFS(#REF!,#REF!,$A177,#REF!,$B177,#REF!,$C177,#REF!,"&lt;&gt;Other Sector Demand")</f>
        <v>#REF!</v>
      </c>
      <c r="G177" s="106" t="e">
        <f t="shared" si="8"/>
        <v>#REF!</v>
      </c>
      <c r="H177" s="105" t="e">
        <f>SUMIFS(#REF!,#REF!,$A177,#REF!,$B177,#REF!,$C177,#REF!,"Other Sector Demand")</f>
        <v>#REF!</v>
      </c>
      <c r="I177" s="105" t="e">
        <f t="shared" si="9"/>
        <v>#REF!</v>
      </c>
      <c r="J177" s="106" t="e">
        <f t="shared" si="10"/>
        <v>#REF!</v>
      </c>
      <c r="K177" s="107" t="e">
        <f t="shared" si="11"/>
        <v>#REF!</v>
      </c>
    </row>
    <row r="178" spans="1:11" ht="15" customHeight="1" x14ac:dyDescent="0.2">
      <c r="A178" s="104" t="s">
        <v>205</v>
      </c>
      <c r="B178" s="104" t="s">
        <v>208</v>
      </c>
      <c r="C178" s="104" t="s">
        <v>53</v>
      </c>
      <c r="D178" s="104">
        <v>2020</v>
      </c>
      <c r="E178" s="105" t="e">
        <f>SUMIFS(#REF!,#REF!,$A178,#REF!,$B178,#REF!,$C178,#REF!,"Storage Demand")</f>
        <v>#REF!</v>
      </c>
      <c r="F178" s="105" t="e">
        <f>SUMIFS(#REF!,#REF!,$A178,#REF!,$B178,#REF!,$C178,#REF!,"&lt;&gt;Other Sector Demand")</f>
        <v>#REF!</v>
      </c>
      <c r="G178" s="106" t="e">
        <f t="shared" si="8"/>
        <v>#REF!</v>
      </c>
      <c r="H178" s="105" t="e">
        <f>SUMIFS(#REF!,#REF!,$A178,#REF!,$B178,#REF!,$C178,#REF!,"Other Sector Demand")</f>
        <v>#REF!</v>
      </c>
      <c r="I178" s="105" t="e">
        <f t="shared" si="9"/>
        <v>#REF!</v>
      </c>
      <c r="J178" s="106" t="e">
        <f t="shared" si="10"/>
        <v>#REF!</v>
      </c>
      <c r="K178" s="107" t="e">
        <f t="shared" si="11"/>
        <v>#REF!</v>
      </c>
    </row>
    <row r="179" spans="1:11" ht="15" customHeight="1" x14ac:dyDescent="0.2">
      <c r="A179" s="104" t="s">
        <v>205</v>
      </c>
      <c r="B179" s="104" t="s">
        <v>208</v>
      </c>
      <c r="C179" s="104" t="s">
        <v>53</v>
      </c>
      <c r="D179" s="104">
        <v>2030</v>
      </c>
      <c r="E179" s="105" t="e">
        <f>SUMIFS(#REF!,#REF!,$A179,#REF!,$B179,#REF!,$C179,#REF!,"Storage Demand")</f>
        <v>#REF!</v>
      </c>
      <c r="F179" s="105" t="e">
        <f>SUMIFS(#REF!,#REF!,$A179,#REF!,$B179,#REF!,$C179,#REF!,"&lt;&gt;Other Sector Demand")</f>
        <v>#REF!</v>
      </c>
      <c r="G179" s="106" t="e">
        <f t="shared" si="8"/>
        <v>#REF!</v>
      </c>
      <c r="H179" s="105" t="e">
        <f>SUMIFS(#REF!,#REF!,$A179,#REF!,$B179,#REF!,$C179,#REF!,"Other Sector Demand")</f>
        <v>#REF!</v>
      </c>
      <c r="I179" s="105" t="e">
        <f t="shared" si="9"/>
        <v>#REF!</v>
      </c>
      <c r="J179" s="106" t="e">
        <f t="shared" si="10"/>
        <v>#REF!</v>
      </c>
      <c r="K179" s="107" t="e">
        <f t="shared" si="11"/>
        <v>#REF!</v>
      </c>
    </row>
    <row r="180" spans="1:11" ht="15" customHeight="1" x14ac:dyDescent="0.2">
      <c r="A180" s="104" t="s">
        <v>205</v>
      </c>
      <c r="B180" s="104" t="s">
        <v>208</v>
      </c>
      <c r="C180" s="104" t="s">
        <v>53</v>
      </c>
      <c r="D180" s="104">
        <v>2040</v>
      </c>
      <c r="E180" s="105" t="e">
        <f>SUMIFS(#REF!,#REF!,$A180,#REF!,$B180,#REF!,$C180,#REF!,"Storage Demand")</f>
        <v>#REF!</v>
      </c>
      <c r="F180" s="105" t="e">
        <f>SUMIFS(#REF!,#REF!,$A180,#REF!,$B180,#REF!,$C180,#REF!,"&lt;&gt;Other Sector Demand")</f>
        <v>#REF!</v>
      </c>
      <c r="G180" s="106" t="e">
        <f t="shared" si="8"/>
        <v>#REF!</v>
      </c>
      <c r="H180" s="105" t="e">
        <f>SUMIFS(#REF!,#REF!,$A180,#REF!,$B180,#REF!,$C180,#REF!,"Other Sector Demand")</f>
        <v>#REF!</v>
      </c>
      <c r="I180" s="105" t="e">
        <f t="shared" si="9"/>
        <v>#REF!</v>
      </c>
      <c r="J180" s="106" t="e">
        <f t="shared" si="10"/>
        <v>#REF!</v>
      </c>
      <c r="K180" s="107" t="e">
        <f t="shared" si="11"/>
        <v>#REF!</v>
      </c>
    </row>
    <row r="181" spans="1:11" ht="15" customHeight="1" x14ac:dyDescent="0.2">
      <c r="A181" s="104" t="s">
        <v>205</v>
      </c>
      <c r="B181" s="104" t="s">
        <v>208</v>
      </c>
      <c r="C181" s="104" t="s">
        <v>53</v>
      </c>
      <c r="D181" s="104">
        <v>2050</v>
      </c>
      <c r="E181" s="105" t="e">
        <f>SUMIFS(#REF!,#REF!,$A181,#REF!,$B181,#REF!,$C181,#REF!,"Storage Demand")</f>
        <v>#REF!</v>
      </c>
      <c r="F181" s="105" t="e">
        <f>SUMIFS(#REF!,#REF!,$A181,#REF!,$B181,#REF!,$C181,#REF!,"&lt;&gt;Other Sector Demand")</f>
        <v>#REF!</v>
      </c>
      <c r="G181" s="106" t="e">
        <f t="shared" si="8"/>
        <v>#REF!</v>
      </c>
      <c r="H181" s="105" t="e">
        <f>SUMIFS(#REF!,#REF!,$A181,#REF!,$B181,#REF!,$C181,#REF!,"Other Sector Demand")</f>
        <v>#REF!</v>
      </c>
      <c r="I181" s="105" t="e">
        <f t="shared" si="9"/>
        <v>#REF!</v>
      </c>
      <c r="J181" s="106" t="e">
        <f t="shared" si="10"/>
        <v>#REF!</v>
      </c>
      <c r="K181" s="107" t="e">
        <f t="shared" si="11"/>
        <v>#REF!</v>
      </c>
    </row>
    <row r="182" spans="1:11" ht="15" customHeight="1" x14ac:dyDescent="0.2">
      <c r="A182" s="104" t="s">
        <v>205</v>
      </c>
      <c r="B182" s="104" t="s">
        <v>208</v>
      </c>
      <c r="C182" s="104" t="s">
        <v>55</v>
      </c>
      <c r="D182" s="104">
        <v>2020</v>
      </c>
      <c r="E182" s="105" t="e">
        <f>SUMIFS(#REF!,#REF!,$A182,#REF!,$B182,#REF!,$C182,#REF!,"Storage Demand")</f>
        <v>#REF!</v>
      </c>
      <c r="F182" s="105" t="e">
        <f>SUMIFS(#REF!,#REF!,$A182,#REF!,$B182,#REF!,$C182,#REF!,"&lt;&gt;Other Sector Demand")</f>
        <v>#REF!</v>
      </c>
      <c r="G182" s="106" t="e">
        <f t="shared" si="8"/>
        <v>#REF!</v>
      </c>
      <c r="H182" s="105" t="e">
        <f>SUMIFS(#REF!,#REF!,$A182,#REF!,$B182,#REF!,$C182,#REF!,"Other Sector Demand")</f>
        <v>#REF!</v>
      </c>
      <c r="I182" s="105" t="e">
        <f t="shared" si="9"/>
        <v>#REF!</v>
      </c>
      <c r="J182" s="106" t="e">
        <f t="shared" si="10"/>
        <v>#REF!</v>
      </c>
      <c r="K182" s="107" t="e">
        <f t="shared" si="11"/>
        <v>#REF!</v>
      </c>
    </row>
    <row r="183" spans="1:11" ht="15" customHeight="1" x14ac:dyDescent="0.2">
      <c r="A183" s="104" t="s">
        <v>205</v>
      </c>
      <c r="B183" s="104" t="s">
        <v>208</v>
      </c>
      <c r="C183" s="104" t="s">
        <v>55</v>
      </c>
      <c r="D183" s="104">
        <v>2030</v>
      </c>
      <c r="E183" s="105" t="e">
        <f>SUMIFS(#REF!,#REF!,$A183,#REF!,$B183,#REF!,$C183,#REF!,"Storage Demand")</f>
        <v>#REF!</v>
      </c>
      <c r="F183" s="105" t="e">
        <f>SUMIFS(#REF!,#REF!,$A183,#REF!,$B183,#REF!,$C183,#REF!,"&lt;&gt;Other Sector Demand")</f>
        <v>#REF!</v>
      </c>
      <c r="G183" s="106" t="e">
        <f t="shared" si="8"/>
        <v>#REF!</v>
      </c>
      <c r="H183" s="105" t="e">
        <f>SUMIFS(#REF!,#REF!,$A183,#REF!,$B183,#REF!,$C183,#REF!,"Other Sector Demand")</f>
        <v>#REF!</v>
      </c>
      <c r="I183" s="105" t="e">
        <f t="shared" si="9"/>
        <v>#REF!</v>
      </c>
      <c r="J183" s="106" t="e">
        <f t="shared" si="10"/>
        <v>#REF!</v>
      </c>
      <c r="K183" s="107" t="e">
        <f t="shared" si="11"/>
        <v>#REF!</v>
      </c>
    </row>
    <row r="184" spans="1:11" ht="15" customHeight="1" x14ac:dyDescent="0.2">
      <c r="A184" s="104" t="s">
        <v>205</v>
      </c>
      <c r="B184" s="104" t="s">
        <v>208</v>
      </c>
      <c r="C184" s="104" t="s">
        <v>55</v>
      </c>
      <c r="D184" s="104">
        <v>2040</v>
      </c>
      <c r="E184" s="105" t="e">
        <f>SUMIFS(#REF!,#REF!,$A184,#REF!,$B184,#REF!,$C184,#REF!,"Storage Demand")</f>
        <v>#REF!</v>
      </c>
      <c r="F184" s="105" t="e">
        <f>SUMIFS(#REF!,#REF!,$A184,#REF!,$B184,#REF!,$C184,#REF!,"&lt;&gt;Other Sector Demand")</f>
        <v>#REF!</v>
      </c>
      <c r="G184" s="106" t="e">
        <f t="shared" si="8"/>
        <v>#REF!</v>
      </c>
      <c r="H184" s="105" t="e">
        <f>SUMIFS(#REF!,#REF!,$A184,#REF!,$B184,#REF!,$C184,#REF!,"Other Sector Demand")</f>
        <v>#REF!</v>
      </c>
      <c r="I184" s="105" t="e">
        <f t="shared" si="9"/>
        <v>#REF!</v>
      </c>
      <c r="J184" s="106" t="e">
        <f t="shared" si="10"/>
        <v>#REF!</v>
      </c>
      <c r="K184" s="107" t="e">
        <f t="shared" si="11"/>
        <v>#REF!</v>
      </c>
    </row>
    <row r="185" spans="1:11" ht="15" customHeight="1" x14ac:dyDescent="0.2">
      <c r="A185" s="104" t="s">
        <v>205</v>
      </c>
      <c r="B185" s="104" t="s">
        <v>208</v>
      </c>
      <c r="C185" s="104" t="s">
        <v>55</v>
      </c>
      <c r="D185" s="104">
        <v>2050</v>
      </c>
      <c r="E185" s="105" t="e">
        <f>SUMIFS(#REF!,#REF!,$A185,#REF!,$B185,#REF!,$C185,#REF!,"Storage Demand")</f>
        <v>#REF!</v>
      </c>
      <c r="F185" s="105" t="e">
        <f>SUMIFS(#REF!,#REF!,$A185,#REF!,$B185,#REF!,$C185,#REF!,"&lt;&gt;Other Sector Demand")</f>
        <v>#REF!</v>
      </c>
      <c r="G185" s="106" t="e">
        <f t="shared" si="8"/>
        <v>#REF!</v>
      </c>
      <c r="H185" s="105" t="e">
        <f>SUMIFS(#REF!,#REF!,$A185,#REF!,$B185,#REF!,$C185,#REF!,"Other Sector Demand")</f>
        <v>#REF!</v>
      </c>
      <c r="I185" s="105" t="e">
        <f t="shared" si="9"/>
        <v>#REF!</v>
      </c>
      <c r="J185" s="106" t="e">
        <f t="shared" si="10"/>
        <v>#REF!</v>
      </c>
      <c r="K185" s="107" t="e">
        <f t="shared" si="11"/>
        <v>#REF!</v>
      </c>
    </row>
    <row r="186" spans="1:11" ht="15" customHeight="1" x14ac:dyDescent="0.2">
      <c r="A186" s="104" t="s">
        <v>205</v>
      </c>
      <c r="B186" s="104" t="s">
        <v>208</v>
      </c>
      <c r="C186" s="104" t="s">
        <v>57</v>
      </c>
      <c r="D186" s="104">
        <v>2020</v>
      </c>
      <c r="E186" s="105" t="e">
        <f>SUMIFS(#REF!,#REF!,$A186,#REF!,$B186,#REF!,$C186,#REF!,"Storage Demand")</f>
        <v>#REF!</v>
      </c>
      <c r="F186" s="105" t="e">
        <f>SUMIFS(#REF!,#REF!,$A186,#REF!,$B186,#REF!,$C186,#REF!,"&lt;&gt;Other Sector Demand")</f>
        <v>#REF!</v>
      </c>
      <c r="G186" s="106" t="e">
        <f t="shared" si="8"/>
        <v>#REF!</v>
      </c>
      <c r="H186" s="105" t="e">
        <f>SUMIFS(#REF!,#REF!,$A186,#REF!,$B186,#REF!,$C186,#REF!,"Other Sector Demand")</f>
        <v>#REF!</v>
      </c>
      <c r="I186" s="105" t="e">
        <f t="shared" si="9"/>
        <v>#REF!</v>
      </c>
      <c r="J186" s="106" t="e">
        <f t="shared" si="10"/>
        <v>#REF!</v>
      </c>
      <c r="K186" s="107" t="e">
        <f t="shared" si="11"/>
        <v>#REF!</v>
      </c>
    </row>
    <row r="187" spans="1:11" ht="15" customHeight="1" x14ac:dyDescent="0.2">
      <c r="A187" s="104" t="s">
        <v>205</v>
      </c>
      <c r="B187" s="104" t="s">
        <v>208</v>
      </c>
      <c r="C187" s="104" t="s">
        <v>57</v>
      </c>
      <c r="D187" s="104">
        <v>2030</v>
      </c>
      <c r="E187" s="105" t="e">
        <f>SUMIFS(#REF!,#REF!,$A187,#REF!,$B187,#REF!,$C187,#REF!,"Storage Demand")</f>
        <v>#REF!</v>
      </c>
      <c r="F187" s="105" t="e">
        <f>SUMIFS(#REF!,#REF!,$A187,#REF!,$B187,#REF!,$C187,#REF!,"&lt;&gt;Other Sector Demand")</f>
        <v>#REF!</v>
      </c>
      <c r="G187" s="106" t="e">
        <f t="shared" si="8"/>
        <v>#REF!</v>
      </c>
      <c r="H187" s="105" t="e">
        <f>SUMIFS(#REF!,#REF!,$A187,#REF!,$B187,#REF!,$C187,#REF!,"Other Sector Demand")</f>
        <v>#REF!</v>
      </c>
      <c r="I187" s="105" t="e">
        <f t="shared" si="9"/>
        <v>#REF!</v>
      </c>
      <c r="J187" s="106" t="e">
        <f t="shared" si="10"/>
        <v>#REF!</v>
      </c>
      <c r="K187" s="107" t="e">
        <f t="shared" si="11"/>
        <v>#REF!</v>
      </c>
    </row>
    <row r="188" spans="1:11" ht="15" customHeight="1" x14ac:dyDescent="0.2">
      <c r="A188" s="104" t="s">
        <v>205</v>
      </c>
      <c r="B188" s="104" t="s">
        <v>208</v>
      </c>
      <c r="C188" s="104" t="s">
        <v>57</v>
      </c>
      <c r="D188" s="104">
        <v>2040</v>
      </c>
      <c r="E188" s="105" t="e">
        <f>SUMIFS(#REF!,#REF!,$A188,#REF!,$B188,#REF!,$C188,#REF!,"Storage Demand")</f>
        <v>#REF!</v>
      </c>
      <c r="F188" s="105" t="e">
        <f>SUMIFS(#REF!,#REF!,$A188,#REF!,$B188,#REF!,$C188,#REF!,"&lt;&gt;Other Sector Demand")</f>
        <v>#REF!</v>
      </c>
      <c r="G188" s="106" t="e">
        <f t="shared" si="8"/>
        <v>#REF!</v>
      </c>
      <c r="H188" s="105" t="e">
        <f>SUMIFS(#REF!,#REF!,$A188,#REF!,$B188,#REF!,$C188,#REF!,"Other Sector Demand")</f>
        <v>#REF!</v>
      </c>
      <c r="I188" s="105" t="e">
        <f t="shared" si="9"/>
        <v>#REF!</v>
      </c>
      <c r="J188" s="106" t="e">
        <f t="shared" si="10"/>
        <v>#REF!</v>
      </c>
      <c r="K188" s="107" t="e">
        <f t="shared" si="11"/>
        <v>#REF!</v>
      </c>
    </row>
    <row r="189" spans="1:11" ht="15" customHeight="1" x14ac:dyDescent="0.2">
      <c r="A189" s="104" t="s">
        <v>205</v>
      </c>
      <c r="B189" s="104" t="s">
        <v>208</v>
      </c>
      <c r="C189" s="104" t="s">
        <v>57</v>
      </c>
      <c r="D189" s="104">
        <v>2050</v>
      </c>
      <c r="E189" s="105" t="e">
        <f>SUMIFS(#REF!,#REF!,$A189,#REF!,$B189,#REF!,$C189,#REF!,"Storage Demand")</f>
        <v>#REF!</v>
      </c>
      <c r="F189" s="105" t="e">
        <f>SUMIFS(#REF!,#REF!,$A189,#REF!,$B189,#REF!,$C189,#REF!,"&lt;&gt;Other Sector Demand")</f>
        <v>#REF!</v>
      </c>
      <c r="G189" s="106" t="e">
        <f t="shared" si="8"/>
        <v>#REF!</v>
      </c>
      <c r="H189" s="105" t="e">
        <f>SUMIFS(#REF!,#REF!,$A189,#REF!,$B189,#REF!,$C189,#REF!,"Other Sector Demand")</f>
        <v>#REF!</v>
      </c>
      <c r="I189" s="105" t="e">
        <f t="shared" si="9"/>
        <v>#REF!</v>
      </c>
      <c r="J189" s="106" t="e">
        <f t="shared" si="10"/>
        <v>#REF!</v>
      </c>
      <c r="K189" s="107" t="e">
        <f t="shared" si="11"/>
        <v>#REF!</v>
      </c>
    </row>
    <row r="190" spans="1:11" ht="15" customHeight="1" x14ac:dyDescent="0.2">
      <c r="A190" s="104" t="s">
        <v>205</v>
      </c>
      <c r="B190" s="104" t="s">
        <v>208</v>
      </c>
      <c r="C190" s="104" t="s">
        <v>58</v>
      </c>
      <c r="D190" s="104">
        <v>2020</v>
      </c>
      <c r="E190" s="105" t="e">
        <f>SUMIFS(#REF!,#REF!,$A190,#REF!,$B190,#REF!,$C190,#REF!,"Storage Demand")</f>
        <v>#REF!</v>
      </c>
      <c r="F190" s="105" t="e">
        <f>SUMIFS(#REF!,#REF!,$A190,#REF!,$B190,#REF!,$C190,#REF!,"&lt;&gt;Other Sector Demand")</f>
        <v>#REF!</v>
      </c>
      <c r="G190" s="106" t="e">
        <f t="shared" si="8"/>
        <v>#REF!</v>
      </c>
      <c r="H190" s="105" t="e">
        <f>SUMIFS(#REF!,#REF!,$A190,#REF!,$B190,#REF!,$C190,#REF!,"Other Sector Demand")</f>
        <v>#REF!</v>
      </c>
      <c r="I190" s="105" t="e">
        <f t="shared" si="9"/>
        <v>#REF!</v>
      </c>
      <c r="J190" s="106" t="e">
        <f t="shared" si="10"/>
        <v>#REF!</v>
      </c>
      <c r="K190" s="107" t="e">
        <f t="shared" si="11"/>
        <v>#REF!</v>
      </c>
    </row>
    <row r="191" spans="1:11" ht="15" customHeight="1" x14ac:dyDescent="0.2">
      <c r="A191" s="104" t="s">
        <v>205</v>
      </c>
      <c r="B191" s="104" t="s">
        <v>208</v>
      </c>
      <c r="C191" s="104" t="s">
        <v>58</v>
      </c>
      <c r="D191" s="104">
        <v>2030</v>
      </c>
      <c r="E191" s="105" t="e">
        <f>SUMIFS(#REF!,#REF!,$A191,#REF!,$B191,#REF!,$C191,#REF!,"Storage Demand")</f>
        <v>#REF!</v>
      </c>
      <c r="F191" s="105" t="e">
        <f>SUMIFS(#REF!,#REF!,$A191,#REF!,$B191,#REF!,$C191,#REF!,"&lt;&gt;Other Sector Demand")</f>
        <v>#REF!</v>
      </c>
      <c r="G191" s="106" t="e">
        <f t="shared" si="8"/>
        <v>#REF!</v>
      </c>
      <c r="H191" s="105" t="e">
        <f>SUMIFS(#REF!,#REF!,$A191,#REF!,$B191,#REF!,$C191,#REF!,"Other Sector Demand")</f>
        <v>#REF!</v>
      </c>
      <c r="I191" s="105" t="e">
        <f t="shared" si="9"/>
        <v>#REF!</v>
      </c>
      <c r="J191" s="106" t="e">
        <f t="shared" si="10"/>
        <v>#REF!</v>
      </c>
      <c r="K191" s="107" t="e">
        <f t="shared" si="11"/>
        <v>#REF!</v>
      </c>
    </row>
    <row r="192" spans="1:11" ht="15" customHeight="1" x14ac:dyDescent="0.2">
      <c r="A192" s="104" t="s">
        <v>205</v>
      </c>
      <c r="B192" s="104" t="s">
        <v>208</v>
      </c>
      <c r="C192" s="104" t="s">
        <v>58</v>
      </c>
      <c r="D192" s="104">
        <v>2040</v>
      </c>
      <c r="E192" s="105" t="e">
        <f>SUMIFS(#REF!,#REF!,$A192,#REF!,$B192,#REF!,$C192,#REF!,"Storage Demand")</f>
        <v>#REF!</v>
      </c>
      <c r="F192" s="105" t="e">
        <f>SUMIFS(#REF!,#REF!,$A192,#REF!,$B192,#REF!,$C192,#REF!,"&lt;&gt;Other Sector Demand")</f>
        <v>#REF!</v>
      </c>
      <c r="G192" s="106" t="e">
        <f t="shared" si="8"/>
        <v>#REF!</v>
      </c>
      <c r="H192" s="105" t="e">
        <f>SUMIFS(#REF!,#REF!,$A192,#REF!,$B192,#REF!,$C192,#REF!,"Other Sector Demand")</f>
        <v>#REF!</v>
      </c>
      <c r="I192" s="105" t="e">
        <f t="shared" si="9"/>
        <v>#REF!</v>
      </c>
      <c r="J192" s="106" t="e">
        <f t="shared" si="10"/>
        <v>#REF!</v>
      </c>
      <c r="K192" s="107" t="e">
        <f t="shared" si="11"/>
        <v>#REF!</v>
      </c>
    </row>
    <row r="193" spans="1:11" ht="15" customHeight="1" x14ac:dyDescent="0.2">
      <c r="A193" s="104" t="s">
        <v>205</v>
      </c>
      <c r="B193" s="104" t="s">
        <v>208</v>
      </c>
      <c r="C193" s="104" t="s">
        <v>58</v>
      </c>
      <c r="D193" s="104">
        <v>2050</v>
      </c>
      <c r="E193" s="105" t="e">
        <f>SUMIFS(#REF!,#REF!,$A193,#REF!,$B193,#REF!,$C193,#REF!,"Storage Demand")</f>
        <v>#REF!</v>
      </c>
      <c r="F193" s="105" t="e">
        <f>SUMIFS(#REF!,#REF!,$A193,#REF!,$B193,#REF!,$C193,#REF!,"&lt;&gt;Other Sector Demand")</f>
        <v>#REF!</v>
      </c>
      <c r="G193" s="106" t="e">
        <f t="shared" si="8"/>
        <v>#REF!</v>
      </c>
      <c r="H193" s="105" t="e">
        <f>SUMIFS(#REF!,#REF!,$A193,#REF!,$B193,#REF!,$C193,#REF!,"Other Sector Demand")</f>
        <v>#REF!</v>
      </c>
      <c r="I193" s="105" t="e">
        <f t="shared" si="9"/>
        <v>#REF!</v>
      </c>
      <c r="J193" s="106" t="e">
        <f t="shared" si="10"/>
        <v>#REF!</v>
      </c>
      <c r="K193" s="107" t="e">
        <f t="shared" si="11"/>
        <v>#REF!</v>
      </c>
    </row>
    <row r="194" spans="1:11" ht="15" customHeight="1" x14ac:dyDescent="0.2">
      <c r="A194" s="104" t="s">
        <v>205</v>
      </c>
      <c r="B194" s="104" t="s">
        <v>208</v>
      </c>
      <c r="C194" s="104" t="s">
        <v>59</v>
      </c>
      <c r="D194" s="104">
        <v>2020</v>
      </c>
      <c r="E194" s="105" t="e">
        <f>SUMIFS(#REF!,#REF!,$A194,#REF!,$B194,#REF!,$C194,#REF!,"Storage Demand")</f>
        <v>#REF!</v>
      </c>
      <c r="F194" s="105" t="e">
        <f>SUMIFS(#REF!,#REF!,$A194,#REF!,$B194,#REF!,$C194,#REF!,"&lt;&gt;Other Sector Demand")</f>
        <v>#REF!</v>
      </c>
      <c r="G194" s="106" t="e">
        <f t="shared" ref="G194:G257" si="12">IF($F194=0,0,$E194/$F194)</f>
        <v>#REF!</v>
      </c>
      <c r="H194" s="105" t="e">
        <f>SUMIFS(#REF!,#REF!,$A194,#REF!,$B194,#REF!,$C194,#REF!,"Other Sector Demand")</f>
        <v>#REF!</v>
      </c>
      <c r="I194" s="105" t="e">
        <f t="shared" ref="I194:I257" si="13">$F194+$H194</f>
        <v>#REF!</v>
      </c>
      <c r="J194" s="106" t="e">
        <f t="shared" ref="J194:J257" si="14">IF($I194=0,0,$E194/$I194)</f>
        <v>#REF!</v>
      </c>
      <c r="K194" s="107" t="e">
        <f t="shared" ref="K194:K257" si="15">IF(SUMIFS($F$2:$F$1025,$A$2:$A$1025,$A194,$B$2:$B$1025,$B194,$C$2:$C$1025,$C194)=0,0,SUMIFS($E$2:$E$1025,$A$2:$A$1025,$A194,$B$2:$B$1025,$B194,$C$2:$C$1025,$C194)/SUMIFS($F$2:$F$1025,$A$2:$A$1025,$A194,$B$2:$B$1025,$B194,$C$2:$C$1025,$C194))</f>
        <v>#REF!</v>
      </c>
    </row>
    <row r="195" spans="1:11" ht="15" customHeight="1" x14ac:dyDescent="0.2">
      <c r="A195" s="104" t="s">
        <v>205</v>
      </c>
      <c r="B195" s="104" t="s">
        <v>208</v>
      </c>
      <c r="C195" s="104" t="s">
        <v>59</v>
      </c>
      <c r="D195" s="104">
        <v>2030</v>
      </c>
      <c r="E195" s="105" t="e">
        <f>SUMIFS(#REF!,#REF!,$A195,#REF!,$B195,#REF!,$C195,#REF!,"Storage Demand")</f>
        <v>#REF!</v>
      </c>
      <c r="F195" s="105" t="e">
        <f>SUMIFS(#REF!,#REF!,$A195,#REF!,$B195,#REF!,$C195,#REF!,"&lt;&gt;Other Sector Demand")</f>
        <v>#REF!</v>
      </c>
      <c r="G195" s="106" t="e">
        <f t="shared" si="12"/>
        <v>#REF!</v>
      </c>
      <c r="H195" s="105" t="e">
        <f>SUMIFS(#REF!,#REF!,$A195,#REF!,$B195,#REF!,$C195,#REF!,"Other Sector Demand")</f>
        <v>#REF!</v>
      </c>
      <c r="I195" s="105" t="e">
        <f t="shared" si="13"/>
        <v>#REF!</v>
      </c>
      <c r="J195" s="106" t="e">
        <f t="shared" si="14"/>
        <v>#REF!</v>
      </c>
      <c r="K195" s="107" t="e">
        <f t="shared" si="15"/>
        <v>#REF!</v>
      </c>
    </row>
    <row r="196" spans="1:11" ht="15" customHeight="1" x14ac:dyDescent="0.2">
      <c r="A196" s="104" t="s">
        <v>205</v>
      </c>
      <c r="B196" s="104" t="s">
        <v>208</v>
      </c>
      <c r="C196" s="104" t="s">
        <v>59</v>
      </c>
      <c r="D196" s="104">
        <v>2040</v>
      </c>
      <c r="E196" s="105" t="e">
        <f>SUMIFS(#REF!,#REF!,$A196,#REF!,$B196,#REF!,$C196,#REF!,"Storage Demand")</f>
        <v>#REF!</v>
      </c>
      <c r="F196" s="105" t="e">
        <f>SUMIFS(#REF!,#REF!,$A196,#REF!,$B196,#REF!,$C196,#REF!,"&lt;&gt;Other Sector Demand")</f>
        <v>#REF!</v>
      </c>
      <c r="G196" s="106" t="e">
        <f t="shared" si="12"/>
        <v>#REF!</v>
      </c>
      <c r="H196" s="105" t="e">
        <f>SUMIFS(#REF!,#REF!,$A196,#REF!,$B196,#REF!,$C196,#REF!,"Other Sector Demand")</f>
        <v>#REF!</v>
      </c>
      <c r="I196" s="105" t="e">
        <f t="shared" si="13"/>
        <v>#REF!</v>
      </c>
      <c r="J196" s="106" t="e">
        <f t="shared" si="14"/>
        <v>#REF!</v>
      </c>
      <c r="K196" s="107" t="e">
        <f t="shared" si="15"/>
        <v>#REF!</v>
      </c>
    </row>
    <row r="197" spans="1:11" ht="15" customHeight="1" x14ac:dyDescent="0.2">
      <c r="A197" s="104" t="s">
        <v>205</v>
      </c>
      <c r="B197" s="104" t="s">
        <v>208</v>
      </c>
      <c r="C197" s="104" t="s">
        <v>59</v>
      </c>
      <c r="D197" s="104">
        <v>2050</v>
      </c>
      <c r="E197" s="105" t="e">
        <f>SUMIFS(#REF!,#REF!,$A197,#REF!,$B197,#REF!,$C197,#REF!,"Storage Demand")</f>
        <v>#REF!</v>
      </c>
      <c r="F197" s="105" t="e">
        <f>SUMIFS(#REF!,#REF!,$A197,#REF!,$B197,#REF!,$C197,#REF!,"&lt;&gt;Other Sector Demand")</f>
        <v>#REF!</v>
      </c>
      <c r="G197" s="106" t="e">
        <f t="shared" si="12"/>
        <v>#REF!</v>
      </c>
      <c r="H197" s="105" t="e">
        <f>SUMIFS(#REF!,#REF!,$A197,#REF!,$B197,#REF!,$C197,#REF!,"Other Sector Demand")</f>
        <v>#REF!</v>
      </c>
      <c r="I197" s="105" t="e">
        <f t="shared" si="13"/>
        <v>#REF!</v>
      </c>
      <c r="J197" s="106" t="e">
        <f t="shared" si="14"/>
        <v>#REF!</v>
      </c>
      <c r="K197" s="107" t="e">
        <f t="shared" si="15"/>
        <v>#REF!</v>
      </c>
    </row>
    <row r="198" spans="1:11" ht="15" customHeight="1" x14ac:dyDescent="0.2">
      <c r="A198" s="104" t="s">
        <v>205</v>
      </c>
      <c r="B198" s="104" t="s">
        <v>208</v>
      </c>
      <c r="C198" s="104" t="s">
        <v>60</v>
      </c>
      <c r="D198" s="104">
        <v>2020</v>
      </c>
      <c r="E198" s="105" t="e">
        <f>SUMIFS(#REF!,#REF!,$A198,#REF!,$B198,#REF!,$C198,#REF!,"Storage Demand")</f>
        <v>#REF!</v>
      </c>
      <c r="F198" s="105" t="e">
        <f>SUMIFS(#REF!,#REF!,$A198,#REF!,$B198,#REF!,$C198,#REF!,"&lt;&gt;Other Sector Demand")</f>
        <v>#REF!</v>
      </c>
      <c r="G198" s="106" t="e">
        <f t="shared" si="12"/>
        <v>#REF!</v>
      </c>
      <c r="H198" s="105" t="e">
        <f>SUMIFS(#REF!,#REF!,$A198,#REF!,$B198,#REF!,$C198,#REF!,"Other Sector Demand")</f>
        <v>#REF!</v>
      </c>
      <c r="I198" s="105" t="e">
        <f t="shared" si="13"/>
        <v>#REF!</v>
      </c>
      <c r="J198" s="106" t="e">
        <f t="shared" si="14"/>
        <v>#REF!</v>
      </c>
      <c r="K198" s="107" t="e">
        <f t="shared" si="15"/>
        <v>#REF!</v>
      </c>
    </row>
    <row r="199" spans="1:11" ht="15" customHeight="1" x14ac:dyDescent="0.2">
      <c r="A199" s="104" t="s">
        <v>205</v>
      </c>
      <c r="B199" s="104" t="s">
        <v>208</v>
      </c>
      <c r="C199" s="104" t="s">
        <v>60</v>
      </c>
      <c r="D199" s="104">
        <v>2030</v>
      </c>
      <c r="E199" s="105" t="e">
        <f>SUMIFS(#REF!,#REF!,$A199,#REF!,$B199,#REF!,$C199,#REF!,"Storage Demand")</f>
        <v>#REF!</v>
      </c>
      <c r="F199" s="105" t="e">
        <f>SUMIFS(#REF!,#REF!,$A199,#REF!,$B199,#REF!,$C199,#REF!,"&lt;&gt;Other Sector Demand")</f>
        <v>#REF!</v>
      </c>
      <c r="G199" s="106" t="e">
        <f t="shared" si="12"/>
        <v>#REF!</v>
      </c>
      <c r="H199" s="105" t="e">
        <f>SUMIFS(#REF!,#REF!,$A199,#REF!,$B199,#REF!,$C199,#REF!,"Other Sector Demand")</f>
        <v>#REF!</v>
      </c>
      <c r="I199" s="105" t="e">
        <f t="shared" si="13"/>
        <v>#REF!</v>
      </c>
      <c r="J199" s="106" t="e">
        <f t="shared" si="14"/>
        <v>#REF!</v>
      </c>
      <c r="K199" s="107" t="e">
        <f t="shared" si="15"/>
        <v>#REF!</v>
      </c>
    </row>
    <row r="200" spans="1:11" ht="15" customHeight="1" x14ac:dyDescent="0.2">
      <c r="A200" s="104" t="s">
        <v>205</v>
      </c>
      <c r="B200" s="104" t="s">
        <v>208</v>
      </c>
      <c r="C200" s="104" t="s">
        <v>60</v>
      </c>
      <c r="D200" s="104">
        <v>2040</v>
      </c>
      <c r="E200" s="105" t="e">
        <f>SUMIFS(#REF!,#REF!,$A200,#REF!,$B200,#REF!,$C200,#REF!,"Storage Demand")</f>
        <v>#REF!</v>
      </c>
      <c r="F200" s="105" t="e">
        <f>SUMIFS(#REF!,#REF!,$A200,#REF!,$B200,#REF!,$C200,#REF!,"&lt;&gt;Other Sector Demand")</f>
        <v>#REF!</v>
      </c>
      <c r="G200" s="106" t="e">
        <f t="shared" si="12"/>
        <v>#REF!</v>
      </c>
      <c r="H200" s="105" t="e">
        <f>SUMIFS(#REF!,#REF!,$A200,#REF!,$B200,#REF!,$C200,#REF!,"Other Sector Demand")</f>
        <v>#REF!</v>
      </c>
      <c r="I200" s="105" t="e">
        <f t="shared" si="13"/>
        <v>#REF!</v>
      </c>
      <c r="J200" s="106" t="e">
        <f t="shared" si="14"/>
        <v>#REF!</v>
      </c>
      <c r="K200" s="107" t="e">
        <f t="shared" si="15"/>
        <v>#REF!</v>
      </c>
    </row>
    <row r="201" spans="1:11" ht="15" customHeight="1" x14ac:dyDescent="0.2">
      <c r="A201" s="104" t="s">
        <v>205</v>
      </c>
      <c r="B201" s="104" t="s">
        <v>208</v>
      </c>
      <c r="C201" s="104" t="s">
        <v>60</v>
      </c>
      <c r="D201" s="104">
        <v>2050</v>
      </c>
      <c r="E201" s="105" t="e">
        <f>SUMIFS(#REF!,#REF!,$A201,#REF!,$B201,#REF!,$C201,#REF!,"Storage Demand")</f>
        <v>#REF!</v>
      </c>
      <c r="F201" s="105" t="e">
        <f>SUMIFS(#REF!,#REF!,$A201,#REF!,$B201,#REF!,$C201,#REF!,"&lt;&gt;Other Sector Demand")</f>
        <v>#REF!</v>
      </c>
      <c r="G201" s="106" t="e">
        <f t="shared" si="12"/>
        <v>#REF!</v>
      </c>
      <c r="H201" s="105" t="e">
        <f>SUMIFS(#REF!,#REF!,$A201,#REF!,$B201,#REF!,$C201,#REF!,"Other Sector Demand")</f>
        <v>#REF!</v>
      </c>
      <c r="I201" s="105" t="e">
        <f t="shared" si="13"/>
        <v>#REF!</v>
      </c>
      <c r="J201" s="106" t="e">
        <f t="shared" si="14"/>
        <v>#REF!</v>
      </c>
      <c r="K201" s="107" t="e">
        <f t="shared" si="15"/>
        <v>#REF!</v>
      </c>
    </row>
    <row r="202" spans="1:11" ht="15" customHeight="1" x14ac:dyDescent="0.2">
      <c r="A202" s="104" t="s">
        <v>205</v>
      </c>
      <c r="B202" s="104" t="s">
        <v>208</v>
      </c>
      <c r="C202" s="104" t="s">
        <v>61</v>
      </c>
      <c r="D202" s="104">
        <v>2020</v>
      </c>
      <c r="E202" s="105" t="e">
        <f>SUMIFS(#REF!,#REF!,$A202,#REF!,$B202,#REF!,$C202,#REF!,"Storage Demand")</f>
        <v>#REF!</v>
      </c>
      <c r="F202" s="105" t="e">
        <f>SUMIFS(#REF!,#REF!,$A202,#REF!,$B202,#REF!,$C202,#REF!,"&lt;&gt;Other Sector Demand")</f>
        <v>#REF!</v>
      </c>
      <c r="G202" s="106" t="e">
        <f t="shared" si="12"/>
        <v>#REF!</v>
      </c>
      <c r="H202" s="105" t="e">
        <f>SUMIFS(#REF!,#REF!,$A202,#REF!,$B202,#REF!,$C202,#REF!,"Other Sector Demand")</f>
        <v>#REF!</v>
      </c>
      <c r="I202" s="105" t="e">
        <f t="shared" si="13"/>
        <v>#REF!</v>
      </c>
      <c r="J202" s="106" t="e">
        <f t="shared" si="14"/>
        <v>#REF!</v>
      </c>
      <c r="K202" s="107" t="e">
        <f t="shared" si="15"/>
        <v>#REF!</v>
      </c>
    </row>
    <row r="203" spans="1:11" ht="15" customHeight="1" x14ac:dyDescent="0.2">
      <c r="A203" s="104" t="s">
        <v>205</v>
      </c>
      <c r="B203" s="104" t="s">
        <v>208</v>
      </c>
      <c r="C203" s="104" t="s">
        <v>61</v>
      </c>
      <c r="D203" s="104">
        <v>2030</v>
      </c>
      <c r="E203" s="105" t="e">
        <f>SUMIFS(#REF!,#REF!,$A203,#REF!,$B203,#REF!,$C203,#REF!,"Storage Demand")</f>
        <v>#REF!</v>
      </c>
      <c r="F203" s="105" t="e">
        <f>SUMIFS(#REF!,#REF!,$A203,#REF!,$B203,#REF!,$C203,#REF!,"&lt;&gt;Other Sector Demand")</f>
        <v>#REF!</v>
      </c>
      <c r="G203" s="106" t="e">
        <f t="shared" si="12"/>
        <v>#REF!</v>
      </c>
      <c r="H203" s="105" t="e">
        <f>SUMIFS(#REF!,#REF!,$A203,#REF!,$B203,#REF!,$C203,#REF!,"Other Sector Demand")</f>
        <v>#REF!</v>
      </c>
      <c r="I203" s="105" t="e">
        <f t="shared" si="13"/>
        <v>#REF!</v>
      </c>
      <c r="J203" s="106" t="e">
        <f t="shared" si="14"/>
        <v>#REF!</v>
      </c>
      <c r="K203" s="107" t="e">
        <f t="shared" si="15"/>
        <v>#REF!</v>
      </c>
    </row>
    <row r="204" spans="1:11" ht="15" customHeight="1" x14ac:dyDescent="0.2">
      <c r="A204" s="104" t="s">
        <v>205</v>
      </c>
      <c r="B204" s="104" t="s">
        <v>208</v>
      </c>
      <c r="C204" s="104" t="s">
        <v>61</v>
      </c>
      <c r="D204" s="104">
        <v>2040</v>
      </c>
      <c r="E204" s="105" t="e">
        <f>SUMIFS(#REF!,#REF!,$A204,#REF!,$B204,#REF!,$C204,#REF!,"Storage Demand")</f>
        <v>#REF!</v>
      </c>
      <c r="F204" s="105" t="e">
        <f>SUMIFS(#REF!,#REF!,$A204,#REF!,$B204,#REF!,$C204,#REF!,"&lt;&gt;Other Sector Demand")</f>
        <v>#REF!</v>
      </c>
      <c r="G204" s="106" t="e">
        <f t="shared" si="12"/>
        <v>#REF!</v>
      </c>
      <c r="H204" s="105" t="e">
        <f>SUMIFS(#REF!,#REF!,$A204,#REF!,$B204,#REF!,$C204,#REF!,"Other Sector Demand")</f>
        <v>#REF!</v>
      </c>
      <c r="I204" s="105" t="e">
        <f t="shared" si="13"/>
        <v>#REF!</v>
      </c>
      <c r="J204" s="106" t="e">
        <f t="shared" si="14"/>
        <v>#REF!</v>
      </c>
      <c r="K204" s="107" t="e">
        <f t="shared" si="15"/>
        <v>#REF!</v>
      </c>
    </row>
    <row r="205" spans="1:11" ht="15" customHeight="1" x14ac:dyDescent="0.2">
      <c r="A205" s="104" t="s">
        <v>205</v>
      </c>
      <c r="B205" s="104" t="s">
        <v>208</v>
      </c>
      <c r="C205" s="104" t="s">
        <v>61</v>
      </c>
      <c r="D205" s="104">
        <v>2050</v>
      </c>
      <c r="E205" s="105" t="e">
        <f>SUMIFS(#REF!,#REF!,$A205,#REF!,$B205,#REF!,$C205,#REF!,"Storage Demand")</f>
        <v>#REF!</v>
      </c>
      <c r="F205" s="105" t="e">
        <f>SUMIFS(#REF!,#REF!,$A205,#REF!,$B205,#REF!,$C205,#REF!,"&lt;&gt;Other Sector Demand")</f>
        <v>#REF!</v>
      </c>
      <c r="G205" s="106" t="e">
        <f t="shared" si="12"/>
        <v>#REF!</v>
      </c>
      <c r="H205" s="105" t="e">
        <f>SUMIFS(#REF!,#REF!,$A205,#REF!,$B205,#REF!,$C205,#REF!,"Other Sector Demand")</f>
        <v>#REF!</v>
      </c>
      <c r="I205" s="105" t="e">
        <f t="shared" si="13"/>
        <v>#REF!</v>
      </c>
      <c r="J205" s="106" t="e">
        <f t="shared" si="14"/>
        <v>#REF!</v>
      </c>
      <c r="K205" s="107" t="e">
        <f t="shared" si="15"/>
        <v>#REF!</v>
      </c>
    </row>
    <row r="206" spans="1:11" ht="15" customHeight="1" x14ac:dyDescent="0.2">
      <c r="A206" s="104" t="s">
        <v>205</v>
      </c>
      <c r="B206" s="104" t="s">
        <v>208</v>
      </c>
      <c r="C206" s="104" t="s">
        <v>64</v>
      </c>
      <c r="D206" s="104">
        <v>2020</v>
      </c>
      <c r="E206" s="105" t="e">
        <f>SUMIFS(#REF!,#REF!,$A206,#REF!,$B206,#REF!,$C206,#REF!,"Storage Demand")</f>
        <v>#REF!</v>
      </c>
      <c r="F206" s="105" t="e">
        <f>SUMIFS(#REF!,#REF!,$A206,#REF!,$B206,#REF!,$C206,#REF!,"&lt;&gt;Other Sector Demand")</f>
        <v>#REF!</v>
      </c>
      <c r="G206" s="106" t="e">
        <f t="shared" si="12"/>
        <v>#REF!</v>
      </c>
      <c r="H206" s="105" t="e">
        <f>SUMIFS(#REF!,#REF!,$A206,#REF!,$B206,#REF!,$C206,#REF!,"Other Sector Demand")</f>
        <v>#REF!</v>
      </c>
      <c r="I206" s="105" t="e">
        <f t="shared" si="13"/>
        <v>#REF!</v>
      </c>
      <c r="J206" s="106" t="e">
        <f t="shared" si="14"/>
        <v>#REF!</v>
      </c>
      <c r="K206" s="107" t="e">
        <f t="shared" si="15"/>
        <v>#REF!</v>
      </c>
    </row>
    <row r="207" spans="1:11" ht="15" customHeight="1" x14ac:dyDescent="0.2">
      <c r="A207" s="104" t="s">
        <v>205</v>
      </c>
      <c r="B207" s="104" t="s">
        <v>208</v>
      </c>
      <c r="C207" s="104" t="s">
        <v>64</v>
      </c>
      <c r="D207" s="104">
        <v>2030</v>
      </c>
      <c r="E207" s="105" t="e">
        <f>SUMIFS(#REF!,#REF!,$A207,#REF!,$B207,#REF!,$C207,#REF!,"Storage Demand")</f>
        <v>#REF!</v>
      </c>
      <c r="F207" s="105" t="e">
        <f>SUMIFS(#REF!,#REF!,$A207,#REF!,$B207,#REF!,$C207,#REF!,"&lt;&gt;Other Sector Demand")</f>
        <v>#REF!</v>
      </c>
      <c r="G207" s="106" t="e">
        <f t="shared" si="12"/>
        <v>#REF!</v>
      </c>
      <c r="H207" s="105" t="e">
        <f>SUMIFS(#REF!,#REF!,$A207,#REF!,$B207,#REF!,$C207,#REF!,"Other Sector Demand")</f>
        <v>#REF!</v>
      </c>
      <c r="I207" s="105" t="e">
        <f t="shared" si="13"/>
        <v>#REF!</v>
      </c>
      <c r="J207" s="106" t="e">
        <f t="shared" si="14"/>
        <v>#REF!</v>
      </c>
      <c r="K207" s="107" t="e">
        <f t="shared" si="15"/>
        <v>#REF!</v>
      </c>
    </row>
    <row r="208" spans="1:11" ht="15" customHeight="1" x14ac:dyDescent="0.2">
      <c r="A208" s="104" t="s">
        <v>205</v>
      </c>
      <c r="B208" s="104" t="s">
        <v>208</v>
      </c>
      <c r="C208" s="104" t="s">
        <v>64</v>
      </c>
      <c r="D208" s="104">
        <v>2040</v>
      </c>
      <c r="E208" s="105" t="e">
        <f>SUMIFS(#REF!,#REF!,$A208,#REF!,$B208,#REF!,$C208,#REF!,"Storage Demand")</f>
        <v>#REF!</v>
      </c>
      <c r="F208" s="105" t="e">
        <f>SUMIFS(#REF!,#REF!,$A208,#REF!,$B208,#REF!,$C208,#REF!,"&lt;&gt;Other Sector Demand")</f>
        <v>#REF!</v>
      </c>
      <c r="G208" s="106" t="e">
        <f t="shared" si="12"/>
        <v>#REF!</v>
      </c>
      <c r="H208" s="105" t="e">
        <f>SUMIFS(#REF!,#REF!,$A208,#REF!,$B208,#REF!,$C208,#REF!,"Other Sector Demand")</f>
        <v>#REF!</v>
      </c>
      <c r="I208" s="105" t="e">
        <f t="shared" si="13"/>
        <v>#REF!</v>
      </c>
      <c r="J208" s="106" t="e">
        <f t="shared" si="14"/>
        <v>#REF!</v>
      </c>
      <c r="K208" s="107" t="e">
        <f t="shared" si="15"/>
        <v>#REF!</v>
      </c>
    </row>
    <row r="209" spans="1:11" ht="15" customHeight="1" x14ac:dyDescent="0.2">
      <c r="A209" s="104" t="s">
        <v>205</v>
      </c>
      <c r="B209" s="104" t="s">
        <v>208</v>
      </c>
      <c r="C209" s="104" t="s">
        <v>64</v>
      </c>
      <c r="D209" s="104">
        <v>2050</v>
      </c>
      <c r="E209" s="105" t="e">
        <f>SUMIFS(#REF!,#REF!,$A209,#REF!,$B209,#REF!,$C209,#REF!,"Storage Demand")</f>
        <v>#REF!</v>
      </c>
      <c r="F209" s="105" t="e">
        <f>SUMIFS(#REF!,#REF!,$A209,#REF!,$B209,#REF!,$C209,#REF!,"&lt;&gt;Other Sector Demand")</f>
        <v>#REF!</v>
      </c>
      <c r="G209" s="106" t="e">
        <f t="shared" si="12"/>
        <v>#REF!</v>
      </c>
      <c r="H209" s="105" t="e">
        <f>SUMIFS(#REF!,#REF!,$A209,#REF!,$B209,#REF!,$C209,#REF!,"Other Sector Demand")</f>
        <v>#REF!</v>
      </c>
      <c r="I209" s="105" t="e">
        <f t="shared" si="13"/>
        <v>#REF!</v>
      </c>
      <c r="J209" s="106" t="e">
        <f t="shared" si="14"/>
        <v>#REF!</v>
      </c>
      <c r="K209" s="107" t="e">
        <f t="shared" si="15"/>
        <v>#REF!</v>
      </c>
    </row>
    <row r="210" spans="1:11" ht="15" customHeight="1" x14ac:dyDescent="0.2">
      <c r="A210" s="104" t="s">
        <v>205</v>
      </c>
      <c r="B210" s="104" t="s">
        <v>208</v>
      </c>
      <c r="C210" s="104" t="s">
        <v>66</v>
      </c>
      <c r="D210" s="104">
        <v>2020</v>
      </c>
      <c r="E210" s="105" t="e">
        <f>SUMIFS(#REF!,#REF!,$A210,#REF!,$B210,#REF!,$C210,#REF!,"Storage Demand")</f>
        <v>#REF!</v>
      </c>
      <c r="F210" s="105" t="e">
        <f>SUMIFS(#REF!,#REF!,$A210,#REF!,$B210,#REF!,$C210,#REF!,"&lt;&gt;Other Sector Demand")</f>
        <v>#REF!</v>
      </c>
      <c r="G210" s="106" t="e">
        <f t="shared" si="12"/>
        <v>#REF!</v>
      </c>
      <c r="H210" s="105" t="e">
        <f>SUMIFS(#REF!,#REF!,$A210,#REF!,$B210,#REF!,$C210,#REF!,"Other Sector Demand")</f>
        <v>#REF!</v>
      </c>
      <c r="I210" s="105" t="e">
        <f t="shared" si="13"/>
        <v>#REF!</v>
      </c>
      <c r="J210" s="106" t="e">
        <f t="shared" si="14"/>
        <v>#REF!</v>
      </c>
      <c r="K210" s="107" t="e">
        <f t="shared" si="15"/>
        <v>#REF!</v>
      </c>
    </row>
    <row r="211" spans="1:11" ht="15" customHeight="1" x14ac:dyDescent="0.2">
      <c r="A211" s="104" t="s">
        <v>205</v>
      </c>
      <c r="B211" s="104" t="s">
        <v>208</v>
      </c>
      <c r="C211" s="104" t="s">
        <v>66</v>
      </c>
      <c r="D211" s="104">
        <v>2030</v>
      </c>
      <c r="E211" s="105" t="e">
        <f>SUMIFS(#REF!,#REF!,$A211,#REF!,$B211,#REF!,$C211,#REF!,"Storage Demand")</f>
        <v>#REF!</v>
      </c>
      <c r="F211" s="105" t="e">
        <f>SUMIFS(#REF!,#REF!,$A211,#REF!,$B211,#REF!,$C211,#REF!,"&lt;&gt;Other Sector Demand")</f>
        <v>#REF!</v>
      </c>
      <c r="G211" s="106" t="e">
        <f t="shared" si="12"/>
        <v>#REF!</v>
      </c>
      <c r="H211" s="105" t="e">
        <f>SUMIFS(#REF!,#REF!,$A211,#REF!,$B211,#REF!,$C211,#REF!,"Other Sector Demand")</f>
        <v>#REF!</v>
      </c>
      <c r="I211" s="105" t="e">
        <f t="shared" si="13"/>
        <v>#REF!</v>
      </c>
      <c r="J211" s="106" t="e">
        <f t="shared" si="14"/>
        <v>#REF!</v>
      </c>
      <c r="K211" s="107" t="e">
        <f t="shared" si="15"/>
        <v>#REF!</v>
      </c>
    </row>
    <row r="212" spans="1:11" ht="15" customHeight="1" x14ac:dyDescent="0.2">
      <c r="A212" s="104" t="s">
        <v>205</v>
      </c>
      <c r="B212" s="104" t="s">
        <v>208</v>
      </c>
      <c r="C212" s="104" t="s">
        <v>66</v>
      </c>
      <c r="D212" s="104">
        <v>2040</v>
      </c>
      <c r="E212" s="105" t="e">
        <f>SUMIFS(#REF!,#REF!,$A212,#REF!,$B212,#REF!,$C212,#REF!,"Storage Demand")</f>
        <v>#REF!</v>
      </c>
      <c r="F212" s="105" t="e">
        <f>SUMIFS(#REF!,#REF!,$A212,#REF!,$B212,#REF!,$C212,#REF!,"&lt;&gt;Other Sector Demand")</f>
        <v>#REF!</v>
      </c>
      <c r="G212" s="106" t="e">
        <f t="shared" si="12"/>
        <v>#REF!</v>
      </c>
      <c r="H212" s="105" t="e">
        <f>SUMIFS(#REF!,#REF!,$A212,#REF!,$B212,#REF!,$C212,#REF!,"Other Sector Demand")</f>
        <v>#REF!</v>
      </c>
      <c r="I212" s="105" t="e">
        <f t="shared" si="13"/>
        <v>#REF!</v>
      </c>
      <c r="J212" s="106" t="e">
        <f t="shared" si="14"/>
        <v>#REF!</v>
      </c>
      <c r="K212" s="107" t="e">
        <f t="shared" si="15"/>
        <v>#REF!</v>
      </c>
    </row>
    <row r="213" spans="1:11" ht="15" customHeight="1" x14ac:dyDescent="0.2">
      <c r="A213" s="104" t="s">
        <v>205</v>
      </c>
      <c r="B213" s="104" t="s">
        <v>208</v>
      </c>
      <c r="C213" s="104" t="s">
        <v>66</v>
      </c>
      <c r="D213" s="104">
        <v>2050</v>
      </c>
      <c r="E213" s="105" t="e">
        <f>SUMIFS(#REF!,#REF!,$A213,#REF!,$B213,#REF!,$C213,#REF!,"Storage Demand")</f>
        <v>#REF!</v>
      </c>
      <c r="F213" s="105" t="e">
        <f>SUMIFS(#REF!,#REF!,$A213,#REF!,$B213,#REF!,$C213,#REF!,"&lt;&gt;Other Sector Demand")</f>
        <v>#REF!</v>
      </c>
      <c r="G213" s="106" t="e">
        <f t="shared" si="12"/>
        <v>#REF!</v>
      </c>
      <c r="H213" s="105" t="e">
        <f>SUMIFS(#REF!,#REF!,$A213,#REF!,$B213,#REF!,$C213,#REF!,"Other Sector Demand")</f>
        <v>#REF!</v>
      </c>
      <c r="I213" s="105" t="e">
        <f t="shared" si="13"/>
        <v>#REF!</v>
      </c>
      <c r="J213" s="106" t="e">
        <f t="shared" si="14"/>
        <v>#REF!</v>
      </c>
      <c r="K213" s="107" t="e">
        <f t="shared" si="15"/>
        <v>#REF!</v>
      </c>
    </row>
    <row r="214" spans="1:11" ht="15" customHeight="1" x14ac:dyDescent="0.2">
      <c r="A214" s="104" t="s">
        <v>205</v>
      </c>
      <c r="B214" s="104" t="s">
        <v>208</v>
      </c>
      <c r="C214" s="104" t="s">
        <v>67</v>
      </c>
      <c r="D214" s="104">
        <v>2020</v>
      </c>
      <c r="E214" s="105" t="e">
        <f>SUMIFS(#REF!,#REF!,$A214,#REF!,$B214,#REF!,$C214,#REF!,"Storage Demand")</f>
        <v>#REF!</v>
      </c>
      <c r="F214" s="105" t="e">
        <f>SUMIFS(#REF!,#REF!,$A214,#REF!,$B214,#REF!,$C214,#REF!,"&lt;&gt;Other Sector Demand")</f>
        <v>#REF!</v>
      </c>
      <c r="G214" s="106" t="e">
        <f t="shared" si="12"/>
        <v>#REF!</v>
      </c>
      <c r="H214" s="105" t="e">
        <f>SUMIFS(#REF!,#REF!,$A214,#REF!,$B214,#REF!,$C214,#REF!,"Other Sector Demand")</f>
        <v>#REF!</v>
      </c>
      <c r="I214" s="105" t="e">
        <f t="shared" si="13"/>
        <v>#REF!</v>
      </c>
      <c r="J214" s="106" t="e">
        <f t="shared" si="14"/>
        <v>#REF!</v>
      </c>
      <c r="K214" s="107" t="e">
        <f t="shared" si="15"/>
        <v>#REF!</v>
      </c>
    </row>
    <row r="215" spans="1:11" ht="15" customHeight="1" x14ac:dyDescent="0.2">
      <c r="A215" s="104" t="s">
        <v>205</v>
      </c>
      <c r="B215" s="104" t="s">
        <v>208</v>
      </c>
      <c r="C215" s="104" t="s">
        <v>67</v>
      </c>
      <c r="D215" s="104">
        <v>2030</v>
      </c>
      <c r="E215" s="105" t="e">
        <f>SUMIFS(#REF!,#REF!,$A215,#REF!,$B215,#REF!,$C215,#REF!,"Storage Demand")</f>
        <v>#REF!</v>
      </c>
      <c r="F215" s="105" t="e">
        <f>SUMIFS(#REF!,#REF!,$A215,#REF!,$B215,#REF!,$C215,#REF!,"&lt;&gt;Other Sector Demand")</f>
        <v>#REF!</v>
      </c>
      <c r="G215" s="106" t="e">
        <f t="shared" si="12"/>
        <v>#REF!</v>
      </c>
      <c r="H215" s="105" t="e">
        <f>SUMIFS(#REF!,#REF!,$A215,#REF!,$B215,#REF!,$C215,#REF!,"Other Sector Demand")</f>
        <v>#REF!</v>
      </c>
      <c r="I215" s="105" t="e">
        <f t="shared" si="13"/>
        <v>#REF!</v>
      </c>
      <c r="J215" s="106" t="e">
        <f t="shared" si="14"/>
        <v>#REF!</v>
      </c>
      <c r="K215" s="107" t="e">
        <f t="shared" si="15"/>
        <v>#REF!</v>
      </c>
    </row>
    <row r="216" spans="1:11" ht="15" customHeight="1" x14ac:dyDescent="0.2">
      <c r="A216" s="104" t="s">
        <v>205</v>
      </c>
      <c r="B216" s="104" t="s">
        <v>208</v>
      </c>
      <c r="C216" s="104" t="s">
        <v>67</v>
      </c>
      <c r="D216" s="104">
        <v>2040</v>
      </c>
      <c r="E216" s="105" t="e">
        <f>SUMIFS(#REF!,#REF!,$A216,#REF!,$B216,#REF!,$C216,#REF!,"Storage Demand")</f>
        <v>#REF!</v>
      </c>
      <c r="F216" s="105" t="e">
        <f>SUMIFS(#REF!,#REF!,$A216,#REF!,$B216,#REF!,$C216,#REF!,"&lt;&gt;Other Sector Demand")</f>
        <v>#REF!</v>
      </c>
      <c r="G216" s="106" t="e">
        <f t="shared" si="12"/>
        <v>#REF!</v>
      </c>
      <c r="H216" s="105" t="e">
        <f>SUMIFS(#REF!,#REF!,$A216,#REF!,$B216,#REF!,$C216,#REF!,"Other Sector Demand")</f>
        <v>#REF!</v>
      </c>
      <c r="I216" s="105" t="e">
        <f t="shared" si="13"/>
        <v>#REF!</v>
      </c>
      <c r="J216" s="106" t="e">
        <f t="shared" si="14"/>
        <v>#REF!</v>
      </c>
      <c r="K216" s="107" t="e">
        <f t="shared" si="15"/>
        <v>#REF!</v>
      </c>
    </row>
    <row r="217" spans="1:11" ht="15" customHeight="1" x14ac:dyDescent="0.2">
      <c r="A217" s="104" t="s">
        <v>205</v>
      </c>
      <c r="B217" s="104" t="s">
        <v>208</v>
      </c>
      <c r="C217" s="104" t="s">
        <v>67</v>
      </c>
      <c r="D217" s="104">
        <v>2050</v>
      </c>
      <c r="E217" s="105" t="e">
        <f>SUMIFS(#REF!,#REF!,$A217,#REF!,$B217,#REF!,$C217,#REF!,"Storage Demand")</f>
        <v>#REF!</v>
      </c>
      <c r="F217" s="105" t="e">
        <f>SUMIFS(#REF!,#REF!,$A217,#REF!,$B217,#REF!,$C217,#REF!,"&lt;&gt;Other Sector Demand")</f>
        <v>#REF!</v>
      </c>
      <c r="G217" s="106" t="e">
        <f t="shared" si="12"/>
        <v>#REF!</v>
      </c>
      <c r="H217" s="105" t="e">
        <f>SUMIFS(#REF!,#REF!,$A217,#REF!,$B217,#REF!,$C217,#REF!,"Other Sector Demand")</f>
        <v>#REF!</v>
      </c>
      <c r="I217" s="105" t="e">
        <f t="shared" si="13"/>
        <v>#REF!</v>
      </c>
      <c r="J217" s="106" t="e">
        <f t="shared" si="14"/>
        <v>#REF!</v>
      </c>
      <c r="K217" s="107" t="e">
        <f t="shared" si="15"/>
        <v>#REF!</v>
      </c>
    </row>
    <row r="218" spans="1:11" ht="15" customHeight="1" x14ac:dyDescent="0.2">
      <c r="A218" s="104" t="s">
        <v>205</v>
      </c>
      <c r="B218" s="104" t="s">
        <v>208</v>
      </c>
      <c r="C218" s="104" t="s">
        <v>68</v>
      </c>
      <c r="D218" s="104">
        <v>2020</v>
      </c>
      <c r="E218" s="105" t="e">
        <f>SUMIFS(#REF!,#REF!,$A218,#REF!,$B218,#REF!,$C218,#REF!,"Storage Demand")</f>
        <v>#REF!</v>
      </c>
      <c r="F218" s="105" t="e">
        <f>SUMIFS(#REF!,#REF!,$A218,#REF!,$B218,#REF!,$C218,#REF!,"&lt;&gt;Other Sector Demand")</f>
        <v>#REF!</v>
      </c>
      <c r="G218" s="106" t="e">
        <f t="shared" si="12"/>
        <v>#REF!</v>
      </c>
      <c r="H218" s="105" t="e">
        <f>SUMIFS(#REF!,#REF!,$A218,#REF!,$B218,#REF!,$C218,#REF!,"Other Sector Demand")</f>
        <v>#REF!</v>
      </c>
      <c r="I218" s="105" t="e">
        <f t="shared" si="13"/>
        <v>#REF!</v>
      </c>
      <c r="J218" s="106" t="e">
        <f t="shared" si="14"/>
        <v>#REF!</v>
      </c>
      <c r="K218" s="107" t="e">
        <f t="shared" si="15"/>
        <v>#REF!</v>
      </c>
    </row>
    <row r="219" spans="1:11" ht="15" customHeight="1" x14ac:dyDescent="0.2">
      <c r="A219" s="104" t="s">
        <v>205</v>
      </c>
      <c r="B219" s="104" t="s">
        <v>208</v>
      </c>
      <c r="C219" s="104" t="s">
        <v>68</v>
      </c>
      <c r="D219" s="104">
        <v>2030</v>
      </c>
      <c r="E219" s="105" t="e">
        <f>SUMIFS(#REF!,#REF!,$A219,#REF!,$B219,#REF!,$C219,#REF!,"Storage Demand")</f>
        <v>#REF!</v>
      </c>
      <c r="F219" s="105" t="e">
        <f>SUMIFS(#REF!,#REF!,$A219,#REF!,$B219,#REF!,$C219,#REF!,"&lt;&gt;Other Sector Demand")</f>
        <v>#REF!</v>
      </c>
      <c r="G219" s="106" t="e">
        <f t="shared" si="12"/>
        <v>#REF!</v>
      </c>
      <c r="H219" s="105" t="e">
        <f>SUMIFS(#REF!,#REF!,$A219,#REF!,$B219,#REF!,$C219,#REF!,"Other Sector Demand")</f>
        <v>#REF!</v>
      </c>
      <c r="I219" s="105" t="e">
        <f t="shared" si="13"/>
        <v>#REF!</v>
      </c>
      <c r="J219" s="106" t="e">
        <f t="shared" si="14"/>
        <v>#REF!</v>
      </c>
      <c r="K219" s="107" t="e">
        <f t="shared" si="15"/>
        <v>#REF!</v>
      </c>
    </row>
    <row r="220" spans="1:11" ht="15" customHeight="1" x14ac:dyDescent="0.2">
      <c r="A220" s="104" t="s">
        <v>205</v>
      </c>
      <c r="B220" s="104" t="s">
        <v>208</v>
      </c>
      <c r="C220" s="104" t="s">
        <v>68</v>
      </c>
      <c r="D220" s="104">
        <v>2040</v>
      </c>
      <c r="E220" s="105" t="e">
        <f>SUMIFS(#REF!,#REF!,$A220,#REF!,$B220,#REF!,$C220,#REF!,"Storage Demand")</f>
        <v>#REF!</v>
      </c>
      <c r="F220" s="105" t="e">
        <f>SUMIFS(#REF!,#REF!,$A220,#REF!,$B220,#REF!,$C220,#REF!,"&lt;&gt;Other Sector Demand")</f>
        <v>#REF!</v>
      </c>
      <c r="G220" s="106" t="e">
        <f t="shared" si="12"/>
        <v>#REF!</v>
      </c>
      <c r="H220" s="105" t="e">
        <f>SUMIFS(#REF!,#REF!,$A220,#REF!,$B220,#REF!,$C220,#REF!,"Other Sector Demand")</f>
        <v>#REF!</v>
      </c>
      <c r="I220" s="105" t="e">
        <f t="shared" si="13"/>
        <v>#REF!</v>
      </c>
      <c r="J220" s="106" t="e">
        <f t="shared" si="14"/>
        <v>#REF!</v>
      </c>
      <c r="K220" s="107" t="e">
        <f t="shared" si="15"/>
        <v>#REF!</v>
      </c>
    </row>
    <row r="221" spans="1:11" ht="15" customHeight="1" x14ac:dyDescent="0.2">
      <c r="A221" s="104" t="s">
        <v>205</v>
      </c>
      <c r="B221" s="104" t="s">
        <v>208</v>
      </c>
      <c r="C221" s="104" t="s">
        <v>68</v>
      </c>
      <c r="D221" s="104">
        <v>2050</v>
      </c>
      <c r="E221" s="105" t="e">
        <f>SUMIFS(#REF!,#REF!,$A221,#REF!,$B221,#REF!,$C221,#REF!,"Storage Demand")</f>
        <v>#REF!</v>
      </c>
      <c r="F221" s="105" t="e">
        <f>SUMIFS(#REF!,#REF!,$A221,#REF!,$B221,#REF!,$C221,#REF!,"&lt;&gt;Other Sector Demand")</f>
        <v>#REF!</v>
      </c>
      <c r="G221" s="106" t="e">
        <f t="shared" si="12"/>
        <v>#REF!</v>
      </c>
      <c r="H221" s="105" t="e">
        <f>SUMIFS(#REF!,#REF!,$A221,#REF!,$B221,#REF!,$C221,#REF!,"Other Sector Demand")</f>
        <v>#REF!</v>
      </c>
      <c r="I221" s="105" t="e">
        <f t="shared" si="13"/>
        <v>#REF!</v>
      </c>
      <c r="J221" s="106" t="e">
        <f t="shared" si="14"/>
        <v>#REF!</v>
      </c>
      <c r="K221" s="107" t="e">
        <f t="shared" si="15"/>
        <v>#REF!</v>
      </c>
    </row>
    <row r="222" spans="1:11" ht="15" customHeight="1" x14ac:dyDescent="0.2">
      <c r="A222" s="104" t="s">
        <v>205</v>
      </c>
      <c r="B222" s="104" t="s">
        <v>208</v>
      </c>
      <c r="C222" s="104" t="s">
        <v>69</v>
      </c>
      <c r="D222" s="104">
        <v>2020</v>
      </c>
      <c r="E222" s="105" t="e">
        <f>SUMIFS(#REF!,#REF!,$A222,#REF!,$B222,#REF!,$C222,#REF!,"Storage Demand")</f>
        <v>#REF!</v>
      </c>
      <c r="F222" s="105" t="e">
        <f>SUMIFS(#REF!,#REF!,$A222,#REF!,$B222,#REF!,$C222,#REF!,"&lt;&gt;Other Sector Demand")</f>
        <v>#REF!</v>
      </c>
      <c r="G222" s="106" t="e">
        <f t="shared" si="12"/>
        <v>#REF!</v>
      </c>
      <c r="H222" s="105" t="e">
        <f>SUMIFS(#REF!,#REF!,$A222,#REF!,$B222,#REF!,$C222,#REF!,"Other Sector Demand")</f>
        <v>#REF!</v>
      </c>
      <c r="I222" s="105" t="e">
        <f t="shared" si="13"/>
        <v>#REF!</v>
      </c>
      <c r="J222" s="106" t="e">
        <f t="shared" si="14"/>
        <v>#REF!</v>
      </c>
      <c r="K222" s="107" t="e">
        <f t="shared" si="15"/>
        <v>#REF!</v>
      </c>
    </row>
    <row r="223" spans="1:11" ht="15" customHeight="1" x14ac:dyDescent="0.2">
      <c r="A223" s="104" t="s">
        <v>205</v>
      </c>
      <c r="B223" s="104" t="s">
        <v>208</v>
      </c>
      <c r="C223" s="104" t="s">
        <v>69</v>
      </c>
      <c r="D223" s="104">
        <v>2030</v>
      </c>
      <c r="E223" s="105" t="e">
        <f>SUMIFS(#REF!,#REF!,$A223,#REF!,$B223,#REF!,$C223,#REF!,"Storage Demand")</f>
        <v>#REF!</v>
      </c>
      <c r="F223" s="105" t="e">
        <f>SUMIFS(#REF!,#REF!,$A223,#REF!,$B223,#REF!,$C223,#REF!,"&lt;&gt;Other Sector Demand")</f>
        <v>#REF!</v>
      </c>
      <c r="G223" s="106" t="e">
        <f t="shared" si="12"/>
        <v>#REF!</v>
      </c>
      <c r="H223" s="105" t="e">
        <f>SUMIFS(#REF!,#REF!,$A223,#REF!,$B223,#REF!,$C223,#REF!,"Other Sector Demand")</f>
        <v>#REF!</v>
      </c>
      <c r="I223" s="105" t="e">
        <f t="shared" si="13"/>
        <v>#REF!</v>
      </c>
      <c r="J223" s="106" t="e">
        <f t="shared" si="14"/>
        <v>#REF!</v>
      </c>
      <c r="K223" s="107" t="e">
        <f t="shared" si="15"/>
        <v>#REF!</v>
      </c>
    </row>
    <row r="224" spans="1:11" ht="15" customHeight="1" x14ac:dyDescent="0.2">
      <c r="A224" s="104" t="s">
        <v>205</v>
      </c>
      <c r="B224" s="104" t="s">
        <v>208</v>
      </c>
      <c r="C224" s="104" t="s">
        <v>69</v>
      </c>
      <c r="D224" s="104">
        <v>2040</v>
      </c>
      <c r="E224" s="105" t="e">
        <f>SUMIFS(#REF!,#REF!,$A224,#REF!,$B224,#REF!,$C224,#REF!,"Storage Demand")</f>
        <v>#REF!</v>
      </c>
      <c r="F224" s="105" t="e">
        <f>SUMIFS(#REF!,#REF!,$A224,#REF!,$B224,#REF!,$C224,#REF!,"&lt;&gt;Other Sector Demand")</f>
        <v>#REF!</v>
      </c>
      <c r="G224" s="106" t="e">
        <f t="shared" si="12"/>
        <v>#REF!</v>
      </c>
      <c r="H224" s="105" t="e">
        <f>SUMIFS(#REF!,#REF!,$A224,#REF!,$B224,#REF!,$C224,#REF!,"Other Sector Demand")</f>
        <v>#REF!</v>
      </c>
      <c r="I224" s="105" t="e">
        <f t="shared" si="13"/>
        <v>#REF!</v>
      </c>
      <c r="J224" s="106" t="e">
        <f t="shared" si="14"/>
        <v>#REF!</v>
      </c>
      <c r="K224" s="107" t="e">
        <f t="shared" si="15"/>
        <v>#REF!</v>
      </c>
    </row>
    <row r="225" spans="1:11" ht="15" customHeight="1" x14ac:dyDescent="0.2">
      <c r="A225" s="104" t="s">
        <v>205</v>
      </c>
      <c r="B225" s="104" t="s">
        <v>208</v>
      </c>
      <c r="C225" s="104" t="s">
        <v>69</v>
      </c>
      <c r="D225" s="104">
        <v>2050</v>
      </c>
      <c r="E225" s="105" t="e">
        <f>SUMIFS(#REF!,#REF!,$A225,#REF!,$B225,#REF!,$C225,#REF!,"Storage Demand")</f>
        <v>#REF!</v>
      </c>
      <c r="F225" s="105" t="e">
        <f>SUMIFS(#REF!,#REF!,$A225,#REF!,$B225,#REF!,$C225,#REF!,"&lt;&gt;Other Sector Demand")</f>
        <v>#REF!</v>
      </c>
      <c r="G225" s="106" t="e">
        <f t="shared" si="12"/>
        <v>#REF!</v>
      </c>
      <c r="H225" s="105" t="e">
        <f>SUMIFS(#REF!,#REF!,$A225,#REF!,$B225,#REF!,$C225,#REF!,"Other Sector Demand")</f>
        <v>#REF!</v>
      </c>
      <c r="I225" s="105" t="e">
        <f t="shared" si="13"/>
        <v>#REF!</v>
      </c>
      <c r="J225" s="106" t="e">
        <f t="shared" si="14"/>
        <v>#REF!</v>
      </c>
      <c r="K225" s="107" t="e">
        <f t="shared" si="15"/>
        <v>#REF!</v>
      </c>
    </row>
    <row r="226" spans="1:11" ht="15" customHeight="1" x14ac:dyDescent="0.2">
      <c r="A226" s="104" t="s">
        <v>205</v>
      </c>
      <c r="B226" s="104" t="s">
        <v>208</v>
      </c>
      <c r="C226" s="104" t="s">
        <v>70</v>
      </c>
      <c r="D226" s="104">
        <v>2020</v>
      </c>
      <c r="E226" s="105" t="e">
        <f>SUMIFS(#REF!,#REF!,$A226,#REF!,$B226,#REF!,$C226,#REF!,"Storage Demand")</f>
        <v>#REF!</v>
      </c>
      <c r="F226" s="105" t="e">
        <f>SUMIFS(#REF!,#REF!,$A226,#REF!,$B226,#REF!,$C226,#REF!,"&lt;&gt;Other Sector Demand")</f>
        <v>#REF!</v>
      </c>
      <c r="G226" s="106" t="e">
        <f t="shared" si="12"/>
        <v>#REF!</v>
      </c>
      <c r="H226" s="105" t="e">
        <f>SUMIFS(#REF!,#REF!,$A226,#REF!,$B226,#REF!,$C226,#REF!,"Other Sector Demand")</f>
        <v>#REF!</v>
      </c>
      <c r="I226" s="105" t="e">
        <f t="shared" si="13"/>
        <v>#REF!</v>
      </c>
      <c r="J226" s="106" t="e">
        <f t="shared" si="14"/>
        <v>#REF!</v>
      </c>
      <c r="K226" s="107" t="e">
        <f t="shared" si="15"/>
        <v>#REF!</v>
      </c>
    </row>
    <row r="227" spans="1:11" ht="15" customHeight="1" x14ac:dyDescent="0.2">
      <c r="A227" s="104" t="s">
        <v>205</v>
      </c>
      <c r="B227" s="104" t="s">
        <v>208</v>
      </c>
      <c r="C227" s="104" t="s">
        <v>70</v>
      </c>
      <c r="D227" s="104">
        <v>2030</v>
      </c>
      <c r="E227" s="105" t="e">
        <f>SUMIFS(#REF!,#REF!,$A227,#REF!,$B227,#REF!,$C227,#REF!,"Storage Demand")</f>
        <v>#REF!</v>
      </c>
      <c r="F227" s="105" t="e">
        <f>SUMIFS(#REF!,#REF!,$A227,#REF!,$B227,#REF!,$C227,#REF!,"&lt;&gt;Other Sector Demand")</f>
        <v>#REF!</v>
      </c>
      <c r="G227" s="106" t="e">
        <f t="shared" si="12"/>
        <v>#REF!</v>
      </c>
      <c r="H227" s="105" t="e">
        <f>SUMIFS(#REF!,#REF!,$A227,#REF!,$B227,#REF!,$C227,#REF!,"Other Sector Demand")</f>
        <v>#REF!</v>
      </c>
      <c r="I227" s="105" t="e">
        <f t="shared" si="13"/>
        <v>#REF!</v>
      </c>
      <c r="J227" s="106" t="e">
        <f t="shared" si="14"/>
        <v>#REF!</v>
      </c>
      <c r="K227" s="107" t="e">
        <f t="shared" si="15"/>
        <v>#REF!</v>
      </c>
    </row>
    <row r="228" spans="1:11" ht="15" customHeight="1" x14ac:dyDescent="0.2">
      <c r="A228" s="104" t="s">
        <v>205</v>
      </c>
      <c r="B228" s="104" t="s">
        <v>208</v>
      </c>
      <c r="C228" s="104" t="s">
        <v>70</v>
      </c>
      <c r="D228" s="104">
        <v>2040</v>
      </c>
      <c r="E228" s="105" t="e">
        <f>SUMIFS(#REF!,#REF!,$A228,#REF!,$B228,#REF!,$C228,#REF!,"Storage Demand")</f>
        <v>#REF!</v>
      </c>
      <c r="F228" s="105" t="e">
        <f>SUMIFS(#REF!,#REF!,$A228,#REF!,$B228,#REF!,$C228,#REF!,"&lt;&gt;Other Sector Demand")</f>
        <v>#REF!</v>
      </c>
      <c r="G228" s="106" t="e">
        <f t="shared" si="12"/>
        <v>#REF!</v>
      </c>
      <c r="H228" s="105" t="e">
        <f>SUMIFS(#REF!,#REF!,$A228,#REF!,$B228,#REF!,$C228,#REF!,"Other Sector Demand")</f>
        <v>#REF!</v>
      </c>
      <c r="I228" s="105" t="e">
        <f t="shared" si="13"/>
        <v>#REF!</v>
      </c>
      <c r="J228" s="106" t="e">
        <f t="shared" si="14"/>
        <v>#REF!</v>
      </c>
      <c r="K228" s="107" t="e">
        <f t="shared" si="15"/>
        <v>#REF!</v>
      </c>
    </row>
    <row r="229" spans="1:11" ht="15" customHeight="1" x14ac:dyDescent="0.2">
      <c r="A229" s="104" t="s">
        <v>205</v>
      </c>
      <c r="B229" s="104" t="s">
        <v>208</v>
      </c>
      <c r="C229" s="104" t="s">
        <v>70</v>
      </c>
      <c r="D229" s="104">
        <v>2050</v>
      </c>
      <c r="E229" s="105" t="e">
        <f>SUMIFS(#REF!,#REF!,$A229,#REF!,$B229,#REF!,$C229,#REF!,"Storage Demand")</f>
        <v>#REF!</v>
      </c>
      <c r="F229" s="105" t="e">
        <f>SUMIFS(#REF!,#REF!,$A229,#REF!,$B229,#REF!,$C229,#REF!,"&lt;&gt;Other Sector Demand")</f>
        <v>#REF!</v>
      </c>
      <c r="G229" s="106" t="e">
        <f t="shared" si="12"/>
        <v>#REF!</v>
      </c>
      <c r="H229" s="105" t="e">
        <f>SUMIFS(#REF!,#REF!,$A229,#REF!,$B229,#REF!,$C229,#REF!,"Other Sector Demand")</f>
        <v>#REF!</v>
      </c>
      <c r="I229" s="105" t="e">
        <f t="shared" si="13"/>
        <v>#REF!</v>
      </c>
      <c r="J229" s="106" t="e">
        <f t="shared" si="14"/>
        <v>#REF!</v>
      </c>
      <c r="K229" s="107" t="e">
        <f t="shared" si="15"/>
        <v>#REF!</v>
      </c>
    </row>
    <row r="230" spans="1:11" ht="15" customHeight="1" x14ac:dyDescent="0.2">
      <c r="A230" s="104" t="s">
        <v>205</v>
      </c>
      <c r="B230" s="104" t="s">
        <v>208</v>
      </c>
      <c r="C230" s="104" t="s">
        <v>71</v>
      </c>
      <c r="D230" s="104">
        <v>2020</v>
      </c>
      <c r="E230" s="105" t="e">
        <f>SUMIFS(#REF!,#REF!,$A230,#REF!,$B230,#REF!,$C230,#REF!,"Storage Demand")</f>
        <v>#REF!</v>
      </c>
      <c r="F230" s="105" t="e">
        <f>SUMIFS(#REF!,#REF!,$A230,#REF!,$B230,#REF!,$C230,#REF!,"&lt;&gt;Other Sector Demand")</f>
        <v>#REF!</v>
      </c>
      <c r="G230" s="106" t="e">
        <f t="shared" si="12"/>
        <v>#REF!</v>
      </c>
      <c r="H230" s="105" t="e">
        <f>SUMIFS(#REF!,#REF!,$A230,#REF!,$B230,#REF!,$C230,#REF!,"Other Sector Demand")</f>
        <v>#REF!</v>
      </c>
      <c r="I230" s="105" t="e">
        <f t="shared" si="13"/>
        <v>#REF!</v>
      </c>
      <c r="J230" s="106" t="e">
        <f t="shared" si="14"/>
        <v>#REF!</v>
      </c>
      <c r="K230" s="107" t="e">
        <f t="shared" si="15"/>
        <v>#REF!</v>
      </c>
    </row>
    <row r="231" spans="1:11" ht="15" customHeight="1" x14ac:dyDescent="0.2">
      <c r="A231" s="104" t="s">
        <v>205</v>
      </c>
      <c r="B231" s="104" t="s">
        <v>208</v>
      </c>
      <c r="C231" s="104" t="s">
        <v>71</v>
      </c>
      <c r="D231" s="104">
        <v>2030</v>
      </c>
      <c r="E231" s="105" t="e">
        <f>SUMIFS(#REF!,#REF!,$A231,#REF!,$B231,#REF!,$C231,#REF!,"Storage Demand")</f>
        <v>#REF!</v>
      </c>
      <c r="F231" s="105" t="e">
        <f>SUMIFS(#REF!,#REF!,$A231,#REF!,$B231,#REF!,$C231,#REF!,"&lt;&gt;Other Sector Demand")</f>
        <v>#REF!</v>
      </c>
      <c r="G231" s="106" t="e">
        <f t="shared" si="12"/>
        <v>#REF!</v>
      </c>
      <c r="H231" s="105" t="e">
        <f>SUMIFS(#REF!,#REF!,$A231,#REF!,$B231,#REF!,$C231,#REF!,"Other Sector Demand")</f>
        <v>#REF!</v>
      </c>
      <c r="I231" s="105" t="e">
        <f t="shared" si="13"/>
        <v>#REF!</v>
      </c>
      <c r="J231" s="106" t="e">
        <f t="shared" si="14"/>
        <v>#REF!</v>
      </c>
      <c r="K231" s="107" t="e">
        <f t="shared" si="15"/>
        <v>#REF!</v>
      </c>
    </row>
    <row r="232" spans="1:11" ht="15" customHeight="1" x14ac:dyDescent="0.2">
      <c r="A232" s="104" t="s">
        <v>205</v>
      </c>
      <c r="B232" s="104" t="s">
        <v>208</v>
      </c>
      <c r="C232" s="104" t="s">
        <v>71</v>
      </c>
      <c r="D232" s="104">
        <v>2040</v>
      </c>
      <c r="E232" s="105" t="e">
        <f>SUMIFS(#REF!,#REF!,$A232,#REF!,$B232,#REF!,$C232,#REF!,"Storage Demand")</f>
        <v>#REF!</v>
      </c>
      <c r="F232" s="105" t="e">
        <f>SUMIFS(#REF!,#REF!,$A232,#REF!,$B232,#REF!,$C232,#REF!,"&lt;&gt;Other Sector Demand")</f>
        <v>#REF!</v>
      </c>
      <c r="G232" s="106" t="e">
        <f t="shared" si="12"/>
        <v>#REF!</v>
      </c>
      <c r="H232" s="105" t="e">
        <f>SUMIFS(#REF!,#REF!,$A232,#REF!,$B232,#REF!,$C232,#REF!,"Other Sector Demand")</f>
        <v>#REF!</v>
      </c>
      <c r="I232" s="105" t="e">
        <f t="shared" si="13"/>
        <v>#REF!</v>
      </c>
      <c r="J232" s="106" t="e">
        <f t="shared" si="14"/>
        <v>#REF!</v>
      </c>
      <c r="K232" s="107" t="e">
        <f t="shared" si="15"/>
        <v>#REF!</v>
      </c>
    </row>
    <row r="233" spans="1:11" ht="15" customHeight="1" x14ac:dyDescent="0.2">
      <c r="A233" s="104" t="s">
        <v>205</v>
      </c>
      <c r="B233" s="104" t="s">
        <v>208</v>
      </c>
      <c r="C233" s="104" t="s">
        <v>71</v>
      </c>
      <c r="D233" s="104">
        <v>2050</v>
      </c>
      <c r="E233" s="105" t="e">
        <f>SUMIFS(#REF!,#REF!,$A233,#REF!,$B233,#REF!,$C233,#REF!,"Storage Demand")</f>
        <v>#REF!</v>
      </c>
      <c r="F233" s="105" t="e">
        <f>SUMIFS(#REF!,#REF!,$A233,#REF!,$B233,#REF!,$C233,#REF!,"&lt;&gt;Other Sector Demand")</f>
        <v>#REF!</v>
      </c>
      <c r="G233" s="106" t="e">
        <f t="shared" si="12"/>
        <v>#REF!</v>
      </c>
      <c r="H233" s="105" t="e">
        <f>SUMIFS(#REF!,#REF!,$A233,#REF!,$B233,#REF!,$C233,#REF!,"Other Sector Demand")</f>
        <v>#REF!</v>
      </c>
      <c r="I233" s="105" t="e">
        <f t="shared" si="13"/>
        <v>#REF!</v>
      </c>
      <c r="J233" s="106" t="e">
        <f t="shared" si="14"/>
        <v>#REF!</v>
      </c>
      <c r="K233" s="107" t="e">
        <f t="shared" si="15"/>
        <v>#REF!</v>
      </c>
    </row>
    <row r="234" spans="1:11" ht="15" customHeight="1" x14ac:dyDescent="0.2">
      <c r="A234" s="104" t="s">
        <v>205</v>
      </c>
      <c r="B234" s="104" t="s">
        <v>208</v>
      </c>
      <c r="C234" s="104" t="s">
        <v>73</v>
      </c>
      <c r="D234" s="104">
        <v>2020</v>
      </c>
      <c r="E234" s="105" t="e">
        <f>SUMIFS(#REF!,#REF!,$A234,#REF!,$B234,#REF!,$C234,#REF!,"Storage Demand")</f>
        <v>#REF!</v>
      </c>
      <c r="F234" s="105" t="e">
        <f>SUMIFS(#REF!,#REF!,$A234,#REF!,$B234,#REF!,$C234,#REF!,"&lt;&gt;Other Sector Demand")</f>
        <v>#REF!</v>
      </c>
      <c r="G234" s="106" t="e">
        <f t="shared" si="12"/>
        <v>#REF!</v>
      </c>
      <c r="H234" s="105" t="e">
        <f>SUMIFS(#REF!,#REF!,$A234,#REF!,$B234,#REF!,$C234,#REF!,"Other Sector Demand")</f>
        <v>#REF!</v>
      </c>
      <c r="I234" s="105" t="e">
        <f t="shared" si="13"/>
        <v>#REF!</v>
      </c>
      <c r="J234" s="106" t="e">
        <f t="shared" si="14"/>
        <v>#REF!</v>
      </c>
      <c r="K234" s="107" t="e">
        <f t="shared" si="15"/>
        <v>#REF!</v>
      </c>
    </row>
    <row r="235" spans="1:11" ht="15" customHeight="1" x14ac:dyDescent="0.2">
      <c r="A235" s="104" t="s">
        <v>205</v>
      </c>
      <c r="B235" s="104" t="s">
        <v>208</v>
      </c>
      <c r="C235" s="104" t="s">
        <v>73</v>
      </c>
      <c r="D235" s="104">
        <v>2030</v>
      </c>
      <c r="E235" s="105" t="e">
        <f>SUMIFS(#REF!,#REF!,$A235,#REF!,$B235,#REF!,$C235,#REF!,"Storage Demand")</f>
        <v>#REF!</v>
      </c>
      <c r="F235" s="105" t="e">
        <f>SUMIFS(#REF!,#REF!,$A235,#REF!,$B235,#REF!,$C235,#REF!,"&lt;&gt;Other Sector Demand")</f>
        <v>#REF!</v>
      </c>
      <c r="G235" s="106" t="e">
        <f t="shared" si="12"/>
        <v>#REF!</v>
      </c>
      <c r="H235" s="105" t="e">
        <f>SUMIFS(#REF!,#REF!,$A235,#REF!,$B235,#REF!,$C235,#REF!,"Other Sector Demand")</f>
        <v>#REF!</v>
      </c>
      <c r="I235" s="105" t="e">
        <f t="shared" si="13"/>
        <v>#REF!</v>
      </c>
      <c r="J235" s="106" t="e">
        <f t="shared" si="14"/>
        <v>#REF!</v>
      </c>
      <c r="K235" s="107" t="e">
        <f t="shared" si="15"/>
        <v>#REF!</v>
      </c>
    </row>
    <row r="236" spans="1:11" ht="15" customHeight="1" x14ac:dyDescent="0.2">
      <c r="A236" s="104" t="s">
        <v>205</v>
      </c>
      <c r="B236" s="104" t="s">
        <v>208</v>
      </c>
      <c r="C236" s="104" t="s">
        <v>73</v>
      </c>
      <c r="D236" s="104">
        <v>2040</v>
      </c>
      <c r="E236" s="105" t="e">
        <f>SUMIFS(#REF!,#REF!,$A236,#REF!,$B236,#REF!,$C236,#REF!,"Storage Demand")</f>
        <v>#REF!</v>
      </c>
      <c r="F236" s="105" t="e">
        <f>SUMIFS(#REF!,#REF!,$A236,#REF!,$B236,#REF!,$C236,#REF!,"&lt;&gt;Other Sector Demand")</f>
        <v>#REF!</v>
      </c>
      <c r="G236" s="106" t="e">
        <f t="shared" si="12"/>
        <v>#REF!</v>
      </c>
      <c r="H236" s="105" t="e">
        <f>SUMIFS(#REF!,#REF!,$A236,#REF!,$B236,#REF!,$C236,#REF!,"Other Sector Demand")</f>
        <v>#REF!</v>
      </c>
      <c r="I236" s="105" t="e">
        <f t="shared" si="13"/>
        <v>#REF!</v>
      </c>
      <c r="J236" s="106" t="e">
        <f t="shared" si="14"/>
        <v>#REF!</v>
      </c>
      <c r="K236" s="107" t="e">
        <f t="shared" si="15"/>
        <v>#REF!</v>
      </c>
    </row>
    <row r="237" spans="1:11" ht="15" customHeight="1" x14ac:dyDescent="0.2">
      <c r="A237" s="104" t="s">
        <v>205</v>
      </c>
      <c r="B237" s="104" t="s">
        <v>208</v>
      </c>
      <c r="C237" s="104" t="s">
        <v>73</v>
      </c>
      <c r="D237" s="104">
        <v>2050</v>
      </c>
      <c r="E237" s="105" t="e">
        <f>SUMIFS(#REF!,#REF!,$A237,#REF!,$B237,#REF!,$C237,#REF!,"Storage Demand")</f>
        <v>#REF!</v>
      </c>
      <c r="F237" s="105" t="e">
        <f>SUMIFS(#REF!,#REF!,$A237,#REF!,$B237,#REF!,$C237,#REF!,"&lt;&gt;Other Sector Demand")</f>
        <v>#REF!</v>
      </c>
      <c r="G237" s="106" t="e">
        <f t="shared" si="12"/>
        <v>#REF!</v>
      </c>
      <c r="H237" s="105" t="e">
        <f>SUMIFS(#REF!,#REF!,$A237,#REF!,$B237,#REF!,$C237,#REF!,"Other Sector Demand")</f>
        <v>#REF!</v>
      </c>
      <c r="I237" s="105" t="e">
        <f t="shared" si="13"/>
        <v>#REF!</v>
      </c>
      <c r="J237" s="106" t="e">
        <f t="shared" si="14"/>
        <v>#REF!</v>
      </c>
      <c r="K237" s="107" t="e">
        <f t="shared" si="15"/>
        <v>#REF!</v>
      </c>
    </row>
    <row r="238" spans="1:11" ht="15" customHeight="1" x14ac:dyDescent="0.2">
      <c r="A238" s="104" t="s">
        <v>205</v>
      </c>
      <c r="B238" s="104" t="s">
        <v>208</v>
      </c>
      <c r="C238" s="104" t="s">
        <v>74</v>
      </c>
      <c r="D238" s="104">
        <v>2020</v>
      </c>
      <c r="E238" s="105" t="e">
        <f>SUMIFS(#REF!,#REF!,$A238,#REF!,$B238,#REF!,$C238,#REF!,"Storage Demand")</f>
        <v>#REF!</v>
      </c>
      <c r="F238" s="105" t="e">
        <f>SUMIFS(#REF!,#REF!,$A238,#REF!,$B238,#REF!,$C238,#REF!,"&lt;&gt;Other Sector Demand")</f>
        <v>#REF!</v>
      </c>
      <c r="G238" s="106" t="e">
        <f t="shared" si="12"/>
        <v>#REF!</v>
      </c>
      <c r="H238" s="105" t="e">
        <f>SUMIFS(#REF!,#REF!,$A238,#REF!,$B238,#REF!,$C238,#REF!,"Other Sector Demand")</f>
        <v>#REF!</v>
      </c>
      <c r="I238" s="105" t="e">
        <f t="shared" si="13"/>
        <v>#REF!</v>
      </c>
      <c r="J238" s="106" t="e">
        <f t="shared" si="14"/>
        <v>#REF!</v>
      </c>
      <c r="K238" s="107" t="e">
        <f t="shared" si="15"/>
        <v>#REF!</v>
      </c>
    </row>
    <row r="239" spans="1:11" ht="15" customHeight="1" x14ac:dyDescent="0.2">
      <c r="A239" s="104" t="s">
        <v>205</v>
      </c>
      <c r="B239" s="104" t="s">
        <v>208</v>
      </c>
      <c r="C239" s="104" t="s">
        <v>74</v>
      </c>
      <c r="D239" s="104">
        <v>2030</v>
      </c>
      <c r="E239" s="105" t="e">
        <f>SUMIFS(#REF!,#REF!,$A239,#REF!,$B239,#REF!,$C239,#REF!,"Storage Demand")</f>
        <v>#REF!</v>
      </c>
      <c r="F239" s="105" t="e">
        <f>SUMIFS(#REF!,#REF!,$A239,#REF!,$B239,#REF!,$C239,#REF!,"&lt;&gt;Other Sector Demand")</f>
        <v>#REF!</v>
      </c>
      <c r="G239" s="106" t="e">
        <f t="shared" si="12"/>
        <v>#REF!</v>
      </c>
      <c r="H239" s="105" t="e">
        <f>SUMIFS(#REF!,#REF!,$A239,#REF!,$B239,#REF!,$C239,#REF!,"Other Sector Demand")</f>
        <v>#REF!</v>
      </c>
      <c r="I239" s="105" t="e">
        <f t="shared" si="13"/>
        <v>#REF!</v>
      </c>
      <c r="J239" s="106" t="e">
        <f t="shared" si="14"/>
        <v>#REF!</v>
      </c>
      <c r="K239" s="107" t="e">
        <f t="shared" si="15"/>
        <v>#REF!</v>
      </c>
    </row>
    <row r="240" spans="1:11" ht="15" customHeight="1" x14ac:dyDescent="0.2">
      <c r="A240" s="104" t="s">
        <v>205</v>
      </c>
      <c r="B240" s="104" t="s">
        <v>208</v>
      </c>
      <c r="C240" s="104" t="s">
        <v>74</v>
      </c>
      <c r="D240" s="104">
        <v>2040</v>
      </c>
      <c r="E240" s="105" t="e">
        <f>SUMIFS(#REF!,#REF!,$A240,#REF!,$B240,#REF!,$C240,#REF!,"Storage Demand")</f>
        <v>#REF!</v>
      </c>
      <c r="F240" s="105" t="e">
        <f>SUMIFS(#REF!,#REF!,$A240,#REF!,$B240,#REF!,$C240,#REF!,"&lt;&gt;Other Sector Demand")</f>
        <v>#REF!</v>
      </c>
      <c r="G240" s="106" t="e">
        <f t="shared" si="12"/>
        <v>#REF!</v>
      </c>
      <c r="H240" s="105" t="e">
        <f>SUMIFS(#REF!,#REF!,$A240,#REF!,$B240,#REF!,$C240,#REF!,"Other Sector Demand")</f>
        <v>#REF!</v>
      </c>
      <c r="I240" s="105" t="e">
        <f t="shared" si="13"/>
        <v>#REF!</v>
      </c>
      <c r="J240" s="106" t="e">
        <f t="shared" si="14"/>
        <v>#REF!</v>
      </c>
      <c r="K240" s="107" t="e">
        <f t="shared" si="15"/>
        <v>#REF!</v>
      </c>
    </row>
    <row r="241" spans="1:11" ht="15" customHeight="1" x14ac:dyDescent="0.2">
      <c r="A241" s="104" t="s">
        <v>205</v>
      </c>
      <c r="B241" s="104" t="s">
        <v>208</v>
      </c>
      <c r="C241" s="104" t="s">
        <v>74</v>
      </c>
      <c r="D241" s="104">
        <v>2050</v>
      </c>
      <c r="E241" s="105" t="e">
        <f>SUMIFS(#REF!,#REF!,$A241,#REF!,$B241,#REF!,$C241,#REF!,"Storage Demand")</f>
        <v>#REF!</v>
      </c>
      <c r="F241" s="105" t="e">
        <f>SUMIFS(#REF!,#REF!,$A241,#REF!,$B241,#REF!,$C241,#REF!,"&lt;&gt;Other Sector Demand")</f>
        <v>#REF!</v>
      </c>
      <c r="G241" s="106" t="e">
        <f t="shared" si="12"/>
        <v>#REF!</v>
      </c>
      <c r="H241" s="105" t="e">
        <f>SUMIFS(#REF!,#REF!,$A241,#REF!,$B241,#REF!,$C241,#REF!,"Other Sector Demand")</f>
        <v>#REF!</v>
      </c>
      <c r="I241" s="105" t="e">
        <f t="shared" si="13"/>
        <v>#REF!</v>
      </c>
      <c r="J241" s="106" t="e">
        <f t="shared" si="14"/>
        <v>#REF!</v>
      </c>
      <c r="K241" s="107" t="e">
        <f t="shared" si="15"/>
        <v>#REF!</v>
      </c>
    </row>
    <row r="242" spans="1:11" ht="15" customHeight="1" x14ac:dyDescent="0.2">
      <c r="A242" s="104" t="s">
        <v>205</v>
      </c>
      <c r="B242" s="104" t="s">
        <v>208</v>
      </c>
      <c r="C242" s="104" t="s">
        <v>75</v>
      </c>
      <c r="D242" s="104">
        <v>2020</v>
      </c>
      <c r="E242" s="105" t="e">
        <f>SUMIFS(#REF!,#REF!,$A242,#REF!,$B242,#REF!,$C242,#REF!,"Storage Demand")</f>
        <v>#REF!</v>
      </c>
      <c r="F242" s="105" t="e">
        <f>SUMIFS(#REF!,#REF!,$A242,#REF!,$B242,#REF!,$C242,#REF!,"&lt;&gt;Other Sector Demand")</f>
        <v>#REF!</v>
      </c>
      <c r="G242" s="106" t="e">
        <f t="shared" si="12"/>
        <v>#REF!</v>
      </c>
      <c r="H242" s="105" t="e">
        <f>SUMIFS(#REF!,#REF!,$A242,#REF!,$B242,#REF!,$C242,#REF!,"Other Sector Demand")</f>
        <v>#REF!</v>
      </c>
      <c r="I242" s="105" t="e">
        <f t="shared" si="13"/>
        <v>#REF!</v>
      </c>
      <c r="J242" s="106" t="e">
        <f t="shared" si="14"/>
        <v>#REF!</v>
      </c>
      <c r="K242" s="107" t="e">
        <f t="shared" si="15"/>
        <v>#REF!</v>
      </c>
    </row>
    <row r="243" spans="1:11" ht="15" customHeight="1" x14ac:dyDescent="0.2">
      <c r="A243" s="104" t="s">
        <v>205</v>
      </c>
      <c r="B243" s="104" t="s">
        <v>208</v>
      </c>
      <c r="C243" s="104" t="s">
        <v>75</v>
      </c>
      <c r="D243" s="104">
        <v>2030</v>
      </c>
      <c r="E243" s="105" t="e">
        <f>SUMIFS(#REF!,#REF!,$A243,#REF!,$B243,#REF!,$C243,#REF!,"Storage Demand")</f>
        <v>#REF!</v>
      </c>
      <c r="F243" s="105" t="e">
        <f>SUMIFS(#REF!,#REF!,$A243,#REF!,$B243,#REF!,$C243,#REF!,"&lt;&gt;Other Sector Demand")</f>
        <v>#REF!</v>
      </c>
      <c r="G243" s="106" t="e">
        <f t="shared" si="12"/>
        <v>#REF!</v>
      </c>
      <c r="H243" s="105" t="e">
        <f>SUMIFS(#REF!,#REF!,$A243,#REF!,$B243,#REF!,$C243,#REF!,"Other Sector Demand")</f>
        <v>#REF!</v>
      </c>
      <c r="I243" s="105" t="e">
        <f t="shared" si="13"/>
        <v>#REF!</v>
      </c>
      <c r="J243" s="106" t="e">
        <f t="shared" si="14"/>
        <v>#REF!</v>
      </c>
      <c r="K243" s="107" t="e">
        <f t="shared" si="15"/>
        <v>#REF!</v>
      </c>
    </row>
    <row r="244" spans="1:11" ht="15" customHeight="1" x14ac:dyDescent="0.2">
      <c r="A244" s="104" t="s">
        <v>205</v>
      </c>
      <c r="B244" s="104" t="s">
        <v>208</v>
      </c>
      <c r="C244" s="104" t="s">
        <v>75</v>
      </c>
      <c r="D244" s="104">
        <v>2040</v>
      </c>
      <c r="E244" s="105" t="e">
        <f>SUMIFS(#REF!,#REF!,$A244,#REF!,$B244,#REF!,$C244,#REF!,"Storage Demand")</f>
        <v>#REF!</v>
      </c>
      <c r="F244" s="105" t="e">
        <f>SUMIFS(#REF!,#REF!,$A244,#REF!,$B244,#REF!,$C244,#REF!,"&lt;&gt;Other Sector Demand")</f>
        <v>#REF!</v>
      </c>
      <c r="G244" s="106" t="e">
        <f t="shared" si="12"/>
        <v>#REF!</v>
      </c>
      <c r="H244" s="105" t="e">
        <f>SUMIFS(#REF!,#REF!,$A244,#REF!,$B244,#REF!,$C244,#REF!,"Other Sector Demand")</f>
        <v>#REF!</v>
      </c>
      <c r="I244" s="105" t="e">
        <f t="shared" si="13"/>
        <v>#REF!</v>
      </c>
      <c r="J244" s="106" t="e">
        <f t="shared" si="14"/>
        <v>#REF!</v>
      </c>
      <c r="K244" s="107" t="e">
        <f t="shared" si="15"/>
        <v>#REF!</v>
      </c>
    </row>
    <row r="245" spans="1:11" ht="15" customHeight="1" x14ac:dyDescent="0.2">
      <c r="A245" s="104" t="s">
        <v>205</v>
      </c>
      <c r="B245" s="104" t="s">
        <v>208</v>
      </c>
      <c r="C245" s="104" t="s">
        <v>75</v>
      </c>
      <c r="D245" s="104">
        <v>2050</v>
      </c>
      <c r="E245" s="105" t="e">
        <f>SUMIFS(#REF!,#REF!,$A245,#REF!,$B245,#REF!,$C245,#REF!,"Storage Demand")</f>
        <v>#REF!</v>
      </c>
      <c r="F245" s="105" t="e">
        <f>SUMIFS(#REF!,#REF!,$A245,#REF!,$B245,#REF!,$C245,#REF!,"&lt;&gt;Other Sector Demand")</f>
        <v>#REF!</v>
      </c>
      <c r="G245" s="106" t="e">
        <f t="shared" si="12"/>
        <v>#REF!</v>
      </c>
      <c r="H245" s="105" t="e">
        <f>SUMIFS(#REF!,#REF!,$A245,#REF!,$B245,#REF!,$C245,#REF!,"Other Sector Demand")</f>
        <v>#REF!</v>
      </c>
      <c r="I245" s="105" t="e">
        <f t="shared" si="13"/>
        <v>#REF!</v>
      </c>
      <c r="J245" s="106" t="e">
        <f t="shared" si="14"/>
        <v>#REF!</v>
      </c>
      <c r="K245" s="107" t="e">
        <f t="shared" si="15"/>
        <v>#REF!</v>
      </c>
    </row>
    <row r="246" spans="1:11" ht="15" customHeight="1" x14ac:dyDescent="0.2">
      <c r="A246" s="104" t="s">
        <v>205</v>
      </c>
      <c r="B246" s="104" t="s">
        <v>208</v>
      </c>
      <c r="C246" s="104" t="s">
        <v>76</v>
      </c>
      <c r="D246" s="104">
        <v>2020</v>
      </c>
      <c r="E246" s="105" t="e">
        <f>SUMIFS(#REF!,#REF!,$A246,#REF!,$B246,#REF!,$C246,#REF!,"Storage Demand")</f>
        <v>#REF!</v>
      </c>
      <c r="F246" s="105" t="e">
        <f>SUMIFS(#REF!,#REF!,$A246,#REF!,$B246,#REF!,$C246,#REF!,"&lt;&gt;Other Sector Demand")</f>
        <v>#REF!</v>
      </c>
      <c r="G246" s="106" t="e">
        <f t="shared" si="12"/>
        <v>#REF!</v>
      </c>
      <c r="H246" s="105" t="e">
        <f>SUMIFS(#REF!,#REF!,$A246,#REF!,$B246,#REF!,$C246,#REF!,"Other Sector Demand")</f>
        <v>#REF!</v>
      </c>
      <c r="I246" s="105" t="e">
        <f t="shared" si="13"/>
        <v>#REF!</v>
      </c>
      <c r="J246" s="106" t="e">
        <f t="shared" si="14"/>
        <v>#REF!</v>
      </c>
      <c r="K246" s="107" t="e">
        <f t="shared" si="15"/>
        <v>#REF!</v>
      </c>
    </row>
    <row r="247" spans="1:11" ht="15" customHeight="1" x14ac:dyDescent="0.2">
      <c r="A247" s="104" t="s">
        <v>205</v>
      </c>
      <c r="B247" s="104" t="s">
        <v>208</v>
      </c>
      <c r="C247" s="104" t="s">
        <v>76</v>
      </c>
      <c r="D247" s="104">
        <v>2030</v>
      </c>
      <c r="E247" s="105" t="e">
        <f>SUMIFS(#REF!,#REF!,$A247,#REF!,$B247,#REF!,$C247,#REF!,"Storage Demand")</f>
        <v>#REF!</v>
      </c>
      <c r="F247" s="105" t="e">
        <f>SUMIFS(#REF!,#REF!,$A247,#REF!,$B247,#REF!,$C247,#REF!,"&lt;&gt;Other Sector Demand")</f>
        <v>#REF!</v>
      </c>
      <c r="G247" s="106" t="e">
        <f t="shared" si="12"/>
        <v>#REF!</v>
      </c>
      <c r="H247" s="105" t="e">
        <f>SUMIFS(#REF!,#REF!,$A247,#REF!,$B247,#REF!,$C247,#REF!,"Other Sector Demand")</f>
        <v>#REF!</v>
      </c>
      <c r="I247" s="105" t="e">
        <f t="shared" si="13"/>
        <v>#REF!</v>
      </c>
      <c r="J247" s="106" t="e">
        <f t="shared" si="14"/>
        <v>#REF!</v>
      </c>
      <c r="K247" s="107" t="e">
        <f t="shared" si="15"/>
        <v>#REF!</v>
      </c>
    </row>
    <row r="248" spans="1:11" ht="15" customHeight="1" x14ac:dyDescent="0.2">
      <c r="A248" s="104" t="s">
        <v>205</v>
      </c>
      <c r="B248" s="104" t="s">
        <v>208</v>
      </c>
      <c r="C248" s="104" t="s">
        <v>76</v>
      </c>
      <c r="D248" s="104">
        <v>2040</v>
      </c>
      <c r="E248" s="105" t="e">
        <f>SUMIFS(#REF!,#REF!,$A248,#REF!,$B248,#REF!,$C248,#REF!,"Storage Demand")</f>
        <v>#REF!</v>
      </c>
      <c r="F248" s="105" t="e">
        <f>SUMIFS(#REF!,#REF!,$A248,#REF!,$B248,#REF!,$C248,#REF!,"&lt;&gt;Other Sector Demand")</f>
        <v>#REF!</v>
      </c>
      <c r="G248" s="106" t="e">
        <f t="shared" si="12"/>
        <v>#REF!</v>
      </c>
      <c r="H248" s="105" t="e">
        <f>SUMIFS(#REF!,#REF!,$A248,#REF!,$B248,#REF!,$C248,#REF!,"Other Sector Demand")</f>
        <v>#REF!</v>
      </c>
      <c r="I248" s="105" t="e">
        <f t="shared" si="13"/>
        <v>#REF!</v>
      </c>
      <c r="J248" s="106" t="e">
        <f t="shared" si="14"/>
        <v>#REF!</v>
      </c>
      <c r="K248" s="107" t="e">
        <f t="shared" si="15"/>
        <v>#REF!</v>
      </c>
    </row>
    <row r="249" spans="1:11" ht="15" customHeight="1" x14ac:dyDescent="0.2">
      <c r="A249" s="104" t="s">
        <v>205</v>
      </c>
      <c r="B249" s="104" t="s">
        <v>208</v>
      </c>
      <c r="C249" s="104" t="s">
        <v>76</v>
      </c>
      <c r="D249" s="104">
        <v>2050</v>
      </c>
      <c r="E249" s="105" t="e">
        <f>SUMIFS(#REF!,#REF!,$A249,#REF!,$B249,#REF!,$C249,#REF!,"Storage Demand")</f>
        <v>#REF!</v>
      </c>
      <c r="F249" s="105" t="e">
        <f>SUMIFS(#REF!,#REF!,$A249,#REF!,$B249,#REF!,$C249,#REF!,"&lt;&gt;Other Sector Demand")</f>
        <v>#REF!</v>
      </c>
      <c r="G249" s="106" t="e">
        <f t="shared" si="12"/>
        <v>#REF!</v>
      </c>
      <c r="H249" s="105" t="e">
        <f>SUMIFS(#REF!,#REF!,$A249,#REF!,$B249,#REF!,$C249,#REF!,"Other Sector Demand")</f>
        <v>#REF!</v>
      </c>
      <c r="I249" s="105" t="e">
        <f t="shared" si="13"/>
        <v>#REF!</v>
      </c>
      <c r="J249" s="106" t="e">
        <f t="shared" si="14"/>
        <v>#REF!</v>
      </c>
      <c r="K249" s="107" t="e">
        <f t="shared" si="15"/>
        <v>#REF!</v>
      </c>
    </row>
    <row r="250" spans="1:11" ht="15" customHeight="1" x14ac:dyDescent="0.2">
      <c r="A250" s="104" t="s">
        <v>205</v>
      </c>
      <c r="B250" s="104" t="s">
        <v>208</v>
      </c>
      <c r="C250" s="104" t="s">
        <v>77</v>
      </c>
      <c r="D250" s="104">
        <v>2020</v>
      </c>
      <c r="E250" s="105" t="e">
        <f>SUMIFS(#REF!,#REF!,$A250,#REF!,$B250,#REF!,$C250,#REF!,"Storage Demand")</f>
        <v>#REF!</v>
      </c>
      <c r="F250" s="105" t="e">
        <f>SUMIFS(#REF!,#REF!,$A250,#REF!,$B250,#REF!,$C250,#REF!,"&lt;&gt;Other Sector Demand")</f>
        <v>#REF!</v>
      </c>
      <c r="G250" s="106" t="e">
        <f t="shared" si="12"/>
        <v>#REF!</v>
      </c>
      <c r="H250" s="105" t="e">
        <f>SUMIFS(#REF!,#REF!,$A250,#REF!,$B250,#REF!,$C250,#REF!,"Other Sector Demand")</f>
        <v>#REF!</v>
      </c>
      <c r="I250" s="105" t="e">
        <f t="shared" si="13"/>
        <v>#REF!</v>
      </c>
      <c r="J250" s="106" t="e">
        <f t="shared" si="14"/>
        <v>#REF!</v>
      </c>
      <c r="K250" s="107" t="e">
        <f t="shared" si="15"/>
        <v>#REF!</v>
      </c>
    </row>
    <row r="251" spans="1:11" ht="15" customHeight="1" x14ac:dyDescent="0.2">
      <c r="A251" s="104" t="s">
        <v>205</v>
      </c>
      <c r="B251" s="104" t="s">
        <v>208</v>
      </c>
      <c r="C251" s="104" t="s">
        <v>77</v>
      </c>
      <c r="D251" s="104">
        <v>2030</v>
      </c>
      <c r="E251" s="105" t="e">
        <f>SUMIFS(#REF!,#REF!,$A251,#REF!,$B251,#REF!,$C251,#REF!,"Storage Demand")</f>
        <v>#REF!</v>
      </c>
      <c r="F251" s="105" t="e">
        <f>SUMIFS(#REF!,#REF!,$A251,#REF!,$B251,#REF!,$C251,#REF!,"&lt;&gt;Other Sector Demand")</f>
        <v>#REF!</v>
      </c>
      <c r="G251" s="106" t="e">
        <f t="shared" si="12"/>
        <v>#REF!</v>
      </c>
      <c r="H251" s="105" t="e">
        <f>SUMIFS(#REF!,#REF!,$A251,#REF!,$B251,#REF!,$C251,#REF!,"Other Sector Demand")</f>
        <v>#REF!</v>
      </c>
      <c r="I251" s="105" t="e">
        <f t="shared" si="13"/>
        <v>#REF!</v>
      </c>
      <c r="J251" s="106" t="e">
        <f t="shared" si="14"/>
        <v>#REF!</v>
      </c>
      <c r="K251" s="107" t="e">
        <f t="shared" si="15"/>
        <v>#REF!</v>
      </c>
    </row>
    <row r="252" spans="1:11" ht="15" customHeight="1" x14ac:dyDescent="0.2">
      <c r="A252" s="104" t="s">
        <v>205</v>
      </c>
      <c r="B252" s="104" t="s">
        <v>208</v>
      </c>
      <c r="C252" s="104" t="s">
        <v>77</v>
      </c>
      <c r="D252" s="104">
        <v>2040</v>
      </c>
      <c r="E252" s="105" t="e">
        <f>SUMIFS(#REF!,#REF!,$A252,#REF!,$B252,#REF!,$C252,#REF!,"Storage Demand")</f>
        <v>#REF!</v>
      </c>
      <c r="F252" s="105" t="e">
        <f>SUMIFS(#REF!,#REF!,$A252,#REF!,$B252,#REF!,$C252,#REF!,"&lt;&gt;Other Sector Demand")</f>
        <v>#REF!</v>
      </c>
      <c r="G252" s="106" t="e">
        <f t="shared" si="12"/>
        <v>#REF!</v>
      </c>
      <c r="H252" s="105" t="e">
        <f>SUMIFS(#REF!,#REF!,$A252,#REF!,$B252,#REF!,$C252,#REF!,"Other Sector Demand")</f>
        <v>#REF!</v>
      </c>
      <c r="I252" s="105" t="e">
        <f t="shared" si="13"/>
        <v>#REF!</v>
      </c>
      <c r="J252" s="106" t="e">
        <f t="shared" si="14"/>
        <v>#REF!</v>
      </c>
      <c r="K252" s="107" t="e">
        <f t="shared" si="15"/>
        <v>#REF!</v>
      </c>
    </row>
    <row r="253" spans="1:11" ht="15" customHeight="1" x14ac:dyDescent="0.2">
      <c r="A253" s="104" t="s">
        <v>205</v>
      </c>
      <c r="B253" s="104" t="s">
        <v>208</v>
      </c>
      <c r="C253" s="104" t="s">
        <v>77</v>
      </c>
      <c r="D253" s="104">
        <v>2050</v>
      </c>
      <c r="E253" s="105" t="e">
        <f>SUMIFS(#REF!,#REF!,$A253,#REF!,$B253,#REF!,$C253,#REF!,"Storage Demand")</f>
        <v>#REF!</v>
      </c>
      <c r="F253" s="105" t="e">
        <f>SUMIFS(#REF!,#REF!,$A253,#REF!,$B253,#REF!,$C253,#REF!,"&lt;&gt;Other Sector Demand")</f>
        <v>#REF!</v>
      </c>
      <c r="G253" s="106" t="e">
        <f t="shared" si="12"/>
        <v>#REF!</v>
      </c>
      <c r="H253" s="105" t="e">
        <f>SUMIFS(#REF!,#REF!,$A253,#REF!,$B253,#REF!,$C253,#REF!,"Other Sector Demand")</f>
        <v>#REF!</v>
      </c>
      <c r="I253" s="105" t="e">
        <f t="shared" si="13"/>
        <v>#REF!</v>
      </c>
      <c r="J253" s="106" t="e">
        <f t="shared" si="14"/>
        <v>#REF!</v>
      </c>
      <c r="K253" s="107" t="e">
        <f t="shared" si="15"/>
        <v>#REF!</v>
      </c>
    </row>
    <row r="254" spans="1:11" ht="15" customHeight="1" x14ac:dyDescent="0.2">
      <c r="A254" s="104" t="s">
        <v>205</v>
      </c>
      <c r="B254" s="104" t="s">
        <v>208</v>
      </c>
      <c r="C254" s="104" t="s">
        <v>78</v>
      </c>
      <c r="D254" s="104">
        <v>2020</v>
      </c>
      <c r="E254" s="105" t="e">
        <f>SUMIFS(#REF!,#REF!,$A254,#REF!,$B254,#REF!,$C254,#REF!,"Storage Demand")</f>
        <v>#REF!</v>
      </c>
      <c r="F254" s="105" t="e">
        <f>SUMIFS(#REF!,#REF!,$A254,#REF!,$B254,#REF!,$C254,#REF!,"&lt;&gt;Other Sector Demand")</f>
        <v>#REF!</v>
      </c>
      <c r="G254" s="106" t="e">
        <f t="shared" si="12"/>
        <v>#REF!</v>
      </c>
      <c r="H254" s="105" t="e">
        <f>SUMIFS(#REF!,#REF!,$A254,#REF!,$B254,#REF!,$C254,#REF!,"Other Sector Demand")</f>
        <v>#REF!</v>
      </c>
      <c r="I254" s="105" t="e">
        <f t="shared" si="13"/>
        <v>#REF!</v>
      </c>
      <c r="J254" s="106" t="e">
        <f t="shared" si="14"/>
        <v>#REF!</v>
      </c>
      <c r="K254" s="107" t="e">
        <f t="shared" si="15"/>
        <v>#REF!</v>
      </c>
    </row>
    <row r="255" spans="1:11" ht="15" customHeight="1" x14ac:dyDescent="0.2">
      <c r="A255" s="104" t="s">
        <v>205</v>
      </c>
      <c r="B255" s="104" t="s">
        <v>208</v>
      </c>
      <c r="C255" s="104" t="s">
        <v>78</v>
      </c>
      <c r="D255" s="104">
        <v>2030</v>
      </c>
      <c r="E255" s="105" t="e">
        <f>SUMIFS(#REF!,#REF!,$A255,#REF!,$B255,#REF!,$C255,#REF!,"Storage Demand")</f>
        <v>#REF!</v>
      </c>
      <c r="F255" s="105" t="e">
        <f>SUMIFS(#REF!,#REF!,$A255,#REF!,$B255,#REF!,$C255,#REF!,"&lt;&gt;Other Sector Demand")</f>
        <v>#REF!</v>
      </c>
      <c r="G255" s="106" t="e">
        <f t="shared" si="12"/>
        <v>#REF!</v>
      </c>
      <c r="H255" s="105" t="e">
        <f>SUMIFS(#REF!,#REF!,$A255,#REF!,$B255,#REF!,$C255,#REF!,"Other Sector Demand")</f>
        <v>#REF!</v>
      </c>
      <c r="I255" s="105" t="e">
        <f t="shared" si="13"/>
        <v>#REF!</v>
      </c>
      <c r="J255" s="106" t="e">
        <f t="shared" si="14"/>
        <v>#REF!</v>
      </c>
      <c r="K255" s="107" t="e">
        <f t="shared" si="15"/>
        <v>#REF!</v>
      </c>
    </row>
    <row r="256" spans="1:11" ht="15" customHeight="1" x14ac:dyDescent="0.2">
      <c r="A256" s="104" t="s">
        <v>205</v>
      </c>
      <c r="B256" s="104" t="s">
        <v>208</v>
      </c>
      <c r="C256" s="104" t="s">
        <v>78</v>
      </c>
      <c r="D256" s="104">
        <v>2040</v>
      </c>
      <c r="E256" s="105" t="e">
        <f>SUMIFS(#REF!,#REF!,$A256,#REF!,$B256,#REF!,$C256,#REF!,"Storage Demand")</f>
        <v>#REF!</v>
      </c>
      <c r="F256" s="105" t="e">
        <f>SUMIFS(#REF!,#REF!,$A256,#REF!,$B256,#REF!,$C256,#REF!,"&lt;&gt;Other Sector Demand")</f>
        <v>#REF!</v>
      </c>
      <c r="G256" s="106" t="e">
        <f t="shared" si="12"/>
        <v>#REF!</v>
      </c>
      <c r="H256" s="105" t="e">
        <f>SUMIFS(#REF!,#REF!,$A256,#REF!,$B256,#REF!,$C256,#REF!,"Other Sector Demand")</f>
        <v>#REF!</v>
      </c>
      <c r="I256" s="105" t="e">
        <f t="shared" si="13"/>
        <v>#REF!</v>
      </c>
      <c r="J256" s="106" t="e">
        <f t="shared" si="14"/>
        <v>#REF!</v>
      </c>
      <c r="K256" s="107" t="e">
        <f t="shared" si="15"/>
        <v>#REF!</v>
      </c>
    </row>
    <row r="257" spans="1:11" ht="15" customHeight="1" x14ac:dyDescent="0.2">
      <c r="A257" s="104" t="s">
        <v>205</v>
      </c>
      <c r="B257" s="104" t="s">
        <v>208</v>
      </c>
      <c r="C257" s="104" t="s">
        <v>78</v>
      </c>
      <c r="D257" s="104">
        <v>2050</v>
      </c>
      <c r="E257" s="105" t="e">
        <f>SUMIFS(#REF!,#REF!,$A257,#REF!,$B257,#REF!,$C257,#REF!,"Storage Demand")</f>
        <v>#REF!</v>
      </c>
      <c r="F257" s="105" t="e">
        <f>SUMIFS(#REF!,#REF!,$A257,#REF!,$B257,#REF!,$C257,#REF!,"&lt;&gt;Other Sector Demand")</f>
        <v>#REF!</v>
      </c>
      <c r="G257" s="106" t="e">
        <f t="shared" si="12"/>
        <v>#REF!</v>
      </c>
      <c r="H257" s="105" t="e">
        <f>SUMIFS(#REF!,#REF!,$A257,#REF!,$B257,#REF!,$C257,#REF!,"Other Sector Demand")</f>
        <v>#REF!</v>
      </c>
      <c r="I257" s="105" t="e">
        <f t="shared" si="13"/>
        <v>#REF!</v>
      </c>
      <c r="J257" s="106" t="e">
        <f t="shared" si="14"/>
        <v>#REF!</v>
      </c>
      <c r="K257" s="107" t="e">
        <f t="shared" si="15"/>
        <v>#REF!</v>
      </c>
    </row>
    <row r="258" spans="1:11" ht="15" customHeight="1" x14ac:dyDescent="0.2">
      <c r="A258" s="104" t="s">
        <v>205</v>
      </c>
      <c r="B258" s="104" t="s">
        <v>209</v>
      </c>
      <c r="C258" s="104" t="s">
        <v>38</v>
      </c>
      <c r="D258" s="104">
        <v>2020</v>
      </c>
      <c r="E258" s="105" t="e">
        <f>SUMIFS(#REF!,#REF!,$A258,#REF!,$B258,#REF!,$C258,#REF!,"Storage Demand")</f>
        <v>#REF!</v>
      </c>
      <c r="F258" s="105" t="e">
        <f>SUMIFS(#REF!,#REF!,$A258,#REF!,$B258,#REF!,$C258,#REF!,"&lt;&gt;Other Sector Demand")</f>
        <v>#REF!</v>
      </c>
      <c r="G258" s="106" t="e">
        <f t="shared" ref="G258:G321" si="16">IF($F258=0,0,$E258/$F258)</f>
        <v>#REF!</v>
      </c>
      <c r="H258" s="105" t="e">
        <f>SUMIFS(#REF!,#REF!,$A258,#REF!,$B258,#REF!,$C258,#REF!,"Other Sector Demand")</f>
        <v>#REF!</v>
      </c>
      <c r="I258" s="105" t="e">
        <f t="shared" ref="I258:I321" si="17">$F258+$H258</f>
        <v>#REF!</v>
      </c>
      <c r="J258" s="106" t="e">
        <f t="shared" ref="J258:J321" si="18">IF($I258=0,0,$E258/$I258)</f>
        <v>#REF!</v>
      </c>
      <c r="K258" s="107" t="e">
        <f t="shared" ref="K258:K321" si="19">IF(SUMIFS($F$2:$F$1025,$A$2:$A$1025,$A258,$B$2:$B$1025,$B258,$C$2:$C$1025,$C258)=0,0,SUMIFS($E$2:$E$1025,$A$2:$A$1025,$A258,$B$2:$B$1025,$B258,$C$2:$C$1025,$C258)/SUMIFS($F$2:$F$1025,$A$2:$A$1025,$A258,$B$2:$B$1025,$B258,$C$2:$C$1025,$C258))</f>
        <v>#REF!</v>
      </c>
    </row>
    <row r="259" spans="1:11" ht="15" customHeight="1" x14ac:dyDescent="0.2">
      <c r="A259" s="104" t="s">
        <v>205</v>
      </c>
      <c r="B259" s="104" t="s">
        <v>209</v>
      </c>
      <c r="C259" s="104" t="s">
        <v>38</v>
      </c>
      <c r="D259" s="104">
        <v>2030</v>
      </c>
      <c r="E259" s="105" t="e">
        <f>SUMIFS(#REF!,#REF!,$A259,#REF!,$B259,#REF!,$C259,#REF!,"Storage Demand")</f>
        <v>#REF!</v>
      </c>
      <c r="F259" s="105" t="e">
        <f>SUMIFS(#REF!,#REF!,$A259,#REF!,$B259,#REF!,$C259,#REF!,"&lt;&gt;Other Sector Demand")</f>
        <v>#REF!</v>
      </c>
      <c r="G259" s="106" t="e">
        <f t="shared" si="16"/>
        <v>#REF!</v>
      </c>
      <c r="H259" s="105" t="e">
        <f>SUMIFS(#REF!,#REF!,$A259,#REF!,$B259,#REF!,$C259,#REF!,"Other Sector Demand")</f>
        <v>#REF!</v>
      </c>
      <c r="I259" s="105" t="e">
        <f t="shared" si="17"/>
        <v>#REF!</v>
      </c>
      <c r="J259" s="106" t="e">
        <f t="shared" si="18"/>
        <v>#REF!</v>
      </c>
      <c r="K259" s="107" t="e">
        <f t="shared" si="19"/>
        <v>#REF!</v>
      </c>
    </row>
    <row r="260" spans="1:11" ht="15" customHeight="1" x14ac:dyDescent="0.2">
      <c r="A260" s="104" t="s">
        <v>205</v>
      </c>
      <c r="B260" s="104" t="s">
        <v>209</v>
      </c>
      <c r="C260" s="104" t="s">
        <v>38</v>
      </c>
      <c r="D260" s="104">
        <v>2040</v>
      </c>
      <c r="E260" s="105" t="e">
        <f>SUMIFS(#REF!,#REF!,$A260,#REF!,$B260,#REF!,$C260,#REF!,"Storage Demand")</f>
        <v>#REF!</v>
      </c>
      <c r="F260" s="105" t="e">
        <f>SUMIFS(#REF!,#REF!,$A260,#REF!,$B260,#REF!,$C260,#REF!,"&lt;&gt;Other Sector Demand")</f>
        <v>#REF!</v>
      </c>
      <c r="G260" s="106" t="e">
        <f t="shared" si="16"/>
        <v>#REF!</v>
      </c>
      <c r="H260" s="105" t="e">
        <f>SUMIFS(#REF!,#REF!,$A260,#REF!,$B260,#REF!,$C260,#REF!,"Other Sector Demand")</f>
        <v>#REF!</v>
      </c>
      <c r="I260" s="105" t="e">
        <f t="shared" si="17"/>
        <v>#REF!</v>
      </c>
      <c r="J260" s="106" t="e">
        <f t="shared" si="18"/>
        <v>#REF!</v>
      </c>
      <c r="K260" s="107" t="e">
        <f t="shared" si="19"/>
        <v>#REF!</v>
      </c>
    </row>
    <row r="261" spans="1:11" ht="15" customHeight="1" x14ac:dyDescent="0.2">
      <c r="A261" s="104" t="s">
        <v>205</v>
      </c>
      <c r="B261" s="104" t="s">
        <v>209</v>
      </c>
      <c r="C261" s="104" t="s">
        <v>38</v>
      </c>
      <c r="D261" s="104">
        <v>2050</v>
      </c>
      <c r="E261" s="105" t="e">
        <f>SUMIFS(#REF!,#REF!,$A261,#REF!,$B261,#REF!,$C261,#REF!,"Storage Demand")</f>
        <v>#REF!</v>
      </c>
      <c r="F261" s="105" t="e">
        <f>SUMIFS(#REF!,#REF!,$A261,#REF!,$B261,#REF!,$C261,#REF!,"&lt;&gt;Other Sector Demand")</f>
        <v>#REF!</v>
      </c>
      <c r="G261" s="106" t="e">
        <f t="shared" si="16"/>
        <v>#REF!</v>
      </c>
      <c r="H261" s="105" t="e">
        <f>SUMIFS(#REF!,#REF!,$A261,#REF!,$B261,#REF!,$C261,#REF!,"Other Sector Demand")</f>
        <v>#REF!</v>
      </c>
      <c r="I261" s="105" t="e">
        <f t="shared" si="17"/>
        <v>#REF!</v>
      </c>
      <c r="J261" s="106" t="e">
        <f t="shared" si="18"/>
        <v>#REF!</v>
      </c>
      <c r="K261" s="107" t="e">
        <f t="shared" si="19"/>
        <v>#REF!</v>
      </c>
    </row>
    <row r="262" spans="1:11" ht="15" customHeight="1" x14ac:dyDescent="0.2">
      <c r="A262" s="104" t="s">
        <v>205</v>
      </c>
      <c r="B262" s="104" t="s">
        <v>209</v>
      </c>
      <c r="C262" s="104" t="s">
        <v>39</v>
      </c>
      <c r="D262" s="104">
        <v>2020</v>
      </c>
      <c r="E262" s="105" t="e">
        <f>SUMIFS(#REF!,#REF!,$A262,#REF!,$B262,#REF!,$C262,#REF!,"Storage Demand")</f>
        <v>#REF!</v>
      </c>
      <c r="F262" s="105" t="e">
        <f>SUMIFS(#REF!,#REF!,$A262,#REF!,$B262,#REF!,$C262,#REF!,"&lt;&gt;Other Sector Demand")</f>
        <v>#REF!</v>
      </c>
      <c r="G262" s="106" t="e">
        <f t="shared" si="16"/>
        <v>#REF!</v>
      </c>
      <c r="H262" s="105" t="e">
        <f>SUMIFS(#REF!,#REF!,$A262,#REF!,$B262,#REF!,$C262,#REF!,"Other Sector Demand")</f>
        <v>#REF!</v>
      </c>
      <c r="I262" s="105" t="e">
        <f t="shared" si="17"/>
        <v>#REF!</v>
      </c>
      <c r="J262" s="106" t="e">
        <f t="shared" si="18"/>
        <v>#REF!</v>
      </c>
      <c r="K262" s="107" t="e">
        <f t="shared" si="19"/>
        <v>#REF!</v>
      </c>
    </row>
    <row r="263" spans="1:11" ht="15" customHeight="1" x14ac:dyDescent="0.2">
      <c r="A263" s="104" t="s">
        <v>205</v>
      </c>
      <c r="B263" s="104" t="s">
        <v>209</v>
      </c>
      <c r="C263" s="104" t="s">
        <v>39</v>
      </c>
      <c r="D263" s="104">
        <v>2030</v>
      </c>
      <c r="E263" s="105" t="e">
        <f>SUMIFS(#REF!,#REF!,$A263,#REF!,$B263,#REF!,$C263,#REF!,"Storage Demand")</f>
        <v>#REF!</v>
      </c>
      <c r="F263" s="105" t="e">
        <f>SUMIFS(#REF!,#REF!,$A263,#REF!,$B263,#REF!,$C263,#REF!,"&lt;&gt;Other Sector Demand")</f>
        <v>#REF!</v>
      </c>
      <c r="G263" s="106" t="e">
        <f t="shared" si="16"/>
        <v>#REF!</v>
      </c>
      <c r="H263" s="105" t="e">
        <f>SUMIFS(#REF!,#REF!,$A263,#REF!,$B263,#REF!,$C263,#REF!,"Other Sector Demand")</f>
        <v>#REF!</v>
      </c>
      <c r="I263" s="105" t="e">
        <f t="shared" si="17"/>
        <v>#REF!</v>
      </c>
      <c r="J263" s="106" t="e">
        <f t="shared" si="18"/>
        <v>#REF!</v>
      </c>
      <c r="K263" s="107" t="e">
        <f t="shared" si="19"/>
        <v>#REF!</v>
      </c>
    </row>
    <row r="264" spans="1:11" ht="15" customHeight="1" x14ac:dyDescent="0.2">
      <c r="A264" s="104" t="s">
        <v>205</v>
      </c>
      <c r="B264" s="104" t="s">
        <v>209</v>
      </c>
      <c r="C264" s="104" t="s">
        <v>39</v>
      </c>
      <c r="D264" s="104">
        <v>2040</v>
      </c>
      <c r="E264" s="105" t="e">
        <f>SUMIFS(#REF!,#REF!,$A264,#REF!,$B264,#REF!,$C264,#REF!,"Storage Demand")</f>
        <v>#REF!</v>
      </c>
      <c r="F264" s="105" t="e">
        <f>SUMIFS(#REF!,#REF!,$A264,#REF!,$B264,#REF!,$C264,#REF!,"&lt;&gt;Other Sector Demand")</f>
        <v>#REF!</v>
      </c>
      <c r="G264" s="106" t="e">
        <f t="shared" si="16"/>
        <v>#REF!</v>
      </c>
      <c r="H264" s="105" t="e">
        <f>SUMIFS(#REF!,#REF!,$A264,#REF!,$B264,#REF!,$C264,#REF!,"Other Sector Demand")</f>
        <v>#REF!</v>
      </c>
      <c r="I264" s="105" t="e">
        <f t="shared" si="17"/>
        <v>#REF!</v>
      </c>
      <c r="J264" s="106" t="e">
        <f t="shared" si="18"/>
        <v>#REF!</v>
      </c>
      <c r="K264" s="107" t="e">
        <f t="shared" si="19"/>
        <v>#REF!</v>
      </c>
    </row>
    <row r="265" spans="1:11" ht="15" customHeight="1" x14ac:dyDescent="0.2">
      <c r="A265" s="104" t="s">
        <v>205</v>
      </c>
      <c r="B265" s="104" t="s">
        <v>209</v>
      </c>
      <c r="C265" s="104" t="s">
        <v>39</v>
      </c>
      <c r="D265" s="104">
        <v>2050</v>
      </c>
      <c r="E265" s="105" t="e">
        <f>SUMIFS(#REF!,#REF!,$A265,#REF!,$B265,#REF!,$C265,#REF!,"Storage Demand")</f>
        <v>#REF!</v>
      </c>
      <c r="F265" s="105" t="e">
        <f>SUMIFS(#REF!,#REF!,$A265,#REF!,$B265,#REF!,$C265,#REF!,"&lt;&gt;Other Sector Demand")</f>
        <v>#REF!</v>
      </c>
      <c r="G265" s="106" t="e">
        <f t="shared" si="16"/>
        <v>#REF!</v>
      </c>
      <c r="H265" s="105" t="e">
        <f>SUMIFS(#REF!,#REF!,$A265,#REF!,$B265,#REF!,$C265,#REF!,"Other Sector Demand")</f>
        <v>#REF!</v>
      </c>
      <c r="I265" s="105" t="e">
        <f t="shared" si="17"/>
        <v>#REF!</v>
      </c>
      <c r="J265" s="106" t="e">
        <f t="shared" si="18"/>
        <v>#REF!</v>
      </c>
      <c r="K265" s="107" t="e">
        <f t="shared" si="19"/>
        <v>#REF!</v>
      </c>
    </row>
    <row r="266" spans="1:11" ht="15" customHeight="1" x14ac:dyDescent="0.2">
      <c r="A266" s="104" t="s">
        <v>205</v>
      </c>
      <c r="B266" s="104" t="s">
        <v>209</v>
      </c>
      <c r="C266" s="104" t="s">
        <v>40</v>
      </c>
      <c r="D266" s="104">
        <v>2020</v>
      </c>
      <c r="E266" s="105" t="e">
        <f>SUMIFS(#REF!,#REF!,$A266,#REF!,$B266,#REF!,$C266,#REF!,"Storage Demand")</f>
        <v>#REF!</v>
      </c>
      <c r="F266" s="105" t="e">
        <f>SUMIFS(#REF!,#REF!,$A266,#REF!,$B266,#REF!,$C266,#REF!,"&lt;&gt;Other Sector Demand")</f>
        <v>#REF!</v>
      </c>
      <c r="G266" s="106" t="e">
        <f t="shared" si="16"/>
        <v>#REF!</v>
      </c>
      <c r="H266" s="105" t="e">
        <f>SUMIFS(#REF!,#REF!,$A266,#REF!,$B266,#REF!,$C266,#REF!,"Other Sector Demand")</f>
        <v>#REF!</v>
      </c>
      <c r="I266" s="105" t="e">
        <f t="shared" si="17"/>
        <v>#REF!</v>
      </c>
      <c r="J266" s="106" t="e">
        <f t="shared" si="18"/>
        <v>#REF!</v>
      </c>
      <c r="K266" s="107" t="e">
        <f t="shared" si="19"/>
        <v>#REF!</v>
      </c>
    </row>
    <row r="267" spans="1:11" ht="15" customHeight="1" x14ac:dyDescent="0.2">
      <c r="A267" s="104" t="s">
        <v>205</v>
      </c>
      <c r="B267" s="104" t="s">
        <v>209</v>
      </c>
      <c r="C267" s="104" t="s">
        <v>40</v>
      </c>
      <c r="D267" s="104">
        <v>2030</v>
      </c>
      <c r="E267" s="105" t="e">
        <f>SUMIFS(#REF!,#REF!,$A267,#REF!,$B267,#REF!,$C267,#REF!,"Storage Demand")</f>
        <v>#REF!</v>
      </c>
      <c r="F267" s="105" t="e">
        <f>SUMIFS(#REF!,#REF!,$A267,#REF!,$B267,#REF!,$C267,#REF!,"&lt;&gt;Other Sector Demand")</f>
        <v>#REF!</v>
      </c>
      <c r="G267" s="106" t="e">
        <f t="shared" si="16"/>
        <v>#REF!</v>
      </c>
      <c r="H267" s="105" t="e">
        <f>SUMIFS(#REF!,#REF!,$A267,#REF!,$B267,#REF!,$C267,#REF!,"Other Sector Demand")</f>
        <v>#REF!</v>
      </c>
      <c r="I267" s="105" t="e">
        <f t="shared" si="17"/>
        <v>#REF!</v>
      </c>
      <c r="J267" s="106" t="e">
        <f t="shared" si="18"/>
        <v>#REF!</v>
      </c>
      <c r="K267" s="107" t="e">
        <f t="shared" si="19"/>
        <v>#REF!</v>
      </c>
    </row>
    <row r="268" spans="1:11" ht="15" customHeight="1" x14ac:dyDescent="0.2">
      <c r="A268" s="104" t="s">
        <v>205</v>
      </c>
      <c r="B268" s="104" t="s">
        <v>209</v>
      </c>
      <c r="C268" s="104" t="s">
        <v>40</v>
      </c>
      <c r="D268" s="104">
        <v>2040</v>
      </c>
      <c r="E268" s="105" t="e">
        <f>SUMIFS(#REF!,#REF!,$A268,#REF!,$B268,#REF!,$C268,#REF!,"Storage Demand")</f>
        <v>#REF!</v>
      </c>
      <c r="F268" s="105" t="e">
        <f>SUMIFS(#REF!,#REF!,$A268,#REF!,$B268,#REF!,$C268,#REF!,"&lt;&gt;Other Sector Demand")</f>
        <v>#REF!</v>
      </c>
      <c r="G268" s="106" t="e">
        <f t="shared" si="16"/>
        <v>#REF!</v>
      </c>
      <c r="H268" s="105" t="e">
        <f>SUMIFS(#REF!,#REF!,$A268,#REF!,$B268,#REF!,$C268,#REF!,"Other Sector Demand")</f>
        <v>#REF!</v>
      </c>
      <c r="I268" s="105" t="e">
        <f t="shared" si="17"/>
        <v>#REF!</v>
      </c>
      <c r="J268" s="106" t="e">
        <f t="shared" si="18"/>
        <v>#REF!</v>
      </c>
      <c r="K268" s="107" t="e">
        <f t="shared" si="19"/>
        <v>#REF!</v>
      </c>
    </row>
    <row r="269" spans="1:11" ht="15" customHeight="1" x14ac:dyDescent="0.2">
      <c r="A269" s="104" t="s">
        <v>205</v>
      </c>
      <c r="B269" s="104" t="s">
        <v>209</v>
      </c>
      <c r="C269" s="104" t="s">
        <v>40</v>
      </c>
      <c r="D269" s="104">
        <v>2050</v>
      </c>
      <c r="E269" s="105" t="e">
        <f>SUMIFS(#REF!,#REF!,$A269,#REF!,$B269,#REF!,$C269,#REF!,"Storage Demand")</f>
        <v>#REF!</v>
      </c>
      <c r="F269" s="105" t="e">
        <f>SUMIFS(#REF!,#REF!,$A269,#REF!,$B269,#REF!,$C269,#REF!,"&lt;&gt;Other Sector Demand")</f>
        <v>#REF!</v>
      </c>
      <c r="G269" s="106" t="e">
        <f t="shared" si="16"/>
        <v>#REF!</v>
      </c>
      <c r="H269" s="105" t="e">
        <f>SUMIFS(#REF!,#REF!,$A269,#REF!,$B269,#REF!,$C269,#REF!,"Other Sector Demand")</f>
        <v>#REF!</v>
      </c>
      <c r="I269" s="105" t="e">
        <f t="shared" si="17"/>
        <v>#REF!</v>
      </c>
      <c r="J269" s="106" t="e">
        <f t="shared" si="18"/>
        <v>#REF!</v>
      </c>
      <c r="K269" s="107" t="e">
        <f t="shared" si="19"/>
        <v>#REF!</v>
      </c>
    </row>
    <row r="270" spans="1:11" ht="15" customHeight="1" x14ac:dyDescent="0.2">
      <c r="A270" s="104" t="s">
        <v>205</v>
      </c>
      <c r="B270" s="104" t="s">
        <v>209</v>
      </c>
      <c r="C270" s="104" t="s">
        <v>41</v>
      </c>
      <c r="D270" s="104">
        <v>2020</v>
      </c>
      <c r="E270" s="105" t="e">
        <f>SUMIFS(#REF!,#REF!,$A270,#REF!,$B270,#REF!,$C270,#REF!,"Storage Demand")</f>
        <v>#REF!</v>
      </c>
      <c r="F270" s="105" t="e">
        <f>SUMIFS(#REF!,#REF!,$A270,#REF!,$B270,#REF!,$C270,#REF!,"&lt;&gt;Other Sector Demand")</f>
        <v>#REF!</v>
      </c>
      <c r="G270" s="106" t="e">
        <f t="shared" si="16"/>
        <v>#REF!</v>
      </c>
      <c r="H270" s="105" t="e">
        <f>SUMIFS(#REF!,#REF!,$A270,#REF!,$B270,#REF!,$C270,#REF!,"Other Sector Demand")</f>
        <v>#REF!</v>
      </c>
      <c r="I270" s="105" t="e">
        <f t="shared" si="17"/>
        <v>#REF!</v>
      </c>
      <c r="J270" s="106" t="e">
        <f t="shared" si="18"/>
        <v>#REF!</v>
      </c>
      <c r="K270" s="107" t="e">
        <f t="shared" si="19"/>
        <v>#REF!</v>
      </c>
    </row>
    <row r="271" spans="1:11" ht="15" customHeight="1" x14ac:dyDescent="0.2">
      <c r="A271" s="104" t="s">
        <v>205</v>
      </c>
      <c r="B271" s="104" t="s">
        <v>209</v>
      </c>
      <c r="C271" s="104" t="s">
        <v>41</v>
      </c>
      <c r="D271" s="104">
        <v>2030</v>
      </c>
      <c r="E271" s="105" t="e">
        <f>SUMIFS(#REF!,#REF!,$A271,#REF!,$B271,#REF!,$C271,#REF!,"Storage Demand")</f>
        <v>#REF!</v>
      </c>
      <c r="F271" s="105" t="e">
        <f>SUMIFS(#REF!,#REF!,$A271,#REF!,$B271,#REF!,$C271,#REF!,"&lt;&gt;Other Sector Demand")</f>
        <v>#REF!</v>
      </c>
      <c r="G271" s="106" t="e">
        <f t="shared" si="16"/>
        <v>#REF!</v>
      </c>
      <c r="H271" s="105" t="e">
        <f>SUMIFS(#REF!,#REF!,$A271,#REF!,$B271,#REF!,$C271,#REF!,"Other Sector Demand")</f>
        <v>#REF!</v>
      </c>
      <c r="I271" s="105" t="e">
        <f t="shared" si="17"/>
        <v>#REF!</v>
      </c>
      <c r="J271" s="106" t="e">
        <f t="shared" si="18"/>
        <v>#REF!</v>
      </c>
      <c r="K271" s="107" t="e">
        <f t="shared" si="19"/>
        <v>#REF!</v>
      </c>
    </row>
    <row r="272" spans="1:11" ht="15" customHeight="1" x14ac:dyDescent="0.2">
      <c r="A272" s="104" t="s">
        <v>205</v>
      </c>
      <c r="B272" s="104" t="s">
        <v>209</v>
      </c>
      <c r="C272" s="104" t="s">
        <v>41</v>
      </c>
      <c r="D272" s="104">
        <v>2040</v>
      </c>
      <c r="E272" s="105" t="e">
        <f>SUMIFS(#REF!,#REF!,$A272,#REF!,$B272,#REF!,$C272,#REF!,"Storage Demand")</f>
        <v>#REF!</v>
      </c>
      <c r="F272" s="105" t="e">
        <f>SUMIFS(#REF!,#REF!,$A272,#REF!,$B272,#REF!,$C272,#REF!,"&lt;&gt;Other Sector Demand")</f>
        <v>#REF!</v>
      </c>
      <c r="G272" s="106" t="e">
        <f t="shared" si="16"/>
        <v>#REF!</v>
      </c>
      <c r="H272" s="105" t="e">
        <f>SUMIFS(#REF!,#REF!,$A272,#REF!,$B272,#REF!,$C272,#REF!,"Other Sector Demand")</f>
        <v>#REF!</v>
      </c>
      <c r="I272" s="105" t="e">
        <f t="shared" si="17"/>
        <v>#REF!</v>
      </c>
      <c r="J272" s="106" t="e">
        <f t="shared" si="18"/>
        <v>#REF!</v>
      </c>
      <c r="K272" s="107" t="e">
        <f t="shared" si="19"/>
        <v>#REF!</v>
      </c>
    </row>
    <row r="273" spans="1:11" ht="15" customHeight="1" x14ac:dyDescent="0.2">
      <c r="A273" s="104" t="s">
        <v>205</v>
      </c>
      <c r="B273" s="104" t="s">
        <v>209</v>
      </c>
      <c r="C273" s="104" t="s">
        <v>41</v>
      </c>
      <c r="D273" s="104">
        <v>2050</v>
      </c>
      <c r="E273" s="105" t="e">
        <f>SUMIFS(#REF!,#REF!,$A273,#REF!,$B273,#REF!,$C273,#REF!,"Storage Demand")</f>
        <v>#REF!</v>
      </c>
      <c r="F273" s="105" t="e">
        <f>SUMIFS(#REF!,#REF!,$A273,#REF!,$B273,#REF!,$C273,#REF!,"&lt;&gt;Other Sector Demand")</f>
        <v>#REF!</v>
      </c>
      <c r="G273" s="106" t="e">
        <f t="shared" si="16"/>
        <v>#REF!</v>
      </c>
      <c r="H273" s="105" t="e">
        <f>SUMIFS(#REF!,#REF!,$A273,#REF!,$B273,#REF!,$C273,#REF!,"Other Sector Demand")</f>
        <v>#REF!</v>
      </c>
      <c r="I273" s="105" t="e">
        <f t="shared" si="17"/>
        <v>#REF!</v>
      </c>
      <c r="J273" s="106" t="e">
        <f t="shared" si="18"/>
        <v>#REF!</v>
      </c>
      <c r="K273" s="107" t="e">
        <f t="shared" si="19"/>
        <v>#REF!</v>
      </c>
    </row>
    <row r="274" spans="1:11" ht="15" customHeight="1" x14ac:dyDescent="0.2">
      <c r="A274" s="104" t="s">
        <v>205</v>
      </c>
      <c r="B274" s="104" t="s">
        <v>209</v>
      </c>
      <c r="C274" s="104" t="s">
        <v>42</v>
      </c>
      <c r="D274" s="104">
        <v>2020</v>
      </c>
      <c r="E274" s="105" t="e">
        <f>SUMIFS(#REF!,#REF!,$A274,#REF!,$B274,#REF!,$C274,#REF!,"Storage Demand")</f>
        <v>#REF!</v>
      </c>
      <c r="F274" s="105" t="e">
        <f>SUMIFS(#REF!,#REF!,$A274,#REF!,$B274,#REF!,$C274,#REF!,"&lt;&gt;Other Sector Demand")</f>
        <v>#REF!</v>
      </c>
      <c r="G274" s="106" t="e">
        <f t="shared" si="16"/>
        <v>#REF!</v>
      </c>
      <c r="H274" s="105" t="e">
        <f>SUMIFS(#REF!,#REF!,$A274,#REF!,$B274,#REF!,$C274,#REF!,"Other Sector Demand")</f>
        <v>#REF!</v>
      </c>
      <c r="I274" s="105" t="e">
        <f t="shared" si="17"/>
        <v>#REF!</v>
      </c>
      <c r="J274" s="106" t="e">
        <f t="shared" si="18"/>
        <v>#REF!</v>
      </c>
      <c r="K274" s="107" t="e">
        <f t="shared" si="19"/>
        <v>#REF!</v>
      </c>
    </row>
    <row r="275" spans="1:11" ht="15" customHeight="1" x14ac:dyDescent="0.2">
      <c r="A275" s="104" t="s">
        <v>205</v>
      </c>
      <c r="B275" s="104" t="s">
        <v>209</v>
      </c>
      <c r="C275" s="104" t="s">
        <v>42</v>
      </c>
      <c r="D275" s="104">
        <v>2030</v>
      </c>
      <c r="E275" s="105" t="e">
        <f>SUMIFS(#REF!,#REF!,$A275,#REF!,$B275,#REF!,$C275,#REF!,"Storage Demand")</f>
        <v>#REF!</v>
      </c>
      <c r="F275" s="105" t="e">
        <f>SUMIFS(#REF!,#REF!,$A275,#REF!,$B275,#REF!,$C275,#REF!,"&lt;&gt;Other Sector Demand")</f>
        <v>#REF!</v>
      </c>
      <c r="G275" s="106" t="e">
        <f t="shared" si="16"/>
        <v>#REF!</v>
      </c>
      <c r="H275" s="105" t="e">
        <f>SUMIFS(#REF!,#REF!,$A275,#REF!,$B275,#REF!,$C275,#REF!,"Other Sector Demand")</f>
        <v>#REF!</v>
      </c>
      <c r="I275" s="105" t="e">
        <f t="shared" si="17"/>
        <v>#REF!</v>
      </c>
      <c r="J275" s="106" t="e">
        <f t="shared" si="18"/>
        <v>#REF!</v>
      </c>
      <c r="K275" s="107" t="e">
        <f t="shared" si="19"/>
        <v>#REF!</v>
      </c>
    </row>
    <row r="276" spans="1:11" ht="15" customHeight="1" x14ac:dyDescent="0.2">
      <c r="A276" s="104" t="s">
        <v>205</v>
      </c>
      <c r="B276" s="104" t="s">
        <v>209</v>
      </c>
      <c r="C276" s="104" t="s">
        <v>42</v>
      </c>
      <c r="D276" s="104">
        <v>2040</v>
      </c>
      <c r="E276" s="105" t="e">
        <f>SUMIFS(#REF!,#REF!,$A276,#REF!,$B276,#REF!,$C276,#REF!,"Storage Demand")</f>
        <v>#REF!</v>
      </c>
      <c r="F276" s="105" t="e">
        <f>SUMIFS(#REF!,#REF!,$A276,#REF!,$B276,#REF!,$C276,#REF!,"&lt;&gt;Other Sector Demand")</f>
        <v>#REF!</v>
      </c>
      <c r="G276" s="106" t="e">
        <f t="shared" si="16"/>
        <v>#REF!</v>
      </c>
      <c r="H276" s="105" t="e">
        <f>SUMIFS(#REF!,#REF!,$A276,#REF!,$B276,#REF!,$C276,#REF!,"Other Sector Demand")</f>
        <v>#REF!</v>
      </c>
      <c r="I276" s="105" t="e">
        <f t="shared" si="17"/>
        <v>#REF!</v>
      </c>
      <c r="J276" s="106" t="e">
        <f t="shared" si="18"/>
        <v>#REF!</v>
      </c>
      <c r="K276" s="107" t="e">
        <f t="shared" si="19"/>
        <v>#REF!</v>
      </c>
    </row>
    <row r="277" spans="1:11" ht="15" customHeight="1" x14ac:dyDescent="0.2">
      <c r="A277" s="104" t="s">
        <v>205</v>
      </c>
      <c r="B277" s="104" t="s">
        <v>209</v>
      </c>
      <c r="C277" s="104" t="s">
        <v>42</v>
      </c>
      <c r="D277" s="104">
        <v>2050</v>
      </c>
      <c r="E277" s="105" t="e">
        <f>SUMIFS(#REF!,#REF!,$A277,#REF!,$B277,#REF!,$C277,#REF!,"Storage Demand")</f>
        <v>#REF!</v>
      </c>
      <c r="F277" s="105" t="e">
        <f>SUMIFS(#REF!,#REF!,$A277,#REF!,$B277,#REF!,$C277,#REF!,"&lt;&gt;Other Sector Demand")</f>
        <v>#REF!</v>
      </c>
      <c r="G277" s="106" t="e">
        <f t="shared" si="16"/>
        <v>#REF!</v>
      </c>
      <c r="H277" s="105" t="e">
        <f>SUMIFS(#REF!,#REF!,$A277,#REF!,$B277,#REF!,$C277,#REF!,"Other Sector Demand")</f>
        <v>#REF!</v>
      </c>
      <c r="I277" s="105" t="e">
        <f t="shared" si="17"/>
        <v>#REF!</v>
      </c>
      <c r="J277" s="106" t="e">
        <f t="shared" si="18"/>
        <v>#REF!</v>
      </c>
      <c r="K277" s="107" t="e">
        <f t="shared" si="19"/>
        <v>#REF!</v>
      </c>
    </row>
    <row r="278" spans="1:11" ht="15" customHeight="1" x14ac:dyDescent="0.2">
      <c r="A278" s="104" t="s">
        <v>205</v>
      </c>
      <c r="B278" s="104" t="s">
        <v>209</v>
      </c>
      <c r="C278" s="104" t="s">
        <v>44</v>
      </c>
      <c r="D278" s="104">
        <v>2020</v>
      </c>
      <c r="E278" s="105" t="e">
        <f>SUMIFS(#REF!,#REF!,$A278,#REF!,$B278,#REF!,$C278,#REF!,"Storage Demand")</f>
        <v>#REF!</v>
      </c>
      <c r="F278" s="105" t="e">
        <f>SUMIFS(#REF!,#REF!,$A278,#REF!,$B278,#REF!,$C278,#REF!,"&lt;&gt;Other Sector Demand")</f>
        <v>#REF!</v>
      </c>
      <c r="G278" s="106" t="e">
        <f t="shared" si="16"/>
        <v>#REF!</v>
      </c>
      <c r="H278" s="105" t="e">
        <f>SUMIFS(#REF!,#REF!,$A278,#REF!,$B278,#REF!,$C278,#REF!,"Other Sector Demand")</f>
        <v>#REF!</v>
      </c>
      <c r="I278" s="105" t="e">
        <f t="shared" si="17"/>
        <v>#REF!</v>
      </c>
      <c r="J278" s="106" t="e">
        <f t="shared" si="18"/>
        <v>#REF!</v>
      </c>
      <c r="K278" s="107" t="e">
        <f t="shared" si="19"/>
        <v>#REF!</v>
      </c>
    </row>
    <row r="279" spans="1:11" ht="15" customHeight="1" x14ac:dyDescent="0.2">
      <c r="A279" s="104" t="s">
        <v>205</v>
      </c>
      <c r="B279" s="104" t="s">
        <v>209</v>
      </c>
      <c r="C279" s="104" t="s">
        <v>44</v>
      </c>
      <c r="D279" s="104">
        <v>2030</v>
      </c>
      <c r="E279" s="105" t="e">
        <f>SUMIFS(#REF!,#REF!,$A279,#REF!,$B279,#REF!,$C279,#REF!,"Storage Demand")</f>
        <v>#REF!</v>
      </c>
      <c r="F279" s="105" t="e">
        <f>SUMIFS(#REF!,#REF!,$A279,#REF!,$B279,#REF!,$C279,#REF!,"&lt;&gt;Other Sector Demand")</f>
        <v>#REF!</v>
      </c>
      <c r="G279" s="106" t="e">
        <f t="shared" si="16"/>
        <v>#REF!</v>
      </c>
      <c r="H279" s="105" t="e">
        <f>SUMIFS(#REF!,#REF!,$A279,#REF!,$B279,#REF!,$C279,#REF!,"Other Sector Demand")</f>
        <v>#REF!</v>
      </c>
      <c r="I279" s="105" t="e">
        <f t="shared" si="17"/>
        <v>#REF!</v>
      </c>
      <c r="J279" s="106" t="e">
        <f t="shared" si="18"/>
        <v>#REF!</v>
      </c>
      <c r="K279" s="107" t="e">
        <f t="shared" si="19"/>
        <v>#REF!</v>
      </c>
    </row>
    <row r="280" spans="1:11" ht="15" customHeight="1" x14ac:dyDescent="0.2">
      <c r="A280" s="104" t="s">
        <v>205</v>
      </c>
      <c r="B280" s="104" t="s">
        <v>209</v>
      </c>
      <c r="C280" s="104" t="s">
        <v>44</v>
      </c>
      <c r="D280" s="104">
        <v>2040</v>
      </c>
      <c r="E280" s="105" t="e">
        <f>SUMIFS(#REF!,#REF!,$A280,#REF!,$B280,#REF!,$C280,#REF!,"Storage Demand")</f>
        <v>#REF!</v>
      </c>
      <c r="F280" s="105" t="e">
        <f>SUMIFS(#REF!,#REF!,$A280,#REF!,$B280,#REF!,$C280,#REF!,"&lt;&gt;Other Sector Demand")</f>
        <v>#REF!</v>
      </c>
      <c r="G280" s="106" t="e">
        <f t="shared" si="16"/>
        <v>#REF!</v>
      </c>
      <c r="H280" s="105" t="e">
        <f>SUMIFS(#REF!,#REF!,$A280,#REF!,$B280,#REF!,$C280,#REF!,"Other Sector Demand")</f>
        <v>#REF!</v>
      </c>
      <c r="I280" s="105" t="e">
        <f t="shared" si="17"/>
        <v>#REF!</v>
      </c>
      <c r="J280" s="106" t="e">
        <f t="shared" si="18"/>
        <v>#REF!</v>
      </c>
      <c r="K280" s="107" t="e">
        <f t="shared" si="19"/>
        <v>#REF!</v>
      </c>
    </row>
    <row r="281" spans="1:11" ht="15" customHeight="1" x14ac:dyDescent="0.2">
      <c r="A281" s="104" t="s">
        <v>205</v>
      </c>
      <c r="B281" s="104" t="s">
        <v>209</v>
      </c>
      <c r="C281" s="104" t="s">
        <v>44</v>
      </c>
      <c r="D281" s="104">
        <v>2050</v>
      </c>
      <c r="E281" s="105" t="e">
        <f>SUMIFS(#REF!,#REF!,$A281,#REF!,$B281,#REF!,$C281,#REF!,"Storage Demand")</f>
        <v>#REF!</v>
      </c>
      <c r="F281" s="105" t="e">
        <f>SUMIFS(#REF!,#REF!,$A281,#REF!,$B281,#REF!,$C281,#REF!,"&lt;&gt;Other Sector Demand")</f>
        <v>#REF!</v>
      </c>
      <c r="G281" s="106" t="e">
        <f t="shared" si="16"/>
        <v>#REF!</v>
      </c>
      <c r="H281" s="105" t="e">
        <f>SUMIFS(#REF!,#REF!,$A281,#REF!,$B281,#REF!,$C281,#REF!,"Other Sector Demand")</f>
        <v>#REF!</v>
      </c>
      <c r="I281" s="105" t="e">
        <f t="shared" si="17"/>
        <v>#REF!</v>
      </c>
      <c r="J281" s="106" t="e">
        <f t="shared" si="18"/>
        <v>#REF!</v>
      </c>
      <c r="K281" s="107" t="e">
        <f t="shared" si="19"/>
        <v>#REF!</v>
      </c>
    </row>
    <row r="282" spans="1:11" ht="15" customHeight="1" x14ac:dyDescent="0.2">
      <c r="A282" s="104" t="s">
        <v>205</v>
      </c>
      <c r="B282" s="104" t="s">
        <v>209</v>
      </c>
      <c r="C282" s="104" t="s">
        <v>45</v>
      </c>
      <c r="D282" s="104">
        <v>2020</v>
      </c>
      <c r="E282" s="105" t="e">
        <f>SUMIFS(#REF!,#REF!,$A282,#REF!,$B282,#REF!,$C282,#REF!,"Storage Demand")</f>
        <v>#REF!</v>
      </c>
      <c r="F282" s="105" t="e">
        <f>SUMIFS(#REF!,#REF!,$A282,#REF!,$B282,#REF!,$C282,#REF!,"&lt;&gt;Other Sector Demand")</f>
        <v>#REF!</v>
      </c>
      <c r="G282" s="106" t="e">
        <f t="shared" si="16"/>
        <v>#REF!</v>
      </c>
      <c r="H282" s="105" t="e">
        <f>SUMIFS(#REF!,#REF!,$A282,#REF!,$B282,#REF!,$C282,#REF!,"Other Sector Demand")</f>
        <v>#REF!</v>
      </c>
      <c r="I282" s="105" t="e">
        <f t="shared" si="17"/>
        <v>#REF!</v>
      </c>
      <c r="J282" s="106" t="e">
        <f t="shared" si="18"/>
        <v>#REF!</v>
      </c>
      <c r="K282" s="107" t="e">
        <f t="shared" si="19"/>
        <v>#REF!</v>
      </c>
    </row>
    <row r="283" spans="1:11" ht="15" customHeight="1" x14ac:dyDescent="0.2">
      <c r="A283" s="104" t="s">
        <v>205</v>
      </c>
      <c r="B283" s="104" t="s">
        <v>209</v>
      </c>
      <c r="C283" s="104" t="s">
        <v>45</v>
      </c>
      <c r="D283" s="104">
        <v>2030</v>
      </c>
      <c r="E283" s="105" t="e">
        <f>SUMIFS(#REF!,#REF!,$A283,#REF!,$B283,#REF!,$C283,#REF!,"Storage Demand")</f>
        <v>#REF!</v>
      </c>
      <c r="F283" s="105" t="e">
        <f>SUMIFS(#REF!,#REF!,$A283,#REF!,$B283,#REF!,$C283,#REF!,"&lt;&gt;Other Sector Demand")</f>
        <v>#REF!</v>
      </c>
      <c r="G283" s="106" t="e">
        <f t="shared" si="16"/>
        <v>#REF!</v>
      </c>
      <c r="H283" s="105" t="e">
        <f>SUMIFS(#REF!,#REF!,$A283,#REF!,$B283,#REF!,$C283,#REF!,"Other Sector Demand")</f>
        <v>#REF!</v>
      </c>
      <c r="I283" s="105" t="e">
        <f t="shared" si="17"/>
        <v>#REF!</v>
      </c>
      <c r="J283" s="106" t="e">
        <f t="shared" si="18"/>
        <v>#REF!</v>
      </c>
      <c r="K283" s="107" t="e">
        <f t="shared" si="19"/>
        <v>#REF!</v>
      </c>
    </row>
    <row r="284" spans="1:11" ht="15" customHeight="1" x14ac:dyDescent="0.2">
      <c r="A284" s="104" t="s">
        <v>205</v>
      </c>
      <c r="B284" s="104" t="s">
        <v>209</v>
      </c>
      <c r="C284" s="104" t="s">
        <v>45</v>
      </c>
      <c r="D284" s="104">
        <v>2040</v>
      </c>
      <c r="E284" s="105" t="e">
        <f>SUMIFS(#REF!,#REF!,$A284,#REF!,$B284,#REF!,$C284,#REF!,"Storage Demand")</f>
        <v>#REF!</v>
      </c>
      <c r="F284" s="105" t="e">
        <f>SUMIFS(#REF!,#REF!,$A284,#REF!,$B284,#REF!,$C284,#REF!,"&lt;&gt;Other Sector Demand")</f>
        <v>#REF!</v>
      </c>
      <c r="G284" s="106" t="e">
        <f t="shared" si="16"/>
        <v>#REF!</v>
      </c>
      <c r="H284" s="105" t="e">
        <f>SUMIFS(#REF!,#REF!,$A284,#REF!,$B284,#REF!,$C284,#REF!,"Other Sector Demand")</f>
        <v>#REF!</v>
      </c>
      <c r="I284" s="105" t="e">
        <f t="shared" si="17"/>
        <v>#REF!</v>
      </c>
      <c r="J284" s="106" t="e">
        <f t="shared" si="18"/>
        <v>#REF!</v>
      </c>
      <c r="K284" s="107" t="e">
        <f t="shared" si="19"/>
        <v>#REF!</v>
      </c>
    </row>
    <row r="285" spans="1:11" ht="15" customHeight="1" x14ac:dyDescent="0.2">
      <c r="A285" s="104" t="s">
        <v>205</v>
      </c>
      <c r="B285" s="104" t="s">
        <v>209</v>
      </c>
      <c r="C285" s="104" t="s">
        <v>45</v>
      </c>
      <c r="D285" s="104">
        <v>2050</v>
      </c>
      <c r="E285" s="105" t="e">
        <f>SUMIFS(#REF!,#REF!,$A285,#REF!,$B285,#REF!,$C285,#REF!,"Storage Demand")</f>
        <v>#REF!</v>
      </c>
      <c r="F285" s="105" t="e">
        <f>SUMIFS(#REF!,#REF!,$A285,#REF!,$B285,#REF!,$C285,#REF!,"&lt;&gt;Other Sector Demand")</f>
        <v>#REF!</v>
      </c>
      <c r="G285" s="106" t="e">
        <f t="shared" si="16"/>
        <v>#REF!</v>
      </c>
      <c r="H285" s="105" t="e">
        <f>SUMIFS(#REF!,#REF!,$A285,#REF!,$B285,#REF!,$C285,#REF!,"Other Sector Demand")</f>
        <v>#REF!</v>
      </c>
      <c r="I285" s="105" t="e">
        <f t="shared" si="17"/>
        <v>#REF!</v>
      </c>
      <c r="J285" s="106" t="e">
        <f t="shared" si="18"/>
        <v>#REF!</v>
      </c>
      <c r="K285" s="107" t="e">
        <f t="shared" si="19"/>
        <v>#REF!</v>
      </c>
    </row>
    <row r="286" spans="1:11" ht="15" customHeight="1" x14ac:dyDescent="0.2">
      <c r="A286" s="104" t="s">
        <v>205</v>
      </c>
      <c r="B286" s="104" t="s">
        <v>209</v>
      </c>
      <c r="C286" s="104" t="s">
        <v>46</v>
      </c>
      <c r="D286" s="104">
        <v>2020</v>
      </c>
      <c r="E286" s="105" t="e">
        <f>SUMIFS(#REF!,#REF!,$A286,#REF!,$B286,#REF!,$C286,#REF!,"Storage Demand")</f>
        <v>#REF!</v>
      </c>
      <c r="F286" s="105" t="e">
        <f>SUMIFS(#REF!,#REF!,$A286,#REF!,$B286,#REF!,$C286,#REF!,"&lt;&gt;Other Sector Demand")</f>
        <v>#REF!</v>
      </c>
      <c r="G286" s="106" t="e">
        <f t="shared" si="16"/>
        <v>#REF!</v>
      </c>
      <c r="H286" s="105" t="e">
        <f>SUMIFS(#REF!,#REF!,$A286,#REF!,$B286,#REF!,$C286,#REF!,"Other Sector Demand")</f>
        <v>#REF!</v>
      </c>
      <c r="I286" s="105" t="e">
        <f t="shared" si="17"/>
        <v>#REF!</v>
      </c>
      <c r="J286" s="106" t="e">
        <f t="shared" si="18"/>
        <v>#REF!</v>
      </c>
      <c r="K286" s="107" t="e">
        <f t="shared" si="19"/>
        <v>#REF!</v>
      </c>
    </row>
    <row r="287" spans="1:11" ht="15" customHeight="1" x14ac:dyDescent="0.2">
      <c r="A287" s="104" t="s">
        <v>205</v>
      </c>
      <c r="B287" s="104" t="s">
        <v>209</v>
      </c>
      <c r="C287" s="104" t="s">
        <v>46</v>
      </c>
      <c r="D287" s="104">
        <v>2030</v>
      </c>
      <c r="E287" s="105" t="e">
        <f>SUMIFS(#REF!,#REF!,$A287,#REF!,$B287,#REF!,$C287,#REF!,"Storage Demand")</f>
        <v>#REF!</v>
      </c>
      <c r="F287" s="105" t="e">
        <f>SUMIFS(#REF!,#REF!,$A287,#REF!,$B287,#REF!,$C287,#REF!,"&lt;&gt;Other Sector Demand")</f>
        <v>#REF!</v>
      </c>
      <c r="G287" s="106" t="e">
        <f t="shared" si="16"/>
        <v>#REF!</v>
      </c>
      <c r="H287" s="105" t="e">
        <f>SUMIFS(#REF!,#REF!,$A287,#REF!,$B287,#REF!,$C287,#REF!,"Other Sector Demand")</f>
        <v>#REF!</v>
      </c>
      <c r="I287" s="105" t="e">
        <f t="shared" si="17"/>
        <v>#REF!</v>
      </c>
      <c r="J287" s="106" t="e">
        <f t="shared" si="18"/>
        <v>#REF!</v>
      </c>
      <c r="K287" s="107" t="e">
        <f t="shared" si="19"/>
        <v>#REF!</v>
      </c>
    </row>
    <row r="288" spans="1:11" ht="15" customHeight="1" x14ac:dyDescent="0.2">
      <c r="A288" s="104" t="s">
        <v>205</v>
      </c>
      <c r="B288" s="104" t="s">
        <v>209</v>
      </c>
      <c r="C288" s="104" t="s">
        <v>46</v>
      </c>
      <c r="D288" s="104">
        <v>2040</v>
      </c>
      <c r="E288" s="105" t="e">
        <f>SUMIFS(#REF!,#REF!,$A288,#REF!,$B288,#REF!,$C288,#REF!,"Storage Demand")</f>
        <v>#REF!</v>
      </c>
      <c r="F288" s="105" t="e">
        <f>SUMIFS(#REF!,#REF!,$A288,#REF!,$B288,#REF!,$C288,#REF!,"&lt;&gt;Other Sector Demand")</f>
        <v>#REF!</v>
      </c>
      <c r="G288" s="106" t="e">
        <f t="shared" si="16"/>
        <v>#REF!</v>
      </c>
      <c r="H288" s="105" t="e">
        <f>SUMIFS(#REF!,#REF!,$A288,#REF!,$B288,#REF!,$C288,#REF!,"Other Sector Demand")</f>
        <v>#REF!</v>
      </c>
      <c r="I288" s="105" t="e">
        <f t="shared" si="17"/>
        <v>#REF!</v>
      </c>
      <c r="J288" s="106" t="e">
        <f t="shared" si="18"/>
        <v>#REF!</v>
      </c>
      <c r="K288" s="107" t="e">
        <f t="shared" si="19"/>
        <v>#REF!</v>
      </c>
    </row>
    <row r="289" spans="1:11" ht="15" customHeight="1" x14ac:dyDescent="0.2">
      <c r="A289" s="104" t="s">
        <v>205</v>
      </c>
      <c r="B289" s="104" t="s">
        <v>209</v>
      </c>
      <c r="C289" s="104" t="s">
        <v>46</v>
      </c>
      <c r="D289" s="104">
        <v>2050</v>
      </c>
      <c r="E289" s="105" t="e">
        <f>SUMIFS(#REF!,#REF!,$A289,#REF!,$B289,#REF!,$C289,#REF!,"Storage Demand")</f>
        <v>#REF!</v>
      </c>
      <c r="F289" s="105" t="e">
        <f>SUMIFS(#REF!,#REF!,$A289,#REF!,$B289,#REF!,$C289,#REF!,"&lt;&gt;Other Sector Demand")</f>
        <v>#REF!</v>
      </c>
      <c r="G289" s="106" t="e">
        <f t="shared" si="16"/>
        <v>#REF!</v>
      </c>
      <c r="H289" s="105" t="e">
        <f>SUMIFS(#REF!,#REF!,$A289,#REF!,$B289,#REF!,$C289,#REF!,"Other Sector Demand")</f>
        <v>#REF!</v>
      </c>
      <c r="I289" s="105" t="e">
        <f t="shared" si="17"/>
        <v>#REF!</v>
      </c>
      <c r="J289" s="106" t="e">
        <f t="shared" si="18"/>
        <v>#REF!</v>
      </c>
      <c r="K289" s="107" t="e">
        <f t="shared" si="19"/>
        <v>#REF!</v>
      </c>
    </row>
    <row r="290" spans="1:11" ht="15" customHeight="1" x14ac:dyDescent="0.2">
      <c r="A290" s="104" t="s">
        <v>205</v>
      </c>
      <c r="B290" s="104" t="s">
        <v>209</v>
      </c>
      <c r="C290" s="104" t="s">
        <v>47</v>
      </c>
      <c r="D290" s="104">
        <v>2020</v>
      </c>
      <c r="E290" s="105" t="e">
        <f>SUMIFS(#REF!,#REF!,$A290,#REF!,$B290,#REF!,$C290,#REF!,"Storage Demand")</f>
        <v>#REF!</v>
      </c>
      <c r="F290" s="105" t="e">
        <f>SUMIFS(#REF!,#REF!,$A290,#REF!,$B290,#REF!,$C290,#REF!,"&lt;&gt;Other Sector Demand")</f>
        <v>#REF!</v>
      </c>
      <c r="G290" s="106" t="e">
        <f t="shared" si="16"/>
        <v>#REF!</v>
      </c>
      <c r="H290" s="105" t="e">
        <f>SUMIFS(#REF!,#REF!,$A290,#REF!,$B290,#REF!,$C290,#REF!,"Other Sector Demand")</f>
        <v>#REF!</v>
      </c>
      <c r="I290" s="105" t="e">
        <f t="shared" si="17"/>
        <v>#REF!</v>
      </c>
      <c r="J290" s="106" t="e">
        <f t="shared" si="18"/>
        <v>#REF!</v>
      </c>
      <c r="K290" s="107" t="e">
        <f t="shared" si="19"/>
        <v>#REF!</v>
      </c>
    </row>
    <row r="291" spans="1:11" ht="15" customHeight="1" x14ac:dyDescent="0.2">
      <c r="A291" s="104" t="s">
        <v>205</v>
      </c>
      <c r="B291" s="104" t="s">
        <v>209</v>
      </c>
      <c r="C291" s="104" t="s">
        <v>47</v>
      </c>
      <c r="D291" s="104">
        <v>2030</v>
      </c>
      <c r="E291" s="105" t="e">
        <f>SUMIFS(#REF!,#REF!,$A291,#REF!,$B291,#REF!,$C291,#REF!,"Storage Demand")</f>
        <v>#REF!</v>
      </c>
      <c r="F291" s="105" t="e">
        <f>SUMIFS(#REF!,#REF!,$A291,#REF!,$B291,#REF!,$C291,#REF!,"&lt;&gt;Other Sector Demand")</f>
        <v>#REF!</v>
      </c>
      <c r="G291" s="106" t="e">
        <f t="shared" si="16"/>
        <v>#REF!</v>
      </c>
      <c r="H291" s="105" t="e">
        <f>SUMIFS(#REF!,#REF!,$A291,#REF!,$B291,#REF!,$C291,#REF!,"Other Sector Demand")</f>
        <v>#REF!</v>
      </c>
      <c r="I291" s="105" t="e">
        <f t="shared" si="17"/>
        <v>#REF!</v>
      </c>
      <c r="J291" s="106" t="e">
        <f t="shared" si="18"/>
        <v>#REF!</v>
      </c>
      <c r="K291" s="107" t="e">
        <f t="shared" si="19"/>
        <v>#REF!</v>
      </c>
    </row>
    <row r="292" spans="1:11" ht="15" customHeight="1" x14ac:dyDescent="0.2">
      <c r="A292" s="104" t="s">
        <v>205</v>
      </c>
      <c r="B292" s="104" t="s">
        <v>209</v>
      </c>
      <c r="C292" s="104" t="s">
        <v>47</v>
      </c>
      <c r="D292" s="104">
        <v>2040</v>
      </c>
      <c r="E292" s="105" t="e">
        <f>SUMIFS(#REF!,#REF!,$A292,#REF!,$B292,#REF!,$C292,#REF!,"Storage Demand")</f>
        <v>#REF!</v>
      </c>
      <c r="F292" s="105" t="e">
        <f>SUMIFS(#REF!,#REF!,$A292,#REF!,$B292,#REF!,$C292,#REF!,"&lt;&gt;Other Sector Demand")</f>
        <v>#REF!</v>
      </c>
      <c r="G292" s="106" t="e">
        <f t="shared" si="16"/>
        <v>#REF!</v>
      </c>
      <c r="H292" s="105" t="e">
        <f>SUMIFS(#REF!,#REF!,$A292,#REF!,$B292,#REF!,$C292,#REF!,"Other Sector Demand")</f>
        <v>#REF!</v>
      </c>
      <c r="I292" s="105" t="e">
        <f t="shared" si="17"/>
        <v>#REF!</v>
      </c>
      <c r="J292" s="106" t="e">
        <f t="shared" si="18"/>
        <v>#REF!</v>
      </c>
      <c r="K292" s="107" t="e">
        <f t="shared" si="19"/>
        <v>#REF!</v>
      </c>
    </row>
    <row r="293" spans="1:11" ht="15" customHeight="1" x14ac:dyDescent="0.2">
      <c r="A293" s="104" t="s">
        <v>205</v>
      </c>
      <c r="B293" s="104" t="s">
        <v>209</v>
      </c>
      <c r="C293" s="104" t="s">
        <v>47</v>
      </c>
      <c r="D293" s="104">
        <v>2050</v>
      </c>
      <c r="E293" s="105" t="e">
        <f>SUMIFS(#REF!,#REF!,$A293,#REF!,$B293,#REF!,$C293,#REF!,"Storage Demand")</f>
        <v>#REF!</v>
      </c>
      <c r="F293" s="105" t="e">
        <f>SUMIFS(#REF!,#REF!,$A293,#REF!,$B293,#REF!,$C293,#REF!,"&lt;&gt;Other Sector Demand")</f>
        <v>#REF!</v>
      </c>
      <c r="G293" s="106" t="e">
        <f t="shared" si="16"/>
        <v>#REF!</v>
      </c>
      <c r="H293" s="105" t="e">
        <f>SUMIFS(#REF!,#REF!,$A293,#REF!,$B293,#REF!,$C293,#REF!,"Other Sector Demand")</f>
        <v>#REF!</v>
      </c>
      <c r="I293" s="105" t="e">
        <f t="shared" si="17"/>
        <v>#REF!</v>
      </c>
      <c r="J293" s="106" t="e">
        <f t="shared" si="18"/>
        <v>#REF!</v>
      </c>
      <c r="K293" s="107" t="e">
        <f t="shared" si="19"/>
        <v>#REF!</v>
      </c>
    </row>
    <row r="294" spans="1:11" ht="15" customHeight="1" x14ac:dyDescent="0.2">
      <c r="A294" s="104" t="s">
        <v>205</v>
      </c>
      <c r="B294" s="104" t="s">
        <v>209</v>
      </c>
      <c r="C294" s="104" t="s">
        <v>49</v>
      </c>
      <c r="D294" s="104">
        <v>2020</v>
      </c>
      <c r="E294" s="105" t="e">
        <f>SUMIFS(#REF!,#REF!,$A294,#REF!,$B294,#REF!,$C294,#REF!,"Storage Demand")</f>
        <v>#REF!</v>
      </c>
      <c r="F294" s="105" t="e">
        <f>SUMIFS(#REF!,#REF!,$A294,#REF!,$B294,#REF!,$C294,#REF!,"&lt;&gt;Other Sector Demand")</f>
        <v>#REF!</v>
      </c>
      <c r="G294" s="106" t="e">
        <f t="shared" si="16"/>
        <v>#REF!</v>
      </c>
      <c r="H294" s="105" t="e">
        <f>SUMIFS(#REF!,#REF!,$A294,#REF!,$B294,#REF!,$C294,#REF!,"Other Sector Demand")</f>
        <v>#REF!</v>
      </c>
      <c r="I294" s="105" t="e">
        <f t="shared" si="17"/>
        <v>#REF!</v>
      </c>
      <c r="J294" s="106" t="e">
        <f t="shared" si="18"/>
        <v>#REF!</v>
      </c>
      <c r="K294" s="107" t="e">
        <f t="shared" si="19"/>
        <v>#REF!</v>
      </c>
    </row>
    <row r="295" spans="1:11" ht="15" customHeight="1" x14ac:dyDescent="0.2">
      <c r="A295" s="104" t="s">
        <v>205</v>
      </c>
      <c r="B295" s="104" t="s">
        <v>209</v>
      </c>
      <c r="C295" s="104" t="s">
        <v>49</v>
      </c>
      <c r="D295" s="104">
        <v>2030</v>
      </c>
      <c r="E295" s="105" t="e">
        <f>SUMIFS(#REF!,#REF!,$A295,#REF!,$B295,#REF!,$C295,#REF!,"Storage Demand")</f>
        <v>#REF!</v>
      </c>
      <c r="F295" s="105" t="e">
        <f>SUMIFS(#REF!,#REF!,$A295,#REF!,$B295,#REF!,$C295,#REF!,"&lt;&gt;Other Sector Demand")</f>
        <v>#REF!</v>
      </c>
      <c r="G295" s="106" t="e">
        <f t="shared" si="16"/>
        <v>#REF!</v>
      </c>
      <c r="H295" s="105" t="e">
        <f>SUMIFS(#REF!,#REF!,$A295,#REF!,$B295,#REF!,$C295,#REF!,"Other Sector Demand")</f>
        <v>#REF!</v>
      </c>
      <c r="I295" s="105" t="e">
        <f t="shared" si="17"/>
        <v>#REF!</v>
      </c>
      <c r="J295" s="106" t="e">
        <f t="shared" si="18"/>
        <v>#REF!</v>
      </c>
      <c r="K295" s="107" t="e">
        <f t="shared" si="19"/>
        <v>#REF!</v>
      </c>
    </row>
    <row r="296" spans="1:11" ht="15" customHeight="1" x14ac:dyDescent="0.2">
      <c r="A296" s="104" t="s">
        <v>205</v>
      </c>
      <c r="B296" s="104" t="s">
        <v>209</v>
      </c>
      <c r="C296" s="104" t="s">
        <v>49</v>
      </c>
      <c r="D296" s="104">
        <v>2040</v>
      </c>
      <c r="E296" s="105" t="e">
        <f>SUMIFS(#REF!,#REF!,$A296,#REF!,$B296,#REF!,$C296,#REF!,"Storage Demand")</f>
        <v>#REF!</v>
      </c>
      <c r="F296" s="105" t="e">
        <f>SUMIFS(#REF!,#REF!,$A296,#REF!,$B296,#REF!,$C296,#REF!,"&lt;&gt;Other Sector Demand")</f>
        <v>#REF!</v>
      </c>
      <c r="G296" s="106" t="e">
        <f t="shared" si="16"/>
        <v>#REF!</v>
      </c>
      <c r="H296" s="105" t="e">
        <f>SUMIFS(#REF!,#REF!,$A296,#REF!,$B296,#REF!,$C296,#REF!,"Other Sector Demand")</f>
        <v>#REF!</v>
      </c>
      <c r="I296" s="105" t="e">
        <f t="shared" si="17"/>
        <v>#REF!</v>
      </c>
      <c r="J296" s="106" t="e">
        <f t="shared" si="18"/>
        <v>#REF!</v>
      </c>
      <c r="K296" s="107" t="e">
        <f t="shared" si="19"/>
        <v>#REF!</v>
      </c>
    </row>
    <row r="297" spans="1:11" ht="15" customHeight="1" x14ac:dyDescent="0.2">
      <c r="A297" s="104" t="s">
        <v>205</v>
      </c>
      <c r="B297" s="104" t="s">
        <v>209</v>
      </c>
      <c r="C297" s="104" t="s">
        <v>49</v>
      </c>
      <c r="D297" s="104">
        <v>2050</v>
      </c>
      <c r="E297" s="105" t="e">
        <f>SUMIFS(#REF!,#REF!,$A297,#REF!,$B297,#REF!,$C297,#REF!,"Storage Demand")</f>
        <v>#REF!</v>
      </c>
      <c r="F297" s="105" t="e">
        <f>SUMIFS(#REF!,#REF!,$A297,#REF!,$B297,#REF!,$C297,#REF!,"&lt;&gt;Other Sector Demand")</f>
        <v>#REF!</v>
      </c>
      <c r="G297" s="106" t="e">
        <f t="shared" si="16"/>
        <v>#REF!</v>
      </c>
      <c r="H297" s="105" t="e">
        <f>SUMIFS(#REF!,#REF!,$A297,#REF!,$B297,#REF!,$C297,#REF!,"Other Sector Demand")</f>
        <v>#REF!</v>
      </c>
      <c r="I297" s="105" t="e">
        <f t="shared" si="17"/>
        <v>#REF!</v>
      </c>
      <c r="J297" s="106" t="e">
        <f t="shared" si="18"/>
        <v>#REF!</v>
      </c>
      <c r="K297" s="107" t="e">
        <f t="shared" si="19"/>
        <v>#REF!</v>
      </c>
    </row>
    <row r="298" spans="1:11" ht="15" customHeight="1" x14ac:dyDescent="0.2">
      <c r="A298" s="104" t="s">
        <v>205</v>
      </c>
      <c r="B298" s="104" t="s">
        <v>209</v>
      </c>
      <c r="C298" s="104" t="s">
        <v>50</v>
      </c>
      <c r="D298" s="104">
        <v>2020</v>
      </c>
      <c r="E298" s="105" t="e">
        <f>SUMIFS(#REF!,#REF!,$A298,#REF!,$B298,#REF!,$C298,#REF!,"Storage Demand")</f>
        <v>#REF!</v>
      </c>
      <c r="F298" s="105" t="e">
        <f>SUMIFS(#REF!,#REF!,$A298,#REF!,$B298,#REF!,$C298,#REF!,"&lt;&gt;Other Sector Demand")</f>
        <v>#REF!</v>
      </c>
      <c r="G298" s="106" t="e">
        <f t="shared" si="16"/>
        <v>#REF!</v>
      </c>
      <c r="H298" s="105" t="e">
        <f>SUMIFS(#REF!,#REF!,$A298,#REF!,$B298,#REF!,$C298,#REF!,"Other Sector Demand")</f>
        <v>#REF!</v>
      </c>
      <c r="I298" s="105" t="e">
        <f t="shared" si="17"/>
        <v>#REF!</v>
      </c>
      <c r="J298" s="106" t="e">
        <f t="shared" si="18"/>
        <v>#REF!</v>
      </c>
      <c r="K298" s="107" t="e">
        <f t="shared" si="19"/>
        <v>#REF!</v>
      </c>
    </row>
    <row r="299" spans="1:11" ht="15" customHeight="1" x14ac:dyDescent="0.2">
      <c r="A299" s="104" t="s">
        <v>205</v>
      </c>
      <c r="B299" s="104" t="s">
        <v>209</v>
      </c>
      <c r="C299" s="104" t="s">
        <v>50</v>
      </c>
      <c r="D299" s="104">
        <v>2030</v>
      </c>
      <c r="E299" s="105" t="e">
        <f>SUMIFS(#REF!,#REF!,$A299,#REF!,$B299,#REF!,$C299,#REF!,"Storage Demand")</f>
        <v>#REF!</v>
      </c>
      <c r="F299" s="105" t="e">
        <f>SUMIFS(#REF!,#REF!,$A299,#REF!,$B299,#REF!,$C299,#REF!,"&lt;&gt;Other Sector Demand")</f>
        <v>#REF!</v>
      </c>
      <c r="G299" s="106" t="e">
        <f t="shared" si="16"/>
        <v>#REF!</v>
      </c>
      <c r="H299" s="105" t="e">
        <f>SUMIFS(#REF!,#REF!,$A299,#REF!,$B299,#REF!,$C299,#REF!,"Other Sector Demand")</f>
        <v>#REF!</v>
      </c>
      <c r="I299" s="105" t="e">
        <f t="shared" si="17"/>
        <v>#REF!</v>
      </c>
      <c r="J299" s="106" t="e">
        <f t="shared" si="18"/>
        <v>#REF!</v>
      </c>
      <c r="K299" s="107" t="e">
        <f t="shared" si="19"/>
        <v>#REF!</v>
      </c>
    </row>
    <row r="300" spans="1:11" ht="15" customHeight="1" x14ac:dyDescent="0.2">
      <c r="A300" s="104" t="s">
        <v>205</v>
      </c>
      <c r="B300" s="104" t="s">
        <v>209</v>
      </c>
      <c r="C300" s="104" t="s">
        <v>50</v>
      </c>
      <c r="D300" s="104">
        <v>2040</v>
      </c>
      <c r="E300" s="105" t="e">
        <f>SUMIFS(#REF!,#REF!,$A300,#REF!,$B300,#REF!,$C300,#REF!,"Storage Demand")</f>
        <v>#REF!</v>
      </c>
      <c r="F300" s="105" t="e">
        <f>SUMIFS(#REF!,#REF!,$A300,#REF!,$B300,#REF!,$C300,#REF!,"&lt;&gt;Other Sector Demand")</f>
        <v>#REF!</v>
      </c>
      <c r="G300" s="106" t="e">
        <f t="shared" si="16"/>
        <v>#REF!</v>
      </c>
      <c r="H300" s="105" t="e">
        <f>SUMIFS(#REF!,#REF!,$A300,#REF!,$B300,#REF!,$C300,#REF!,"Other Sector Demand")</f>
        <v>#REF!</v>
      </c>
      <c r="I300" s="105" t="e">
        <f t="shared" si="17"/>
        <v>#REF!</v>
      </c>
      <c r="J300" s="106" t="e">
        <f t="shared" si="18"/>
        <v>#REF!</v>
      </c>
      <c r="K300" s="107" t="e">
        <f t="shared" si="19"/>
        <v>#REF!</v>
      </c>
    </row>
    <row r="301" spans="1:11" ht="15" customHeight="1" x14ac:dyDescent="0.2">
      <c r="A301" s="104" t="s">
        <v>205</v>
      </c>
      <c r="B301" s="104" t="s">
        <v>209</v>
      </c>
      <c r="C301" s="104" t="s">
        <v>50</v>
      </c>
      <c r="D301" s="104">
        <v>2050</v>
      </c>
      <c r="E301" s="105" t="e">
        <f>SUMIFS(#REF!,#REF!,$A301,#REF!,$B301,#REF!,$C301,#REF!,"Storage Demand")</f>
        <v>#REF!</v>
      </c>
      <c r="F301" s="105" t="e">
        <f>SUMIFS(#REF!,#REF!,$A301,#REF!,$B301,#REF!,$C301,#REF!,"&lt;&gt;Other Sector Demand")</f>
        <v>#REF!</v>
      </c>
      <c r="G301" s="106" t="e">
        <f t="shared" si="16"/>
        <v>#REF!</v>
      </c>
      <c r="H301" s="105" t="e">
        <f>SUMIFS(#REF!,#REF!,$A301,#REF!,$B301,#REF!,$C301,#REF!,"Other Sector Demand")</f>
        <v>#REF!</v>
      </c>
      <c r="I301" s="105" t="e">
        <f t="shared" si="17"/>
        <v>#REF!</v>
      </c>
      <c r="J301" s="106" t="e">
        <f t="shared" si="18"/>
        <v>#REF!</v>
      </c>
      <c r="K301" s="107" t="e">
        <f t="shared" si="19"/>
        <v>#REF!</v>
      </c>
    </row>
    <row r="302" spans="1:11" ht="15" customHeight="1" x14ac:dyDescent="0.2">
      <c r="A302" s="104" t="s">
        <v>205</v>
      </c>
      <c r="B302" s="104" t="s">
        <v>209</v>
      </c>
      <c r="C302" s="104" t="s">
        <v>52</v>
      </c>
      <c r="D302" s="104">
        <v>2020</v>
      </c>
      <c r="E302" s="105" t="e">
        <f>SUMIFS(#REF!,#REF!,$A302,#REF!,$B302,#REF!,$C302,#REF!,"Storage Demand")</f>
        <v>#REF!</v>
      </c>
      <c r="F302" s="105" t="e">
        <f>SUMIFS(#REF!,#REF!,$A302,#REF!,$B302,#REF!,$C302,#REF!,"&lt;&gt;Other Sector Demand")</f>
        <v>#REF!</v>
      </c>
      <c r="G302" s="106" t="e">
        <f t="shared" si="16"/>
        <v>#REF!</v>
      </c>
      <c r="H302" s="105" t="e">
        <f>SUMIFS(#REF!,#REF!,$A302,#REF!,$B302,#REF!,$C302,#REF!,"Other Sector Demand")</f>
        <v>#REF!</v>
      </c>
      <c r="I302" s="105" t="e">
        <f t="shared" si="17"/>
        <v>#REF!</v>
      </c>
      <c r="J302" s="106" t="e">
        <f t="shared" si="18"/>
        <v>#REF!</v>
      </c>
      <c r="K302" s="107" t="e">
        <f t="shared" si="19"/>
        <v>#REF!</v>
      </c>
    </row>
    <row r="303" spans="1:11" ht="15" customHeight="1" x14ac:dyDescent="0.2">
      <c r="A303" s="104" t="s">
        <v>205</v>
      </c>
      <c r="B303" s="104" t="s">
        <v>209</v>
      </c>
      <c r="C303" s="104" t="s">
        <v>52</v>
      </c>
      <c r="D303" s="104">
        <v>2030</v>
      </c>
      <c r="E303" s="105" t="e">
        <f>SUMIFS(#REF!,#REF!,$A303,#REF!,$B303,#REF!,$C303,#REF!,"Storage Demand")</f>
        <v>#REF!</v>
      </c>
      <c r="F303" s="105" t="e">
        <f>SUMIFS(#REF!,#REF!,$A303,#REF!,$B303,#REF!,$C303,#REF!,"&lt;&gt;Other Sector Demand")</f>
        <v>#REF!</v>
      </c>
      <c r="G303" s="106" t="e">
        <f t="shared" si="16"/>
        <v>#REF!</v>
      </c>
      <c r="H303" s="105" t="e">
        <f>SUMIFS(#REF!,#REF!,$A303,#REF!,$B303,#REF!,$C303,#REF!,"Other Sector Demand")</f>
        <v>#REF!</v>
      </c>
      <c r="I303" s="105" t="e">
        <f t="shared" si="17"/>
        <v>#REF!</v>
      </c>
      <c r="J303" s="106" t="e">
        <f t="shared" si="18"/>
        <v>#REF!</v>
      </c>
      <c r="K303" s="107" t="e">
        <f t="shared" si="19"/>
        <v>#REF!</v>
      </c>
    </row>
    <row r="304" spans="1:11" ht="15" customHeight="1" x14ac:dyDescent="0.2">
      <c r="A304" s="104" t="s">
        <v>205</v>
      </c>
      <c r="B304" s="104" t="s">
        <v>209</v>
      </c>
      <c r="C304" s="104" t="s">
        <v>52</v>
      </c>
      <c r="D304" s="104">
        <v>2040</v>
      </c>
      <c r="E304" s="105" t="e">
        <f>SUMIFS(#REF!,#REF!,$A304,#REF!,$B304,#REF!,$C304,#REF!,"Storage Demand")</f>
        <v>#REF!</v>
      </c>
      <c r="F304" s="105" t="e">
        <f>SUMIFS(#REF!,#REF!,$A304,#REF!,$B304,#REF!,$C304,#REF!,"&lt;&gt;Other Sector Demand")</f>
        <v>#REF!</v>
      </c>
      <c r="G304" s="106" t="e">
        <f t="shared" si="16"/>
        <v>#REF!</v>
      </c>
      <c r="H304" s="105" t="e">
        <f>SUMIFS(#REF!,#REF!,$A304,#REF!,$B304,#REF!,$C304,#REF!,"Other Sector Demand")</f>
        <v>#REF!</v>
      </c>
      <c r="I304" s="105" t="e">
        <f t="shared" si="17"/>
        <v>#REF!</v>
      </c>
      <c r="J304" s="106" t="e">
        <f t="shared" si="18"/>
        <v>#REF!</v>
      </c>
      <c r="K304" s="107" t="e">
        <f t="shared" si="19"/>
        <v>#REF!</v>
      </c>
    </row>
    <row r="305" spans="1:11" ht="15" customHeight="1" x14ac:dyDescent="0.2">
      <c r="A305" s="104" t="s">
        <v>205</v>
      </c>
      <c r="B305" s="104" t="s">
        <v>209</v>
      </c>
      <c r="C305" s="104" t="s">
        <v>52</v>
      </c>
      <c r="D305" s="104">
        <v>2050</v>
      </c>
      <c r="E305" s="105" t="e">
        <f>SUMIFS(#REF!,#REF!,$A305,#REF!,$B305,#REF!,$C305,#REF!,"Storage Demand")</f>
        <v>#REF!</v>
      </c>
      <c r="F305" s="105" t="e">
        <f>SUMIFS(#REF!,#REF!,$A305,#REF!,$B305,#REF!,$C305,#REF!,"&lt;&gt;Other Sector Demand")</f>
        <v>#REF!</v>
      </c>
      <c r="G305" s="106" t="e">
        <f t="shared" si="16"/>
        <v>#REF!</v>
      </c>
      <c r="H305" s="105" t="e">
        <f>SUMIFS(#REF!,#REF!,$A305,#REF!,$B305,#REF!,$C305,#REF!,"Other Sector Demand")</f>
        <v>#REF!</v>
      </c>
      <c r="I305" s="105" t="e">
        <f t="shared" si="17"/>
        <v>#REF!</v>
      </c>
      <c r="J305" s="106" t="e">
        <f t="shared" si="18"/>
        <v>#REF!</v>
      </c>
      <c r="K305" s="107" t="e">
        <f t="shared" si="19"/>
        <v>#REF!</v>
      </c>
    </row>
    <row r="306" spans="1:11" ht="15" customHeight="1" x14ac:dyDescent="0.2">
      <c r="A306" s="104" t="s">
        <v>205</v>
      </c>
      <c r="B306" s="104" t="s">
        <v>209</v>
      </c>
      <c r="C306" s="104" t="s">
        <v>53</v>
      </c>
      <c r="D306" s="104">
        <v>2020</v>
      </c>
      <c r="E306" s="105" t="e">
        <f>SUMIFS(#REF!,#REF!,$A306,#REF!,$B306,#REF!,$C306,#REF!,"Storage Demand")</f>
        <v>#REF!</v>
      </c>
      <c r="F306" s="105" t="e">
        <f>SUMIFS(#REF!,#REF!,$A306,#REF!,$B306,#REF!,$C306,#REF!,"&lt;&gt;Other Sector Demand")</f>
        <v>#REF!</v>
      </c>
      <c r="G306" s="106" t="e">
        <f t="shared" si="16"/>
        <v>#REF!</v>
      </c>
      <c r="H306" s="105" t="e">
        <f>SUMIFS(#REF!,#REF!,$A306,#REF!,$B306,#REF!,$C306,#REF!,"Other Sector Demand")</f>
        <v>#REF!</v>
      </c>
      <c r="I306" s="105" t="e">
        <f t="shared" si="17"/>
        <v>#REF!</v>
      </c>
      <c r="J306" s="106" t="e">
        <f t="shared" si="18"/>
        <v>#REF!</v>
      </c>
      <c r="K306" s="107" t="e">
        <f t="shared" si="19"/>
        <v>#REF!</v>
      </c>
    </row>
    <row r="307" spans="1:11" ht="15" customHeight="1" x14ac:dyDescent="0.2">
      <c r="A307" s="104" t="s">
        <v>205</v>
      </c>
      <c r="B307" s="104" t="s">
        <v>209</v>
      </c>
      <c r="C307" s="104" t="s">
        <v>53</v>
      </c>
      <c r="D307" s="104">
        <v>2030</v>
      </c>
      <c r="E307" s="105" t="e">
        <f>SUMIFS(#REF!,#REF!,$A307,#REF!,$B307,#REF!,$C307,#REF!,"Storage Demand")</f>
        <v>#REF!</v>
      </c>
      <c r="F307" s="105" t="e">
        <f>SUMIFS(#REF!,#REF!,$A307,#REF!,$B307,#REF!,$C307,#REF!,"&lt;&gt;Other Sector Demand")</f>
        <v>#REF!</v>
      </c>
      <c r="G307" s="106" t="e">
        <f t="shared" si="16"/>
        <v>#REF!</v>
      </c>
      <c r="H307" s="105" t="e">
        <f>SUMIFS(#REF!,#REF!,$A307,#REF!,$B307,#REF!,$C307,#REF!,"Other Sector Demand")</f>
        <v>#REF!</v>
      </c>
      <c r="I307" s="105" t="e">
        <f t="shared" si="17"/>
        <v>#REF!</v>
      </c>
      <c r="J307" s="106" t="e">
        <f t="shared" si="18"/>
        <v>#REF!</v>
      </c>
      <c r="K307" s="107" t="e">
        <f t="shared" si="19"/>
        <v>#REF!</v>
      </c>
    </row>
    <row r="308" spans="1:11" ht="15" customHeight="1" x14ac:dyDescent="0.2">
      <c r="A308" s="104" t="s">
        <v>205</v>
      </c>
      <c r="B308" s="104" t="s">
        <v>209</v>
      </c>
      <c r="C308" s="104" t="s">
        <v>53</v>
      </c>
      <c r="D308" s="104">
        <v>2040</v>
      </c>
      <c r="E308" s="105" t="e">
        <f>SUMIFS(#REF!,#REF!,$A308,#REF!,$B308,#REF!,$C308,#REF!,"Storage Demand")</f>
        <v>#REF!</v>
      </c>
      <c r="F308" s="105" t="e">
        <f>SUMIFS(#REF!,#REF!,$A308,#REF!,$B308,#REF!,$C308,#REF!,"&lt;&gt;Other Sector Demand")</f>
        <v>#REF!</v>
      </c>
      <c r="G308" s="106" t="e">
        <f t="shared" si="16"/>
        <v>#REF!</v>
      </c>
      <c r="H308" s="105" t="e">
        <f>SUMIFS(#REF!,#REF!,$A308,#REF!,$B308,#REF!,$C308,#REF!,"Other Sector Demand")</f>
        <v>#REF!</v>
      </c>
      <c r="I308" s="105" t="e">
        <f t="shared" si="17"/>
        <v>#REF!</v>
      </c>
      <c r="J308" s="106" t="e">
        <f t="shared" si="18"/>
        <v>#REF!</v>
      </c>
      <c r="K308" s="107" t="e">
        <f t="shared" si="19"/>
        <v>#REF!</v>
      </c>
    </row>
    <row r="309" spans="1:11" ht="15" customHeight="1" x14ac:dyDescent="0.2">
      <c r="A309" s="104" t="s">
        <v>205</v>
      </c>
      <c r="B309" s="104" t="s">
        <v>209</v>
      </c>
      <c r="C309" s="104" t="s">
        <v>53</v>
      </c>
      <c r="D309" s="104">
        <v>2050</v>
      </c>
      <c r="E309" s="105" t="e">
        <f>SUMIFS(#REF!,#REF!,$A309,#REF!,$B309,#REF!,$C309,#REF!,"Storage Demand")</f>
        <v>#REF!</v>
      </c>
      <c r="F309" s="105" t="e">
        <f>SUMIFS(#REF!,#REF!,$A309,#REF!,$B309,#REF!,$C309,#REF!,"&lt;&gt;Other Sector Demand")</f>
        <v>#REF!</v>
      </c>
      <c r="G309" s="106" t="e">
        <f t="shared" si="16"/>
        <v>#REF!</v>
      </c>
      <c r="H309" s="105" t="e">
        <f>SUMIFS(#REF!,#REF!,$A309,#REF!,$B309,#REF!,$C309,#REF!,"Other Sector Demand")</f>
        <v>#REF!</v>
      </c>
      <c r="I309" s="105" t="e">
        <f t="shared" si="17"/>
        <v>#REF!</v>
      </c>
      <c r="J309" s="106" t="e">
        <f t="shared" si="18"/>
        <v>#REF!</v>
      </c>
      <c r="K309" s="107" t="e">
        <f t="shared" si="19"/>
        <v>#REF!</v>
      </c>
    </row>
    <row r="310" spans="1:11" ht="15" customHeight="1" x14ac:dyDescent="0.2">
      <c r="A310" s="104" t="s">
        <v>205</v>
      </c>
      <c r="B310" s="104" t="s">
        <v>209</v>
      </c>
      <c r="C310" s="104" t="s">
        <v>55</v>
      </c>
      <c r="D310" s="104">
        <v>2020</v>
      </c>
      <c r="E310" s="105" t="e">
        <f>SUMIFS(#REF!,#REF!,$A310,#REF!,$B310,#REF!,$C310,#REF!,"Storage Demand")</f>
        <v>#REF!</v>
      </c>
      <c r="F310" s="105" t="e">
        <f>SUMIFS(#REF!,#REF!,$A310,#REF!,$B310,#REF!,$C310,#REF!,"&lt;&gt;Other Sector Demand")</f>
        <v>#REF!</v>
      </c>
      <c r="G310" s="106" t="e">
        <f t="shared" si="16"/>
        <v>#REF!</v>
      </c>
      <c r="H310" s="105" t="e">
        <f>SUMIFS(#REF!,#REF!,$A310,#REF!,$B310,#REF!,$C310,#REF!,"Other Sector Demand")</f>
        <v>#REF!</v>
      </c>
      <c r="I310" s="105" t="e">
        <f t="shared" si="17"/>
        <v>#REF!</v>
      </c>
      <c r="J310" s="106" t="e">
        <f t="shared" si="18"/>
        <v>#REF!</v>
      </c>
      <c r="K310" s="107" t="e">
        <f t="shared" si="19"/>
        <v>#REF!</v>
      </c>
    </row>
    <row r="311" spans="1:11" ht="15" customHeight="1" x14ac:dyDescent="0.2">
      <c r="A311" s="104" t="s">
        <v>205</v>
      </c>
      <c r="B311" s="104" t="s">
        <v>209</v>
      </c>
      <c r="C311" s="104" t="s">
        <v>55</v>
      </c>
      <c r="D311" s="104">
        <v>2030</v>
      </c>
      <c r="E311" s="105" t="e">
        <f>SUMIFS(#REF!,#REF!,$A311,#REF!,$B311,#REF!,$C311,#REF!,"Storage Demand")</f>
        <v>#REF!</v>
      </c>
      <c r="F311" s="105" t="e">
        <f>SUMIFS(#REF!,#REF!,$A311,#REF!,$B311,#REF!,$C311,#REF!,"&lt;&gt;Other Sector Demand")</f>
        <v>#REF!</v>
      </c>
      <c r="G311" s="106" t="e">
        <f t="shared" si="16"/>
        <v>#REF!</v>
      </c>
      <c r="H311" s="105" t="e">
        <f>SUMIFS(#REF!,#REF!,$A311,#REF!,$B311,#REF!,$C311,#REF!,"Other Sector Demand")</f>
        <v>#REF!</v>
      </c>
      <c r="I311" s="105" t="e">
        <f t="shared" si="17"/>
        <v>#REF!</v>
      </c>
      <c r="J311" s="106" t="e">
        <f t="shared" si="18"/>
        <v>#REF!</v>
      </c>
      <c r="K311" s="107" t="e">
        <f t="shared" si="19"/>
        <v>#REF!</v>
      </c>
    </row>
    <row r="312" spans="1:11" ht="15" customHeight="1" x14ac:dyDescent="0.2">
      <c r="A312" s="104" t="s">
        <v>205</v>
      </c>
      <c r="B312" s="104" t="s">
        <v>209</v>
      </c>
      <c r="C312" s="104" t="s">
        <v>55</v>
      </c>
      <c r="D312" s="104">
        <v>2040</v>
      </c>
      <c r="E312" s="105" t="e">
        <f>SUMIFS(#REF!,#REF!,$A312,#REF!,$B312,#REF!,$C312,#REF!,"Storage Demand")</f>
        <v>#REF!</v>
      </c>
      <c r="F312" s="105" t="e">
        <f>SUMIFS(#REF!,#REF!,$A312,#REF!,$B312,#REF!,$C312,#REF!,"&lt;&gt;Other Sector Demand")</f>
        <v>#REF!</v>
      </c>
      <c r="G312" s="106" t="e">
        <f t="shared" si="16"/>
        <v>#REF!</v>
      </c>
      <c r="H312" s="105" t="e">
        <f>SUMIFS(#REF!,#REF!,$A312,#REF!,$B312,#REF!,$C312,#REF!,"Other Sector Demand")</f>
        <v>#REF!</v>
      </c>
      <c r="I312" s="105" t="e">
        <f t="shared" si="17"/>
        <v>#REF!</v>
      </c>
      <c r="J312" s="106" t="e">
        <f t="shared" si="18"/>
        <v>#REF!</v>
      </c>
      <c r="K312" s="107" t="e">
        <f t="shared" si="19"/>
        <v>#REF!</v>
      </c>
    </row>
    <row r="313" spans="1:11" ht="15" customHeight="1" x14ac:dyDescent="0.2">
      <c r="A313" s="104" t="s">
        <v>205</v>
      </c>
      <c r="B313" s="104" t="s">
        <v>209</v>
      </c>
      <c r="C313" s="104" t="s">
        <v>55</v>
      </c>
      <c r="D313" s="104">
        <v>2050</v>
      </c>
      <c r="E313" s="105" t="e">
        <f>SUMIFS(#REF!,#REF!,$A313,#REF!,$B313,#REF!,$C313,#REF!,"Storage Demand")</f>
        <v>#REF!</v>
      </c>
      <c r="F313" s="105" t="e">
        <f>SUMIFS(#REF!,#REF!,$A313,#REF!,$B313,#REF!,$C313,#REF!,"&lt;&gt;Other Sector Demand")</f>
        <v>#REF!</v>
      </c>
      <c r="G313" s="106" t="e">
        <f t="shared" si="16"/>
        <v>#REF!</v>
      </c>
      <c r="H313" s="105" t="e">
        <f>SUMIFS(#REF!,#REF!,$A313,#REF!,$B313,#REF!,$C313,#REF!,"Other Sector Demand")</f>
        <v>#REF!</v>
      </c>
      <c r="I313" s="105" t="e">
        <f t="shared" si="17"/>
        <v>#REF!</v>
      </c>
      <c r="J313" s="106" t="e">
        <f t="shared" si="18"/>
        <v>#REF!</v>
      </c>
      <c r="K313" s="107" t="e">
        <f t="shared" si="19"/>
        <v>#REF!</v>
      </c>
    </row>
    <row r="314" spans="1:11" ht="15" customHeight="1" x14ac:dyDescent="0.2">
      <c r="A314" s="104" t="s">
        <v>205</v>
      </c>
      <c r="B314" s="104" t="s">
        <v>209</v>
      </c>
      <c r="C314" s="104" t="s">
        <v>57</v>
      </c>
      <c r="D314" s="104">
        <v>2020</v>
      </c>
      <c r="E314" s="105" t="e">
        <f>SUMIFS(#REF!,#REF!,$A314,#REF!,$B314,#REF!,$C314,#REF!,"Storage Demand")</f>
        <v>#REF!</v>
      </c>
      <c r="F314" s="105" t="e">
        <f>SUMIFS(#REF!,#REF!,$A314,#REF!,$B314,#REF!,$C314,#REF!,"&lt;&gt;Other Sector Demand")</f>
        <v>#REF!</v>
      </c>
      <c r="G314" s="106" t="e">
        <f t="shared" si="16"/>
        <v>#REF!</v>
      </c>
      <c r="H314" s="105" t="e">
        <f>SUMIFS(#REF!,#REF!,$A314,#REF!,$B314,#REF!,$C314,#REF!,"Other Sector Demand")</f>
        <v>#REF!</v>
      </c>
      <c r="I314" s="105" t="e">
        <f t="shared" si="17"/>
        <v>#REF!</v>
      </c>
      <c r="J314" s="106" t="e">
        <f t="shared" si="18"/>
        <v>#REF!</v>
      </c>
      <c r="K314" s="107" t="e">
        <f t="shared" si="19"/>
        <v>#REF!</v>
      </c>
    </row>
    <row r="315" spans="1:11" ht="15" customHeight="1" x14ac:dyDescent="0.2">
      <c r="A315" s="104" t="s">
        <v>205</v>
      </c>
      <c r="B315" s="104" t="s">
        <v>209</v>
      </c>
      <c r="C315" s="104" t="s">
        <v>57</v>
      </c>
      <c r="D315" s="104">
        <v>2030</v>
      </c>
      <c r="E315" s="105" t="e">
        <f>SUMIFS(#REF!,#REF!,$A315,#REF!,$B315,#REF!,$C315,#REF!,"Storage Demand")</f>
        <v>#REF!</v>
      </c>
      <c r="F315" s="105" t="e">
        <f>SUMIFS(#REF!,#REF!,$A315,#REF!,$B315,#REF!,$C315,#REF!,"&lt;&gt;Other Sector Demand")</f>
        <v>#REF!</v>
      </c>
      <c r="G315" s="106" t="e">
        <f t="shared" si="16"/>
        <v>#REF!</v>
      </c>
      <c r="H315" s="105" t="e">
        <f>SUMIFS(#REF!,#REF!,$A315,#REF!,$B315,#REF!,$C315,#REF!,"Other Sector Demand")</f>
        <v>#REF!</v>
      </c>
      <c r="I315" s="105" t="e">
        <f t="shared" si="17"/>
        <v>#REF!</v>
      </c>
      <c r="J315" s="106" t="e">
        <f t="shared" si="18"/>
        <v>#REF!</v>
      </c>
      <c r="K315" s="107" t="e">
        <f t="shared" si="19"/>
        <v>#REF!</v>
      </c>
    </row>
    <row r="316" spans="1:11" ht="15" customHeight="1" x14ac:dyDescent="0.2">
      <c r="A316" s="104" t="s">
        <v>205</v>
      </c>
      <c r="B316" s="104" t="s">
        <v>209</v>
      </c>
      <c r="C316" s="104" t="s">
        <v>57</v>
      </c>
      <c r="D316" s="104">
        <v>2040</v>
      </c>
      <c r="E316" s="105" t="e">
        <f>SUMIFS(#REF!,#REF!,$A316,#REF!,$B316,#REF!,$C316,#REF!,"Storage Demand")</f>
        <v>#REF!</v>
      </c>
      <c r="F316" s="105" t="e">
        <f>SUMIFS(#REF!,#REF!,$A316,#REF!,$B316,#REF!,$C316,#REF!,"&lt;&gt;Other Sector Demand")</f>
        <v>#REF!</v>
      </c>
      <c r="G316" s="106" t="e">
        <f t="shared" si="16"/>
        <v>#REF!</v>
      </c>
      <c r="H316" s="105" t="e">
        <f>SUMIFS(#REF!,#REF!,$A316,#REF!,$B316,#REF!,$C316,#REF!,"Other Sector Demand")</f>
        <v>#REF!</v>
      </c>
      <c r="I316" s="105" t="e">
        <f t="shared" si="17"/>
        <v>#REF!</v>
      </c>
      <c r="J316" s="106" t="e">
        <f t="shared" si="18"/>
        <v>#REF!</v>
      </c>
      <c r="K316" s="107" t="e">
        <f t="shared" si="19"/>
        <v>#REF!</v>
      </c>
    </row>
    <row r="317" spans="1:11" ht="15" customHeight="1" x14ac:dyDescent="0.2">
      <c r="A317" s="104" t="s">
        <v>205</v>
      </c>
      <c r="B317" s="104" t="s">
        <v>209</v>
      </c>
      <c r="C317" s="104" t="s">
        <v>57</v>
      </c>
      <c r="D317" s="104">
        <v>2050</v>
      </c>
      <c r="E317" s="105" t="e">
        <f>SUMIFS(#REF!,#REF!,$A317,#REF!,$B317,#REF!,$C317,#REF!,"Storage Demand")</f>
        <v>#REF!</v>
      </c>
      <c r="F317" s="105" t="e">
        <f>SUMIFS(#REF!,#REF!,$A317,#REF!,$B317,#REF!,$C317,#REF!,"&lt;&gt;Other Sector Demand")</f>
        <v>#REF!</v>
      </c>
      <c r="G317" s="106" t="e">
        <f t="shared" si="16"/>
        <v>#REF!</v>
      </c>
      <c r="H317" s="105" t="e">
        <f>SUMIFS(#REF!,#REF!,$A317,#REF!,$B317,#REF!,$C317,#REF!,"Other Sector Demand")</f>
        <v>#REF!</v>
      </c>
      <c r="I317" s="105" t="e">
        <f t="shared" si="17"/>
        <v>#REF!</v>
      </c>
      <c r="J317" s="106" t="e">
        <f t="shared" si="18"/>
        <v>#REF!</v>
      </c>
      <c r="K317" s="107" t="e">
        <f t="shared" si="19"/>
        <v>#REF!</v>
      </c>
    </row>
    <row r="318" spans="1:11" ht="15" customHeight="1" x14ac:dyDescent="0.2">
      <c r="A318" s="104" t="s">
        <v>205</v>
      </c>
      <c r="B318" s="104" t="s">
        <v>209</v>
      </c>
      <c r="C318" s="104" t="s">
        <v>58</v>
      </c>
      <c r="D318" s="104">
        <v>2020</v>
      </c>
      <c r="E318" s="105" t="e">
        <f>SUMIFS(#REF!,#REF!,$A318,#REF!,$B318,#REF!,$C318,#REF!,"Storage Demand")</f>
        <v>#REF!</v>
      </c>
      <c r="F318" s="105" t="e">
        <f>SUMIFS(#REF!,#REF!,$A318,#REF!,$B318,#REF!,$C318,#REF!,"&lt;&gt;Other Sector Demand")</f>
        <v>#REF!</v>
      </c>
      <c r="G318" s="106" t="e">
        <f t="shared" si="16"/>
        <v>#REF!</v>
      </c>
      <c r="H318" s="105" t="e">
        <f>SUMIFS(#REF!,#REF!,$A318,#REF!,$B318,#REF!,$C318,#REF!,"Other Sector Demand")</f>
        <v>#REF!</v>
      </c>
      <c r="I318" s="105" t="e">
        <f t="shared" si="17"/>
        <v>#REF!</v>
      </c>
      <c r="J318" s="106" t="e">
        <f t="shared" si="18"/>
        <v>#REF!</v>
      </c>
      <c r="K318" s="107" t="e">
        <f t="shared" si="19"/>
        <v>#REF!</v>
      </c>
    </row>
    <row r="319" spans="1:11" ht="15" customHeight="1" x14ac:dyDescent="0.2">
      <c r="A319" s="104" t="s">
        <v>205</v>
      </c>
      <c r="B319" s="104" t="s">
        <v>209</v>
      </c>
      <c r="C319" s="104" t="s">
        <v>58</v>
      </c>
      <c r="D319" s="104">
        <v>2030</v>
      </c>
      <c r="E319" s="105" t="e">
        <f>SUMIFS(#REF!,#REF!,$A319,#REF!,$B319,#REF!,$C319,#REF!,"Storage Demand")</f>
        <v>#REF!</v>
      </c>
      <c r="F319" s="105" t="e">
        <f>SUMIFS(#REF!,#REF!,$A319,#REF!,$B319,#REF!,$C319,#REF!,"&lt;&gt;Other Sector Demand")</f>
        <v>#REF!</v>
      </c>
      <c r="G319" s="106" t="e">
        <f t="shared" si="16"/>
        <v>#REF!</v>
      </c>
      <c r="H319" s="105" t="e">
        <f>SUMIFS(#REF!,#REF!,$A319,#REF!,$B319,#REF!,$C319,#REF!,"Other Sector Demand")</f>
        <v>#REF!</v>
      </c>
      <c r="I319" s="105" t="e">
        <f t="shared" si="17"/>
        <v>#REF!</v>
      </c>
      <c r="J319" s="106" t="e">
        <f t="shared" si="18"/>
        <v>#REF!</v>
      </c>
      <c r="K319" s="107" t="e">
        <f t="shared" si="19"/>
        <v>#REF!</v>
      </c>
    </row>
    <row r="320" spans="1:11" ht="15" customHeight="1" x14ac:dyDescent="0.2">
      <c r="A320" s="104" t="s">
        <v>205</v>
      </c>
      <c r="B320" s="104" t="s">
        <v>209</v>
      </c>
      <c r="C320" s="104" t="s">
        <v>58</v>
      </c>
      <c r="D320" s="104">
        <v>2040</v>
      </c>
      <c r="E320" s="105" t="e">
        <f>SUMIFS(#REF!,#REF!,$A320,#REF!,$B320,#REF!,$C320,#REF!,"Storage Demand")</f>
        <v>#REF!</v>
      </c>
      <c r="F320" s="105" t="e">
        <f>SUMIFS(#REF!,#REF!,$A320,#REF!,$B320,#REF!,$C320,#REF!,"&lt;&gt;Other Sector Demand")</f>
        <v>#REF!</v>
      </c>
      <c r="G320" s="106" t="e">
        <f t="shared" si="16"/>
        <v>#REF!</v>
      </c>
      <c r="H320" s="105" t="e">
        <f>SUMIFS(#REF!,#REF!,$A320,#REF!,$B320,#REF!,$C320,#REF!,"Other Sector Demand")</f>
        <v>#REF!</v>
      </c>
      <c r="I320" s="105" t="e">
        <f t="shared" si="17"/>
        <v>#REF!</v>
      </c>
      <c r="J320" s="106" t="e">
        <f t="shared" si="18"/>
        <v>#REF!</v>
      </c>
      <c r="K320" s="107" t="e">
        <f t="shared" si="19"/>
        <v>#REF!</v>
      </c>
    </row>
    <row r="321" spans="1:11" ht="15" customHeight="1" x14ac:dyDescent="0.2">
      <c r="A321" s="104" t="s">
        <v>205</v>
      </c>
      <c r="B321" s="104" t="s">
        <v>209</v>
      </c>
      <c r="C321" s="104" t="s">
        <v>58</v>
      </c>
      <c r="D321" s="104">
        <v>2050</v>
      </c>
      <c r="E321" s="105" t="e">
        <f>SUMIFS(#REF!,#REF!,$A321,#REF!,$B321,#REF!,$C321,#REF!,"Storage Demand")</f>
        <v>#REF!</v>
      </c>
      <c r="F321" s="105" t="e">
        <f>SUMIFS(#REF!,#REF!,$A321,#REF!,$B321,#REF!,$C321,#REF!,"&lt;&gt;Other Sector Demand")</f>
        <v>#REF!</v>
      </c>
      <c r="G321" s="106" t="e">
        <f t="shared" si="16"/>
        <v>#REF!</v>
      </c>
      <c r="H321" s="105" t="e">
        <f>SUMIFS(#REF!,#REF!,$A321,#REF!,$B321,#REF!,$C321,#REF!,"Other Sector Demand")</f>
        <v>#REF!</v>
      </c>
      <c r="I321" s="105" t="e">
        <f t="shared" si="17"/>
        <v>#REF!</v>
      </c>
      <c r="J321" s="106" t="e">
        <f t="shared" si="18"/>
        <v>#REF!</v>
      </c>
      <c r="K321" s="107" t="e">
        <f t="shared" si="19"/>
        <v>#REF!</v>
      </c>
    </row>
    <row r="322" spans="1:11" ht="15" customHeight="1" x14ac:dyDescent="0.2">
      <c r="A322" s="104" t="s">
        <v>205</v>
      </c>
      <c r="B322" s="104" t="s">
        <v>209</v>
      </c>
      <c r="C322" s="104" t="s">
        <v>59</v>
      </c>
      <c r="D322" s="104">
        <v>2020</v>
      </c>
      <c r="E322" s="105" t="e">
        <f>SUMIFS(#REF!,#REF!,$A322,#REF!,$B322,#REF!,$C322,#REF!,"Storage Demand")</f>
        <v>#REF!</v>
      </c>
      <c r="F322" s="105" t="e">
        <f>SUMIFS(#REF!,#REF!,$A322,#REF!,$B322,#REF!,$C322,#REF!,"&lt;&gt;Other Sector Demand")</f>
        <v>#REF!</v>
      </c>
      <c r="G322" s="106" t="e">
        <f t="shared" ref="G322:G385" si="20">IF($F322=0,0,$E322/$F322)</f>
        <v>#REF!</v>
      </c>
      <c r="H322" s="105" t="e">
        <f>SUMIFS(#REF!,#REF!,$A322,#REF!,$B322,#REF!,$C322,#REF!,"Other Sector Demand")</f>
        <v>#REF!</v>
      </c>
      <c r="I322" s="105" t="e">
        <f t="shared" ref="I322:I385" si="21">$F322+$H322</f>
        <v>#REF!</v>
      </c>
      <c r="J322" s="106" t="e">
        <f t="shared" ref="J322:J385" si="22">IF($I322=0,0,$E322/$I322)</f>
        <v>#REF!</v>
      </c>
      <c r="K322" s="107" t="e">
        <f t="shared" ref="K322:K385" si="23">IF(SUMIFS($F$2:$F$1025,$A$2:$A$1025,$A322,$B$2:$B$1025,$B322,$C$2:$C$1025,$C322)=0,0,SUMIFS($E$2:$E$1025,$A$2:$A$1025,$A322,$B$2:$B$1025,$B322,$C$2:$C$1025,$C322)/SUMIFS($F$2:$F$1025,$A$2:$A$1025,$A322,$B$2:$B$1025,$B322,$C$2:$C$1025,$C322))</f>
        <v>#REF!</v>
      </c>
    </row>
    <row r="323" spans="1:11" ht="15" customHeight="1" x14ac:dyDescent="0.2">
      <c r="A323" s="104" t="s">
        <v>205</v>
      </c>
      <c r="B323" s="104" t="s">
        <v>209</v>
      </c>
      <c r="C323" s="104" t="s">
        <v>59</v>
      </c>
      <c r="D323" s="104">
        <v>2030</v>
      </c>
      <c r="E323" s="105" t="e">
        <f>SUMIFS(#REF!,#REF!,$A323,#REF!,$B323,#REF!,$C323,#REF!,"Storage Demand")</f>
        <v>#REF!</v>
      </c>
      <c r="F323" s="105" t="e">
        <f>SUMIFS(#REF!,#REF!,$A323,#REF!,$B323,#REF!,$C323,#REF!,"&lt;&gt;Other Sector Demand")</f>
        <v>#REF!</v>
      </c>
      <c r="G323" s="106" t="e">
        <f t="shared" si="20"/>
        <v>#REF!</v>
      </c>
      <c r="H323" s="105" t="e">
        <f>SUMIFS(#REF!,#REF!,$A323,#REF!,$B323,#REF!,$C323,#REF!,"Other Sector Demand")</f>
        <v>#REF!</v>
      </c>
      <c r="I323" s="105" t="e">
        <f t="shared" si="21"/>
        <v>#REF!</v>
      </c>
      <c r="J323" s="106" t="e">
        <f t="shared" si="22"/>
        <v>#REF!</v>
      </c>
      <c r="K323" s="107" t="e">
        <f t="shared" si="23"/>
        <v>#REF!</v>
      </c>
    </row>
    <row r="324" spans="1:11" ht="15" customHeight="1" x14ac:dyDescent="0.2">
      <c r="A324" s="104" t="s">
        <v>205</v>
      </c>
      <c r="B324" s="104" t="s">
        <v>209</v>
      </c>
      <c r="C324" s="104" t="s">
        <v>59</v>
      </c>
      <c r="D324" s="104">
        <v>2040</v>
      </c>
      <c r="E324" s="105" t="e">
        <f>SUMIFS(#REF!,#REF!,$A324,#REF!,$B324,#REF!,$C324,#REF!,"Storage Demand")</f>
        <v>#REF!</v>
      </c>
      <c r="F324" s="105" t="e">
        <f>SUMIFS(#REF!,#REF!,$A324,#REF!,$B324,#REF!,$C324,#REF!,"&lt;&gt;Other Sector Demand")</f>
        <v>#REF!</v>
      </c>
      <c r="G324" s="106" t="e">
        <f t="shared" si="20"/>
        <v>#REF!</v>
      </c>
      <c r="H324" s="105" t="e">
        <f>SUMIFS(#REF!,#REF!,$A324,#REF!,$B324,#REF!,$C324,#REF!,"Other Sector Demand")</f>
        <v>#REF!</v>
      </c>
      <c r="I324" s="105" t="e">
        <f t="shared" si="21"/>
        <v>#REF!</v>
      </c>
      <c r="J324" s="106" t="e">
        <f t="shared" si="22"/>
        <v>#REF!</v>
      </c>
      <c r="K324" s="107" t="e">
        <f t="shared" si="23"/>
        <v>#REF!</v>
      </c>
    </row>
    <row r="325" spans="1:11" ht="15" customHeight="1" x14ac:dyDescent="0.2">
      <c r="A325" s="104" t="s">
        <v>205</v>
      </c>
      <c r="B325" s="104" t="s">
        <v>209</v>
      </c>
      <c r="C325" s="104" t="s">
        <v>59</v>
      </c>
      <c r="D325" s="104">
        <v>2050</v>
      </c>
      <c r="E325" s="105" t="e">
        <f>SUMIFS(#REF!,#REF!,$A325,#REF!,$B325,#REF!,$C325,#REF!,"Storage Demand")</f>
        <v>#REF!</v>
      </c>
      <c r="F325" s="105" t="e">
        <f>SUMIFS(#REF!,#REF!,$A325,#REF!,$B325,#REF!,$C325,#REF!,"&lt;&gt;Other Sector Demand")</f>
        <v>#REF!</v>
      </c>
      <c r="G325" s="106" t="e">
        <f t="shared" si="20"/>
        <v>#REF!</v>
      </c>
      <c r="H325" s="105" t="e">
        <f>SUMIFS(#REF!,#REF!,$A325,#REF!,$B325,#REF!,$C325,#REF!,"Other Sector Demand")</f>
        <v>#REF!</v>
      </c>
      <c r="I325" s="105" t="e">
        <f t="shared" si="21"/>
        <v>#REF!</v>
      </c>
      <c r="J325" s="106" t="e">
        <f t="shared" si="22"/>
        <v>#REF!</v>
      </c>
      <c r="K325" s="107" t="e">
        <f t="shared" si="23"/>
        <v>#REF!</v>
      </c>
    </row>
    <row r="326" spans="1:11" ht="15" customHeight="1" x14ac:dyDescent="0.2">
      <c r="A326" s="104" t="s">
        <v>205</v>
      </c>
      <c r="B326" s="104" t="s">
        <v>209</v>
      </c>
      <c r="C326" s="104" t="s">
        <v>60</v>
      </c>
      <c r="D326" s="104">
        <v>2020</v>
      </c>
      <c r="E326" s="105" t="e">
        <f>SUMIFS(#REF!,#REF!,$A326,#REF!,$B326,#REF!,$C326,#REF!,"Storage Demand")</f>
        <v>#REF!</v>
      </c>
      <c r="F326" s="105" t="e">
        <f>SUMIFS(#REF!,#REF!,$A326,#REF!,$B326,#REF!,$C326,#REF!,"&lt;&gt;Other Sector Demand")</f>
        <v>#REF!</v>
      </c>
      <c r="G326" s="106" t="e">
        <f t="shared" si="20"/>
        <v>#REF!</v>
      </c>
      <c r="H326" s="105" t="e">
        <f>SUMIFS(#REF!,#REF!,$A326,#REF!,$B326,#REF!,$C326,#REF!,"Other Sector Demand")</f>
        <v>#REF!</v>
      </c>
      <c r="I326" s="105" t="e">
        <f t="shared" si="21"/>
        <v>#REF!</v>
      </c>
      <c r="J326" s="106" t="e">
        <f t="shared" si="22"/>
        <v>#REF!</v>
      </c>
      <c r="K326" s="107" t="e">
        <f t="shared" si="23"/>
        <v>#REF!</v>
      </c>
    </row>
    <row r="327" spans="1:11" ht="15" customHeight="1" x14ac:dyDescent="0.2">
      <c r="A327" s="104" t="s">
        <v>205</v>
      </c>
      <c r="B327" s="104" t="s">
        <v>209</v>
      </c>
      <c r="C327" s="104" t="s">
        <v>60</v>
      </c>
      <c r="D327" s="104">
        <v>2030</v>
      </c>
      <c r="E327" s="105" t="e">
        <f>SUMIFS(#REF!,#REF!,$A327,#REF!,$B327,#REF!,$C327,#REF!,"Storage Demand")</f>
        <v>#REF!</v>
      </c>
      <c r="F327" s="105" t="e">
        <f>SUMIFS(#REF!,#REF!,$A327,#REF!,$B327,#REF!,$C327,#REF!,"&lt;&gt;Other Sector Demand")</f>
        <v>#REF!</v>
      </c>
      <c r="G327" s="106" t="e">
        <f t="shared" si="20"/>
        <v>#REF!</v>
      </c>
      <c r="H327" s="105" t="e">
        <f>SUMIFS(#REF!,#REF!,$A327,#REF!,$B327,#REF!,$C327,#REF!,"Other Sector Demand")</f>
        <v>#REF!</v>
      </c>
      <c r="I327" s="105" t="e">
        <f t="shared" si="21"/>
        <v>#REF!</v>
      </c>
      <c r="J327" s="106" t="e">
        <f t="shared" si="22"/>
        <v>#REF!</v>
      </c>
      <c r="K327" s="107" t="e">
        <f t="shared" si="23"/>
        <v>#REF!</v>
      </c>
    </row>
    <row r="328" spans="1:11" ht="15" customHeight="1" x14ac:dyDescent="0.2">
      <c r="A328" s="104" t="s">
        <v>205</v>
      </c>
      <c r="B328" s="104" t="s">
        <v>209</v>
      </c>
      <c r="C328" s="104" t="s">
        <v>60</v>
      </c>
      <c r="D328" s="104">
        <v>2040</v>
      </c>
      <c r="E328" s="105" t="e">
        <f>SUMIFS(#REF!,#REF!,$A328,#REF!,$B328,#REF!,$C328,#REF!,"Storage Demand")</f>
        <v>#REF!</v>
      </c>
      <c r="F328" s="105" t="e">
        <f>SUMIFS(#REF!,#REF!,$A328,#REF!,$B328,#REF!,$C328,#REF!,"&lt;&gt;Other Sector Demand")</f>
        <v>#REF!</v>
      </c>
      <c r="G328" s="106" t="e">
        <f t="shared" si="20"/>
        <v>#REF!</v>
      </c>
      <c r="H328" s="105" t="e">
        <f>SUMIFS(#REF!,#REF!,$A328,#REF!,$B328,#REF!,$C328,#REF!,"Other Sector Demand")</f>
        <v>#REF!</v>
      </c>
      <c r="I328" s="105" t="e">
        <f t="shared" si="21"/>
        <v>#REF!</v>
      </c>
      <c r="J328" s="106" t="e">
        <f t="shared" si="22"/>
        <v>#REF!</v>
      </c>
      <c r="K328" s="107" t="e">
        <f t="shared" si="23"/>
        <v>#REF!</v>
      </c>
    </row>
    <row r="329" spans="1:11" ht="15" customHeight="1" x14ac:dyDescent="0.2">
      <c r="A329" s="104" t="s">
        <v>205</v>
      </c>
      <c r="B329" s="104" t="s">
        <v>209</v>
      </c>
      <c r="C329" s="104" t="s">
        <v>60</v>
      </c>
      <c r="D329" s="104">
        <v>2050</v>
      </c>
      <c r="E329" s="105" t="e">
        <f>SUMIFS(#REF!,#REF!,$A329,#REF!,$B329,#REF!,$C329,#REF!,"Storage Demand")</f>
        <v>#REF!</v>
      </c>
      <c r="F329" s="105" t="e">
        <f>SUMIFS(#REF!,#REF!,$A329,#REF!,$B329,#REF!,$C329,#REF!,"&lt;&gt;Other Sector Demand")</f>
        <v>#REF!</v>
      </c>
      <c r="G329" s="106" t="e">
        <f t="shared" si="20"/>
        <v>#REF!</v>
      </c>
      <c r="H329" s="105" t="e">
        <f>SUMIFS(#REF!,#REF!,$A329,#REF!,$B329,#REF!,$C329,#REF!,"Other Sector Demand")</f>
        <v>#REF!</v>
      </c>
      <c r="I329" s="105" t="e">
        <f t="shared" si="21"/>
        <v>#REF!</v>
      </c>
      <c r="J329" s="106" t="e">
        <f t="shared" si="22"/>
        <v>#REF!</v>
      </c>
      <c r="K329" s="107" t="e">
        <f t="shared" si="23"/>
        <v>#REF!</v>
      </c>
    </row>
    <row r="330" spans="1:11" ht="15" customHeight="1" x14ac:dyDescent="0.2">
      <c r="A330" s="104" t="s">
        <v>205</v>
      </c>
      <c r="B330" s="104" t="s">
        <v>209</v>
      </c>
      <c r="C330" s="104" t="s">
        <v>61</v>
      </c>
      <c r="D330" s="104">
        <v>2020</v>
      </c>
      <c r="E330" s="105" t="e">
        <f>SUMIFS(#REF!,#REF!,$A330,#REF!,$B330,#REF!,$C330,#REF!,"Storage Demand")</f>
        <v>#REF!</v>
      </c>
      <c r="F330" s="105" t="e">
        <f>SUMIFS(#REF!,#REF!,$A330,#REF!,$B330,#REF!,$C330,#REF!,"&lt;&gt;Other Sector Demand")</f>
        <v>#REF!</v>
      </c>
      <c r="G330" s="106" t="e">
        <f t="shared" si="20"/>
        <v>#REF!</v>
      </c>
      <c r="H330" s="105" t="e">
        <f>SUMIFS(#REF!,#REF!,$A330,#REF!,$B330,#REF!,$C330,#REF!,"Other Sector Demand")</f>
        <v>#REF!</v>
      </c>
      <c r="I330" s="105" t="e">
        <f t="shared" si="21"/>
        <v>#REF!</v>
      </c>
      <c r="J330" s="106" t="e">
        <f t="shared" si="22"/>
        <v>#REF!</v>
      </c>
      <c r="K330" s="107" t="e">
        <f t="shared" si="23"/>
        <v>#REF!</v>
      </c>
    </row>
    <row r="331" spans="1:11" ht="15" customHeight="1" x14ac:dyDescent="0.2">
      <c r="A331" s="104" t="s">
        <v>205</v>
      </c>
      <c r="B331" s="104" t="s">
        <v>209</v>
      </c>
      <c r="C331" s="104" t="s">
        <v>61</v>
      </c>
      <c r="D331" s="104">
        <v>2030</v>
      </c>
      <c r="E331" s="105" t="e">
        <f>SUMIFS(#REF!,#REF!,$A331,#REF!,$B331,#REF!,$C331,#REF!,"Storage Demand")</f>
        <v>#REF!</v>
      </c>
      <c r="F331" s="105" t="e">
        <f>SUMIFS(#REF!,#REF!,$A331,#REF!,$B331,#REF!,$C331,#REF!,"&lt;&gt;Other Sector Demand")</f>
        <v>#REF!</v>
      </c>
      <c r="G331" s="106" t="e">
        <f t="shared" si="20"/>
        <v>#REF!</v>
      </c>
      <c r="H331" s="105" t="e">
        <f>SUMIFS(#REF!,#REF!,$A331,#REF!,$B331,#REF!,$C331,#REF!,"Other Sector Demand")</f>
        <v>#REF!</v>
      </c>
      <c r="I331" s="105" t="e">
        <f t="shared" si="21"/>
        <v>#REF!</v>
      </c>
      <c r="J331" s="106" t="e">
        <f t="shared" si="22"/>
        <v>#REF!</v>
      </c>
      <c r="K331" s="107" t="e">
        <f t="shared" si="23"/>
        <v>#REF!</v>
      </c>
    </row>
    <row r="332" spans="1:11" ht="15" customHeight="1" x14ac:dyDescent="0.2">
      <c r="A332" s="104" t="s">
        <v>205</v>
      </c>
      <c r="B332" s="104" t="s">
        <v>209</v>
      </c>
      <c r="C332" s="104" t="s">
        <v>61</v>
      </c>
      <c r="D332" s="104">
        <v>2040</v>
      </c>
      <c r="E332" s="105" t="e">
        <f>SUMIFS(#REF!,#REF!,$A332,#REF!,$B332,#REF!,$C332,#REF!,"Storage Demand")</f>
        <v>#REF!</v>
      </c>
      <c r="F332" s="105" t="e">
        <f>SUMIFS(#REF!,#REF!,$A332,#REF!,$B332,#REF!,$C332,#REF!,"&lt;&gt;Other Sector Demand")</f>
        <v>#REF!</v>
      </c>
      <c r="G332" s="106" t="e">
        <f t="shared" si="20"/>
        <v>#REF!</v>
      </c>
      <c r="H332" s="105" t="e">
        <f>SUMIFS(#REF!,#REF!,$A332,#REF!,$B332,#REF!,$C332,#REF!,"Other Sector Demand")</f>
        <v>#REF!</v>
      </c>
      <c r="I332" s="105" t="e">
        <f t="shared" si="21"/>
        <v>#REF!</v>
      </c>
      <c r="J332" s="106" t="e">
        <f t="shared" si="22"/>
        <v>#REF!</v>
      </c>
      <c r="K332" s="107" t="e">
        <f t="shared" si="23"/>
        <v>#REF!</v>
      </c>
    </row>
    <row r="333" spans="1:11" ht="15" customHeight="1" x14ac:dyDescent="0.2">
      <c r="A333" s="104" t="s">
        <v>205</v>
      </c>
      <c r="B333" s="104" t="s">
        <v>209</v>
      </c>
      <c r="C333" s="104" t="s">
        <v>61</v>
      </c>
      <c r="D333" s="104">
        <v>2050</v>
      </c>
      <c r="E333" s="105" t="e">
        <f>SUMIFS(#REF!,#REF!,$A333,#REF!,$B333,#REF!,$C333,#REF!,"Storage Demand")</f>
        <v>#REF!</v>
      </c>
      <c r="F333" s="105" t="e">
        <f>SUMIFS(#REF!,#REF!,$A333,#REF!,$B333,#REF!,$C333,#REF!,"&lt;&gt;Other Sector Demand")</f>
        <v>#REF!</v>
      </c>
      <c r="G333" s="106" t="e">
        <f t="shared" si="20"/>
        <v>#REF!</v>
      </c>
      <c r="H333" s="105" t="e">
        <f>SUMIFS(#REF!,#REF!,$A333,#REF!,$B333,#REF!,$C333,#REF!,"Other Sector Demand")</f>
        <v>#REF!</v>
      </c>
      <c r="I333" s="105" t="e">
        <f t="shared" si="21"/>
        <v>#REF!</v>
      </c>
      <c r="J333" s="106" t="e">
        <f t="shared" si="22"/>
        <v>#REF!</v>
      </c>
      <c r="K333" s="107" t="e">
        <f t="shared" si="23"/>
        <v>#REF!</v>
      </c>
    </row>
    <row r="334" spans="1:11" ht="15" customHeight="1" x14ac:dyDescent="0.2">
      <c r="A334" s="104" t="s">
        <v>205</v>
      </c>
      <c r="B334" s="104" t="s">
        <v>209</v>
      </c>
      <c r="C334" s="104" t="s">
        <v>64</v>
      </c>
      <c r="D334" s="104">
        <v>2020</v>
      </c>
      <c r="E334" s="105" t="e">
        <f>SUMIFS(#REF!,#REF!,$A334,#REF!,$B334,#REF!,$C334,#REF!,"Storage Demand")</f>
        <v>#REF!</v>
      </c>
      <c r="F334" s="105" t="e">
        <f>SUMIFS(#REF!,#REF!,$A334,#REF!,$B334,#REF!,$C334,#REF!,"&lt;&gt;Other Sector Demand")</f>
        <v>#REF!</v>
      </c>
      <c r="G334" s="106" t="e">
        <f t="shared" si="20"/>
        <v>#REF!</v>
      </c>
      <c r="H334" s="105" t="e">
        <f>SUMIFS(#REF!,#REF!,$A334,#REF!,$B334,#REF!,$C334,#REF!,"Other Sector Demand")</f>
        <v>#REF!</v>
      </c>
      <c r="I334" s="105" t="e">
        <f t="shared" si="21"/>
        <v>#REF!</v>
      </c>
      <c r="J334" s="106" t="e">
        <f t="shared" si="22"/>
        <v>#REF!</v>
      </c>
      <c r="K334" s="107" t="e">
        <f t="shared" si="23"/>
        <v>#REF!</v>
      </c>
    </row>
    <row r="335" spans="1:11" ht="15" customHeight="1" x14ac:dyDescent="0.2">
      <c r="A335" s="104" t="s">
        <v>205</v>
      </c>
      <c r="B335" s="104" t="s">
        <v>209</v>
      </c>
      <c r="C335" s="104" t="s">
        <v>64</v>
      </c>
      <c r="D335" s="104">
        <v>2030</v>
      </c>
      <c r="E335" s="105" t="e">
        <f>SUMIFS(#REF!,#REF!,$A335,#REF!,$B335,#REF!,$C335,#REF!,"Storage Demand")</f>
        <v>#REF!</v>
      </c>
      <c r="F335" s="105" t="e">
        <f>SUMIFS(#REF!,#REF!,$A335,#REF!,$B335,#REF!,$C335,#REF!,"&lt;&gt;Other Sector Demand")</f>
        <v>#REF!</v>
      </c>
      <c r="G335" s="106" t="e">
        <f t="shared" si="20"/>
        <v>#REF!</v>
      </c>
      <c r="H335" s="105" t="e">
        <f>SUMIFS(#REF!,#REF!,$A335,#REF!,$B335,#REF!,$C335,#REF!,"Other Sector Demand")</f>
        <v>#REF!</v>
      </c>
      <c r="I335" s="105" t="e">
        <f t="shared" si="21"/>
        <v>#REF!</v>
      </c>
      <c r="J335" s="106" t="e">
        <f t="shared" si="22"/>
        <v>#REF!</v>
      </c>
      <c r="K335" s="107" t="e">
        <f t="shared" si="23"/>
        <v>#REF!</v>
      </c>
    </row>
    <row r="336" spans="1:11" ht="15" customHeight="1" x14ac:dyDescent="0.2">
      <c r="A336" s="104" t="s">
        <v>205</v>
      </c>
      <c r="B336" s="104" t="s">
        <v>209</v>
      </c>
      <c r="C336" s="104" t="s">
        <v>64</v>
      </c>
      <c r="D336" s="104">
        <v>2040</v>
      </c>
      <c r="E336" s="105" t="e">
        <f>SUMIFS(#REF!,#REF!,$A336,#REF!,$B336,#REF!,$C336,#REF!,"Storage Demand")</f>
        <v>#REF!</v>
      </c>
      <c r="F336" s="105" t="e">
        <f>SUMIFS(#REF!,#REF!,$A336,#REF!,$B336,#REF!,$C336,#REF!,"&lt;&gt;Other Sector Demand")</f>
        <v>#REF!</v>
      </c>
      <c r="G336" s="106" t="e">
        <f t="shared" si="20"/>
        <v>#REF!</v>
      </c>
      <c r="H336" s="105" t="e">
        <f>SUMIFS(#REF!,#REF!,$A336,#REF!,$B336,#REF!,$C336,#REF!,"Other Sector Demand")</f>
        <v>#REF!</v>
      </c>
      <c r="I336" s="105" t="e">
        <f t="shared" si="21"/>
        <v>#REF!</v>
      </c>
      <c r="J336" s="106" t="e">
        <f t="shared" si="22"/>
        <v>#REF!</v>
      </c>
      <c r="K336" s="107" t="e">
        <f t="shared" si="23"/>
        <v>#REF!</v>
      </c>
    </row>
    <row r="337" spans="1:11" ht="15" customHeight="1" x14ac:dyDescent="0.2">
      <c r="A337" s="104" t="s">
        <v>205</v>
      </c>
      <c r="B337" s="104" t="s">
        <v>209</v>
      </c>
      <c r="C337" s="104" t="s">
        <v>64</v>
      </c>
      <c r="D337" s="104">
        <v>2050</v>
      </c>
      <c r="E337" s="105" t="e">
        <f>SUMIFS(#REF!,#REF!,$A337,#REF!,$B337,#REF!,$C337,#REF!,"Storage Demand")</f>
        <v>#REF!</v>
      </c>
      <c r="F337" s="105" t="e">
        <f>SUMIFS(#REF!,#REF!,$A337,#REF!,$B337,#REF!,$C337,#REF!,"&lt;&gt;Other Sector Demand")</f>
        <v>#REF!</v>
      </c>
      <c r="G337" s="106" t="e">
        <f t="shared" si="20"/>
        <v>#REF!</v>
      </c>
      <c r="H337" s="105" t="e">
        <f>SUMIFS(#REF!,#REF!,$A337,#REF!,$B337,#REF!,$C337,#REF!,"Other Sector Demand")</f>
        <v>#REF!</v>
      </c>
      <c r="I337" s="105" t="e">
        <f t="shared" si="21"/>
        <v>#REF!</v>
      </c>
      <c r="J337" s="106" t="e">
        <f t="shared" si="22"/>
        <v>#REF!</v>
      </c>
      <c r="K337" s="107" t="e">
        <f t="shared" si="23"/>
        <v>#REF!</v>
      </c>
    </row>
    <row r="338" spans="1:11" ht="15" customHeight="1" x14ac:dyDescent="0.2">
      <c r="A338" s="104" t="s">
        <v>205</v>
      </c>
      <c r="B338" s="104" t="s">
        <v>209</v>
      </c>
      <c r="C338" s="104" t="s">
        <v>66</v>
      </c>
      <c r="D338" s="104">
        <v>2020</v>
      </c>
      <c r="E338" s="105" t="e">
        <f>SUMIFS(#REF!,#REF!,$A338,#REF!,$B338,#REF!,$C338,#REF!,"Storage Demand")</f>
        <v>#REF!</v>
      </c>
      <c r="F338" s="105" t="e">
        <f>SUMIFS(#REF!,#REF!,$A338,#REF!,$B338,#REF!,$C338,#REF!,"&lt;&gt;Other Sector Demand")</f>
        <v>#REF!</v>
      </c>
      <c r="G338" s="106" t="e">
        <f t="shared" si="20"/>
        <v>#REF!</v>
      </c>
      <c r="H338" s="105" t="e">
        <f>SUMIFS(#REF!,#REF!,$A338,#REF!,$B338,#REF!,$C338,#REF!,"Other Sector Demand")</f>
        <v>#REF!</v>
      </c>
      <c r="I338" s="105" t="e">
        <f t="shared" si="21"/>
        <v>#REF!</v>
      </c>
      <c r="J338" s="106" t="e">
        <f t="shared" si="22"/>
        <v>#REF!</v>
      </c>
      <c r="K338" s="107" t="e">
        <f t="shared" si="23"/>
        <v>#REF!</v>
      </c>
    </row>
    <row r="339" spans="1:11" ht="15" customHeight="1" x14ac:dyDescent="0.2">
      <c r="A339" s="104" t="s">
        <v>205</v>
      </c>
      <c r="B339" s="104" t="s">
        <v>209</v>
      </c>
      <c r="C339" s="104" t="s">
        <v>66</v>
      </c>
      <c r="D339" s="104">
        <v>2030</v>
      </c>
      <c r="E339" s="105" t="e">
        <f>SUMIFS(#REF!,#REF!,$A339,#REF!,$B339,#REF!,$C339,#REF!,"Storage Demand")</f>
        <v>#REF!</v>
      </c>
      <c r="F339" s="105" t="e">
        <f>SUMIFS(#REF!,#REF!,$A339,#REF!,$B339,#REF!,$C339,#REF!,"&lt;&gt;Other Sector Demand")</f>
        <v>#REF!</v>
      </c>
      <c r="G339" s="106" t="e">
        <f t="shared" si="20"/>
        <v>#REF!</v>
      </c>
      <c r="H339" s="105" t="e">
        <f>SUMIFS(#REF!,#REF!,$A339,#REF!,$B339,#REF!,$C339,#REF!,"Other Sector Demand")</f>
        <v>#REF!</v>
      </c>
      <c r="I339" s="105" t="e">
        <f t="shared" si="21"/>
        <v>#REF!</v>
      </c>
      <c r="J339" s="106" t="e">
        <f t="shared" si="22"/>
        <v>#REF!</v>
      </c>
      <c r="K339" s="107" t="e">
        <f t="shared" si="23"/>
        <v>#REF!</v>
      </c>
    </row>
    <row r="340" spans="1:11" ht="15" customHeight="1" x14ac:dyDescent="0.2">
      <c r="A340" s="104" t="s">
        <v>205</v>
      </c>
      <c r="B340" s="104" t="s">
        <v>209</v>
      </c>
      <c r="C340" s="104" t="s">
        <v>66</v>
      </c>
      <c r="D340" s="104">
        <v>2040</v>
      </c>
      <c r="E340" s="105" t="e">
        <f>SUMIFS(#REF!,#REF!,$A340,#REF!,$B340,#REF!,$C340,#REF!,"Storage Demand")</f>
        <v>#REF!</v>
      </c>
      <c r="F340" s="105" t="e">
        <f>SUMIFS(#REF!,#REF!,$A340,#REF!,$B340,#REF!,$C340,#REF!,"&lt;&gt;Other Sector Demand")</f>
        <v>#REF!</v>
      </c>
      <c r="G340" s="106" t="e">
        <f t="shared" si="20"/>
        <v>#REF!</v>
      </c>
      <c r="H340" s="105" t="e">
        <f>SUMIFS(#REF!,#REF!,$A340,#REF!,$B340,#REF!,$C340,#REF!,"Other Sector Demand")</f>
        <v>#REF!</v>
      </c>
      <c r="I340" s="105" t="e">
        <f t="shared" si="21"/>
        <v>#REF!</v>
      </c>
      <c r="J340" s="106" t="e">
        <f t="shared" si="22"/>
        <v>#REF!</v>
      </c>
      <c r="K340" s="107" t="e">
        <f t="shared" si="23"/>
        <v>#REF!</v>
      </c>
    </row>
    <row r="341" spans="1:11" ht="15" customHeight="1" x14ac:dyDescent="0.2">
      <c r="A341" s="104" t="s">
        <v>205</v>
      </c>
      <c r="B341" s="104" t="s">
        <v>209</v>
      </c>
      <c r="C341" s="104" t="s">
        <v>66</v>
      </c>
      <c r="D341" s="104">
        <v>2050</v>
      </c>
      <c r="E341" s="105" t="e">
        <f>SUMIFS(#REF!,#REF!,$A341,#REF!,$B341,#REF!,$C341,#REF!,"Storage Demand")</f>
        <v>#REF!</v>
      </c>
      <c r="F341" s="105" t="e">
        <f>SUMIFS(#REF!,#REF!,$A341,#REF!,$B341,#REF!,$C341,#REF!,"&lt;&gt;Other Sector Demand")</f>
        <v>#REF!</v>
      </c>
      <c r="G341" s="106" t="e">
        <f t="shared" si="20"/>
        <v>#REF!</v>
      </c>
      <c r="H341" s="105" t="e">
        <f>SUMIFS(#REF!,#REF!,$A341,#REF!,$B341,#REF!,$C341,#REF!,"Other Sector Demand")</f>
        <v>#REF!</v>
      </c>
      <c r="I341" s="105" t="e">
        <f t="shared" si="21"/>
        <v>#REF!</v>
      </c>
      <c r="J341" s="106" t="e">
        <f t="shared" si="22"/>
        <v>#REF!</v>
      </c>
      <c r="K341" s="107" t="e">
        <f t="shared" si="23"/>
        <v>#REF!</v>
      </c>
    </row>
    <row r="342" spans="1:11" ht="15" customHeight="1" x14ac:dyDescent="0.2">
      <c r="A342" s="104" t="s">
        <v>205</v>
      </c>
      <c r="B342" s="104" t="s">
        <v>209</v>
      </c>
      <c r="C342" s="104" t="s">
        <v>67</v>
      </c>
      <c r="D342" s="104">
        <v>2020</v>
      </c>
      <c r="E342" s="105" t="e">
        <f>SUMIFS(#REF!,#REF!,$A342,#REF!,$B342,#REF!,$C342,#REF!,"Storage Demand")</f>
        <v>#REF!</v>
      </c>
      <c r="F342" s="105" t="e">
        <f>SUMIFS(#REF!,#REF!,$A342,#REF!,$B342,#REF!,$C342,#REF!,"&lt;&gt;Other Sector Demand")</f>
        <v>#REF!</v>
      </c>
      <c r="G342" s="106" t="e">
        <f t="shared" si="20"/>
        <v>#REF!</v>
      </c>
      <c r="H342" s="105" t="e">
        <f>SUMIFS(#REF!,#REF!,$A342,#REF!,$B342,#REF!,$C342,#REF!,"Other Sector Demand")</f>
        <v>#REF!</v>
      </c>
      <c r="I342" s="105" t="e">
        <f t="shared" si="21"/>
        <v>#REF!</v>
      </c>
      <c r="J342" s="106" t="e">
        <f t="shared" si="22"/>
        <v>#REF!</v>
      </c>
      <c r="K342" s="107" t="e">
        <f t="shared" si="23"/>
        <v>#REF!</v>
      </c>
    </row>
    <row r="343" spans="1:11" ht="15" customHeight="1" x14ac:dyDescent="0.2">
      <c r="A343" s="104" t="s">
        <v>205</v>
      </c>
      <c r="B343" s="104" t="s">
        <v>209</v>
      </c>
      <c r="C343" s="104" t="s">
        <v>67</v>
      </c>
      <c r="D343" s="104">
        <v>2030</v>
      </c>
      <c r="E343" s="105" t="e">
        <f>SUMIFS(#REF!,#REF!,$A343,#REF!,$B343,#REF!,$C343,#REF!,"Storage Demand")</f>
        <v>#REF!</v>
      </c>
      <c r="F343" s="105" t="e">
        <f>SUMIFS(#REF!,#REF!,$A343,#REF!,$B343,#REF!,$C343,#REF!,"&lt;&gt;Other Sector Demand")</f>
        <v>#REF!</v>
      </c>
      <c r="G343" s="106" t="e">
        <f t="shared" si="20"/>
        <v>#REF!</v>
      </c>
      <c r="H343" s="105" t="e">
        <f>SUMIFS(#REF!,#REF!,$A343,#REF!,$B343,#REF!,$C343,#REF!,"Other Sector Demand")</f>
        <v>#REF!</v>
      </c>
      <c r="I343" s="105" t="e">
        <f t="shared" si="21"/>
        <v>#REF!</v>
      </c>
      <c r="J343" s="106" t="e">
        <f t="shared" si="22"/>
        <v>#REF!</v>
      </c>
      <c r="K343" s="107" t="e">
        <f t="shared" si="23"/>
        <v>#REF!</v>
      </c>
    </row>
    <row r="344" spans="1:11" ht="15" customHeight="1" x14ac:dyDescent="0.2">
      <c r="A344" s="104" t="s">
        <v>205</v>
      </c>
      <c r="B344" s="104" t="s">
        <v>209</v>
      </c>
      <c r="C344" s="104" t="s">
        <v>67</v>
      </c>
      <c r="D344" s="104">
        <v>2040</v>
      </c>
      <c r="E344" s="105" t="e">
        <f>SUMIFS(#REF!,#REF!,$A344,#REF!,$B344,#REF!,$C344,#REF!,"Storage Demand")</f>
        <v>#REF!</v>
      </c>
      <c r="F344" s="105" t="e">
        <f>SUMIFS(#REF!,#REF!,$A344,#REF!,$B344,#REF!,$C344,#REF!,"&lt;&gt;Other Sector Demand")</f>
        <v>#REF!</v>
      </c>
      <c r="G344" s="106" t="e">
        <f t="shared" si="20"/>
        <v>#REF!</v>
      </c>
      <c r="H344" s="105" t="e">
        <f>SUMIFS(#REF!,#REF!,$A344,#REF!,$B344,#REF!,$C344,#REF!,"Other Sector Demand")</f>
        <v>#REF!</v>
      </c>
      <c r="I344" s="105" t="e">
        <f t="shared" si="21"/>
        <v>#REF!</v>
      </c>
      <c r="J344" s="106" t="e">
        <f t="shared" si="22"/>
        <v>#REF!</v>
      </c>
      <c r="K344" s="107" t="e">
        <f t="shared" si="23"/>
        <v>#REF!</v>
      </c>
    </row>
    <row r="345" spans="1:11" ht="15" customHeight="1" x14ac:dyDescent="0.2">
      <c r="A345" s="104" t="s">
        <v>205</v>
      </c>
      <c r="B345" s="104" t="s">
        <v>209</v>
      </c>
      <c r="C345" s="104" t="s">
        <v>67</v>
      </c>
      <c r="D345" s="104">
        <v>2050</v>
      </c>
      <c r="E345" s="105" t="e">
        <f>SUMIFS(#REF!,#REF!,$A345,#REF!,$B345,#REF!,$C345,#REF!,"Storage Demand")</f>
        <v>#REF!</v>
      </c>
      <c r="F345" s="105" t="e">
        <f>SUMIFS(#REF!,#REF!,$A345,#REF!,$B345,#REF!,$C345,#REF!,"&lt;&gt;Other Sector Demand")</f>
        <v>#REF!</v>
      </c>
      <c r="G345" s="106" t="e">
        <f t="shared" si="20"/>
        <v>#REF!</v>
      </c>
      <c r="H345" s="105" t="e">
        <f>SUMIFS(#REF!,#REF!,$A345,#REF!,$B345,#REF!,$C345,#REF!,"Other Sector Demand")</f>
        <v>#REF!</v>
      </c>
      <c r="I345" s="105" t="e">
        <f t="shared" si="21"/>
        <v>#REF!</v>
      </c>
      <c r="J345" s="106" t="e">
        <f t="shared" si="22"/>
        <v>#REF!</v>
      </c>
      <c r="K345" s="107" t="e">
        <f t="shared" si="23"/>
        <v>#REF!</v>
      </c>
    </row>
    <row r="346" spans="1:11" ht="15" customHeight="1" x14ac:dyDescent="0.2">
      <c r="A346" s="104" t="s">
        <v>205</v>
      </c>
      <c r="B346" s="104" t="s">
        <v>209</v>
      </c>
      <c r="C346" s="104" t="s">
        <v>68</v>
      </c>
      <c r="D346" s="104">
        <v>2020</v>
      </c>
      <c r="E346" s="105" t="e">
        <f>SUMIFS(#REF!,#REF!,$A346,#REF!,$B346,#REF!,$C346,#REF!,"Storage Demand")</f>
        <v>#REF!</v>
      </c>
      <c r="F346" s="105" t="e">
        <f>SUMIFS(#REF!,#REF!,$A346,#REF!,$B346,#REF!,$C346,#REF!,"&lt;&gt;Other Sector Demand")</f>
        <v>#REF!</v>
      </c>
      <c r="G346" s="106" t="e">
        <f t="shared" si="20"/>
        <v>#REF!</v>
      </c>
      <c r="H346" s="105" t="e">
        <f>SUMIFS(#REF!,#REF!,$A346,#REF!,$B346,#REF!,$C346,#REF!,"Other Sector Demand")</f>
        <v>#REF!</v>
      </c>
      <c r="I346" s="105" t="e">
        <f t="shared" si="21"/>
        <v>#REF!</v>
      </c>
      <c r="J346" s="106" t="e">
        <f t="shared" si="22"/>
        <v>#REF!</v>
      </c>
      <c r="K346" s="107" t="e">
        <f t="shared" si="23"/>
        <v>#REF!</v>
      </c>
    </row>
    <row r="347" spans="1:11" ht="15" customHeight="1" x14ac:dyDescent="0.2">
      <c r="A347" s="104" t="s">
        <v>205</v>
      </c>
      <c r="B347" s="104" t="s">
        <v>209</v>
      </c>
      <c r="C347" s="104" t="s">
        <v>68</v>
      </c>
      <c r="D347" s="104">
        <v>2030</v>
      </c>
      <c r="E347" s="105" t="e">
        <f>SUMIFS(#REF!,#REF!,$A347,#REF!,$B347,#REF!,$C347,#REF!,"Storage Demand")</f>
        <v>#REF!</v>
      </c>
      <c r="F347" s="105" t="e">
        <f>SUMIFS(#REF!,#REF!,$A347,#REF!,$B347,#REF!,$C347,#REF!,"&lt;&gt;Other Sector Demand")</f>
        <v>#REF!</v>
      </c>
      <c r="G347" s="106" t="e">
        <f t="shared" si="20"/>
        <v>#REF!</v>
      </c>
      <c r="H347" s="105" t="e">
        <f>SUMIFS(#REF!,#REF!,$A347,#REF!,$B347,#REF!,$C347,#REF!,"Other Sector Demand")</f>
        <v>#REF!</v>
      </c>
      <c r="I347" s="105" t="e">
        <f t="shared" si="21"/>
        <v>#REF!</v>
      </c>
      <c r="J347" s="106" t="e">
        <f t="shared" si="22"/>
        <v>#REF!</v>
      </c>
      <c r="K347" s="107" t="e">
        <f t="shared" si="23"/>
        <v>#REF!</v>
      </c>
    </row>
    <row r="348" spans="1:11" ht="15" customHeight="1" x14ac:dyDescent="0.2">
      <c r="A348" s="104" t="s">
        <v>205</v>
      </c>
      <c r="B348" s="104" t="s">
        <v>209</v>
      </c>
      <c r="C348" s="104" t="s">
        <v>68</v>
      </c>
      <c r="D348" s="104">
        <v>2040</v>
      </c>
      <c r="E348" s="105" t="e">
        <f>SUMIFS(#REF!,#REF!,$A348,#REF!,$B348,#REF!,$C348,#REF!,"Storage Demand")</f>
        <v>#REF!</v>
      </c>
      <c r="F348" s="105" t="e">
        <f>SUMIFS(#REF!,#REF!,$A348,#REF!,$B348,#REF!,$C348,#REF!,"&lt;&gt;Other Sector Demand")</f>
        <v>#REF!</v>
      </c>
      <c r="G348" s="106" t="e">
        <f t="shared" si="20"/>
        <v>#REF!</v>
      </c>
      <c r="H348" s="105" t="e">
        <f>SUMIFS(#REF!,#REF!,$A348,#REF!,$B348,#REF!,$C348,#REF!,"Other Sector Demand")</f>
        <v>#REF!</v>
      </c>
      <c r="I348" s="105" t="e">
        <f t="shared" si="21"/>
        <v>#REF!</v>
      </c>
      <c r="J348" s="106" t="e">
        <f t="shared" si="22"/>
        <v>#REF!</v>
      </c>
      <c r="K348" s="107" t="e">
        <f t="shared" si="23"/>
        <v>#REF!</v>
      </c>
    </row>
    <row r="349" spans="1:11" ht="15" customHeight="1" x14ac:dyDescent="0.2">
      <c r="A349" s="104" t="s">
        <v>205</v>
      </c>
      <c r="B349" s="104" t="s">
        <v>209</v>
      </c>
      <c r="C349" s="104" t="s">
        <v>68</v>
      </c>
      <c r="D349" s="104">
        <v>2050</v>
      </c>
      <c r="E349" s="105" t="e">
        <f>SUMIFS(#REF!,#REF!,$A349,#REF!,$B349,#REF!,$C349,#REF!,"Storage Demand")</f>
        <v>#REF!</v>
      </c>
      <c r="F349" s="105" t="e">
        <f>SUMIFS(#REF!,#REF!,$A349,#REF!,$B349,#REF!,$C349,#REF!,"&lt;&gt;Other Sector Demand")</f>
        <v>#REF!</v>
      </c>
      <c r="G349" s="106" t="e">
        <f t="shared" si="20"/>
        <v>#REF!</v>
      </c>
      <c r="H349" s="105" t="e">
        <f>SUMIFS(#REF!,#REF!,$A349,#REF!,$B349,#REF!,$C349,#REF!,"Other Sector Demand")</f>
        <v>#REF!</v>
      </c>
      <c r="I349" s="105" t="e">
        <f t="shared" si="21"/>
        <v>#REF!</v>
      </c>
      <c r="J349" s="106" t="e">
        <f t="shared" si="22"/>
        <v>#REF!</v>
      </c>
      <c r="K349" s="107" t="e">
        <f t="shared" si="23"/>
        <v>#REF!</v>
      </c>
    </row>
    <row r="350" spans="1:11" ht="15" customHeight="1" x14ac:dyDescent="0.2">
      <c r="A350" s="104" t="s">
        <v>205</v>
      </c>
      <c r="B350" s="104" t="s">
        <v>209</v>
      </c>
      <c r="C350" s="104" t="s">
        <v>69</v>
      </c>
      <c r="D350" s="104">
        <v>2020</v>
      </c>
      <c r="E350" s="105" t="e">
        <f>SUMIFS(#REF!,#REF!,$A350,#REF!,$B350,#REF!,$C350,#REF!,"Storage Demand")</f>
        <v>#REF!</v>
      </c>
      <c r="F350" s="105" t="e">
        <f>SUMIFS(#REF!,#REF!,$A350,#REF!,$B350,#REF!,$C350,#REF!,"&lt;&gt;Other Sector Demand")</f>
        <v>#REF!</v>
      </c>
      <c r="G350" s="106" t="e">
        <f t="shared" si="20"/>
        <v>#REF!</v>
      </c>
      <c r="H350" s="105" t="e">
        <f>SUMIFS(#REF!,#REF!,$A350,#REF!,$B350,#REF!,$C350,#REF!,"Other Sector Demand")</f>
        <v>#REF!</v>
      </c>
      <c r="I350" s="105" t="e">
        <f t="shared" si="21"/>
        <v>#REF!</v>
      </c>
      <c r="J350" s="106" t="e">
        <f t="shared" si="22"/>
        <v>#REF!</v>
      </c>
      <c r="K350" s="107" t="e">
        <f t="shared" si="23"/>
        <v>#REF!</v>
      </c>
    </row>
    <row r="351" spans="1:11" ht="15" customHeight="1" x14ac:dyDescent="0.2">
      <c r="A351" s="104" t="s">
        <v>205</v>
      </c>
      <c r="B351" s="104" t="s">
        <v>209</v>
      </c>
      <c r="C351" s="104" t="s">
        <v>69</v>
      </c>
      <c r="D351" s="104">
        <v>2030</v>
      </c>
      <c r="E351" s="105" t="e">
        <f>SUMIFS(#REF!,#REF!,$A351,#REF!,$B351,#REF!,$C351,#REF!,"Storage Demand")</f>
        <v>#REF!</v>
      </c>
      <c r="F351" s="105" t="e">
        <f>SUMIFS(#REF!,#REF!,$A351,#REF!,$B351,#REF!,$C351,#REF!,"&lt;&gt;Other Sector Demand")</f>
        <v>#REF!</v>
      </c>
      <c r="G351" s="106" t="e">
        <f t="shared" si="20"/>
        <v>#REF!</v>
      </c>
      <c r="H351" s="105" t="e">
        <f>SUMIFS(#REF!,#REF!,$A351,#REF!,$B351,#REF!,$C351,#REF!,"Other Sector Demand")</f>
        <v>#REF!</v>
      </c>
      <c r="I351" s="105" t="e">
        <f t="shared" si="21"/>
        <v>#REF!</v>
      </c>
      <c r="J351" s="106" t="e">
        <f t="shared" si="22"/>
        <v>#REF!</v>
      </c>
      <c r="K351" s="107" t="e">
        <f t="shared" si="23"/>
        <v>#REF!</v>
      </c>
    </row>
    <row r="352" spans="1:11" ht="15" customHeight="1" x14ac:dyDescent="0.2">
      <c r="A352" s="104" t="s">
        <v>205</v>
      </c>
      <c r="B352" s="104" t="s">
        <v>209</v>
      </c>
      <c r="C352" s="104" t="s">
        <v>69</v>
      </c>
      <c r="D352" s="104">
        <v>2040</v>
      </c>
      <c r="E352" s="105" t="e">
        <f>SUMIFS(#REF!,#REF!,$A352,#REF!,$B352,#REF!,$C352,#REF!,"Storage Demand")</f>
        <v>#REF!</v>
      </c>
      <c r="F352" s="105" t="e">
        <f>SUMIFS(#REF!,#REF!,$A352,#REF!,$B352,#REF!,$C352,#REF!,"&lt;&gt;Other Sector Demand")</f>
        <v>#REF!</v>
      </c>
      <c r="G352" s="106" t="e">
        <f t="shared" si="20"/>
        <v>#REF!</v>
      </c>
      <c r="H352" s="105" t="e">
        <f>SUMIFS(#REF!,#REF!,$A352,#REF!,$B352,#REF!,$C352,#REF!,"Other Sector Demand")</f>
        <v>#REF!</v>
      </c>
      <c r="I352" s="105" t="e">
        <f t="shared" si="21"/>
        <v>#REF!</v>
      </c>
      <c r="J352" s="106" t="e">
        <f t="shared" si="22"/>
        <v>#REF!</v>
      </c>
      <c r="K352" s="107" t="e">
        <f t="shared" si="23"/>
        <v>#REF!</v>
      </c>
    </row>
    <row r="353" spans="1:11" ht="15" customHeight="1" x14ac:dyDescent="0.2">
      <c r="A353" s="104" t="s">
        <v>205</v>
      </c>
      <c r="B353" s="104" t="s">
        <v>209</v>
      </c>
      <c r="C353" s="104" t="s">
        <v>69</v>
      </c>
      <c r="D353" s="104">
        <v>2050</v>
      </c>
      <c r="E353" s="105" t="e">
        <f>SUMIFS(#REF!,#REF!,$A353,#REF!,$B353,#REF!,$C353,#REF!,"Storage Demand")</f>
        <v>#REF!</v>
      </c>
      <c r="F353" s="105" t="e">
        <f>SUMIFS(#REF!,#REF!,$A353,#REF!,$B353,#REF!,$C353,#REF!,"&lt;&gt;Other Sector Demand")</f>
        <v>#REF!</v>
      </c>
      <c r="G353" s="106" t="e">
        <f t="shared" si="20"/>
        <v>#REF!</v>
      </c>
      <c r="H353" s="105" t="e">
        <f>SUMIFS(#REF!,#REF!,$A353,#REF!,$B353,#REF!,$C353,#REF!,"Other Sector Demand")</f>
        <v>#REF!</v>
      </c>
      <c r="I353" s="105" t="e">
        <f t="shared" si="21"/>
        <v>#REF!</v>
      </c>
      <c r="J353" s="106" t="e">
        <f t="shared" si="22"/>
        <v>#REF!</v>
      </c>
      <c r="K353" s="107" t="e">
        <f t="shared" si="23"/>
        <v>#REF!</v>
      </c>
    </row>
    <row r="354" spans="1:11" ht="15" customHeight="1" x14ac:dyDescent="0.2">
      <c r="A354" s="104" t="s">
        <v>205</v>
      </c>
      <c r="B354" s="104" t="s">
        <v>209</v>
      </c>
      <c r="C354" s="104" t="s">
        <v>70</v>
      </c>
      <c r="D354" s="104">
        <v>2020</v>
      </c>
      <c r="E354" s="105" t="e">
        <f>SUMIFS(#REF!,#REF!,$A354,#REF!,$B354,#REF!,$C354,#REF!,"Storage Demand")</f>
        <v>#REF!</v>
      </c>
      <c r="F354" s="105" t="e">
        <f>SUMIFS(#REF!,#REF!,$A354,#REF!,$B354,#REF!,$C354,#REF!,"&lt;&gt;Other Sector Demand")</f>
        <v>#REF!</v>
      </c>
      <c r="G354" s="106" t="e">
        <f t="shared" si="20"/>
        <v>#REF!</v>
      </c>
      <c r="H354" s="105" t="e">
        <f>SUMIFS(#REF!,#REF!,$A354,#REF!,$B354,#REF!,$C354,#REF!,"Other Sector Demand")</f>
        <v>#REF!</v>
      </c>
      <c r="I354" s="105" t="e">
        <f t="shared" si="21"/>
        <v>#REF!</v>
      </c>
      <c r="J354" s="106" t="e">
        <f t="shared" si="22"/>
        <v>#REF!</v>
      </c>
      <c r="K354" s="107" t="e">
        <f t="shared" si="23"/>
        <v>#REF!</v>
      </c>
    </row>
    <row r="355" spans="1:11" ht="15" customHeight="1" x14ac:dyDescent="0.2">
      <c r="A355" s="104" t="s">
        <v>205</v>
      </c>
      <c r="B355" s="104" t="s">
        <v>209</v>
      </c>
      <c r="C355" s="104" t="s">
        <v>70</v>
      </c>
      <c r="D355" s="104">
        <v>2030</v>
      </c>
      <c r="E355" s="105" t="e">
        <f>SUMIFS(#REF!,#REF!,$A355,#REF!,$B355,#REF!,$C355,#REF!,"Storage Demand")</f>
        <v>#REF!</v>
      </c>
      <c r="F355" s="105" t="e">
        <f>SUMIFS(#REF!,#REF!,$A355,#REF!,$B355,#REF!,$C355,#REF!,"&lt;&gt;Other Sector Demand")</f>
        <v>#REF!</v>
      </c>
      <c r="G355" s="106" t="e">
        <f t="shared" si="20"/>
        <v>#REF!</v>
      </c>
      <c r="H355" s="105" t="e">
        <f>SUMIFS(#REF!,#REF!,$A355,#REF!,$B355,#REF!,$C355,#REF!,"Other Sector Demand")</f>
        <v>#REF!</v>
      </c>
      <c r="I355" s="105" t="e">
        <f t="shared" si="21"/>
        <v>#REF!</v>
      </c>
      <c r="J355" s="106" t="e">
        <f t="shared" si="22"/>
        <v>#REF!</v>
      </c>
      <c r="K355" s="107" t="e">
        <f t="shared" si="23"/>
        <v>#REF!</v>
      </c>
    </row>
    <row r="356" spans="1:11" ht="15" customHeight="1" x14ac:dyDescent="0.2">
      <c r="A356" s="104" t="s">
        <v>205</v>
      </c>
      <c r="B356" s="104" t="s">
        <v>209</v>
      </c>
      <c r="C356" s="104" t="s">
        <v>70</v>
      </c>
      <c r="D356" s="104">
        <v>2040</v>
      </c>
      <c r="E356" s="105" t="e">
        <f>SUMIFS(#REF!,#REF!,$A356,#REF!,$B356,#REF!,$C356,#REF!,"Storage Demand")</f>
        <v>#REF!</v>
      </c>
      <c r="F356" s="105" t="e">
        <f>SUMIFS(#REF!,#REF!,$A356,#REF!,$B356,#REF!,$C356,#REF!,"&lt;&gt;Other Sector Demand")</f>
        <v>#REF!</v>
      </c>
      <c r="G356" s="106" t="e">
        <f t="shared" si="20"/>
        <v>#REF!</v>
      </c>
      <c r="H356" s="105" t="e">
        <f>SUMIFS(#REF!,#REF!,$A356,#REF!,$B356,#REF!,$C356,#REF!,"Other Sector Demand")</f>
        <v>#REF!</v>
      </c>
      <c r="I356" s="105" t="e">
        <f t="shared" si="21"/>
        <v>#REF!</v>
      </c>
      <c r="J356" s="106" t="e">
        <f t="shared" si="22"/>
        <v>#REF!</v>
      </c>
      <c r="K356" s="107" t="e">
        <f t="shared" si="23"/>
        <v>#REF!</v>
      </c>
    </row>
    <row r="357" spans="1:11" ht="15" customHeight="1" x14ac:dyDescent="0.2">
      <c r="A357" s="104" t="s">
        <v>205</v>
      </c>
      <c r="B357" s="104" t="s">
        <v>209</v>
      </c>
      <c r="C357" s="104" t="s">
        <v>70</v>
      </c>
      <c r="D357" s="104">
        <v>2050</v>
      </c>
      <c r="E357" s="105" t="e">
        <f>SUMIFS(#REF!,#REF!,$A357,#REF!,$B357,#REF!,$C357,#REF!,"Storage Demand")</f>
        <v>#REF!</v>
      </c>
      <c r="F357" s="105" t="e">
        <f>SUMIFS(#REF!,#REF!,$A357,#REF!,$B357,#REF!,$C357,#REF!,"&lt;&gt;Other Sector Demand")</f>
        <v>#REF!</v>
      </c>
      <c r="G357" s="106" t="e">
        <f t="shared" si="20"/>
        <v>#REF!</v>
      </c>
      <c r="H357" s="105" t="e">
        <f>SUMIFS(#REF!,#REF!,$A357,#REF!,$B357,#REF!,$C357,#REF!,"Other Sector Demand")</f>
        <v>#REF!</v>
      </c>
      <c r="I357" s="105" t="e">
        <f t="shared" si="21"/>
        <v>#REF!</v>
      </c>
      <c r="J357" s="106" t="e">
        <f t="shared" si="22"/>
        <v>#REF!</v>
      </c>
      <c r="K357" s="107" t="e">
        <f t="shared" si="23"/>
        <v>#REF!</v>
      </c>
    </row>
    <row r="358" spans="1:11" ht="15" customHeight="1" x14ac:dyDescent="0.2">
      <c r="A358" s="104" t="s">
        <v>205</v>
      </c>
      <c r="B358" s="104" t="s">
        <v>209</v>
      </c>
      <c r="C358" s="104" t="s">
        <v>71</v>
      </c>
      <c r="D358" s="104">
        <v>2020</v>
      </c>
      <c r="E358" s="105" t="e">
        <f>SUMIFS(#REF!,#REF!,$A358,#REF!,$B358,#REF!,$C358,#REF!,"Storage Demand")</f>
        <v>#REF!</v>
      </c>
      <c r="F358" s="105" t="e">
        <f>SUMIFS(#REF!,#REF!,$A358,#REF!,$B358,#REF!,$C358,#REF!,"&lt;&gt;Other Sector Demand")</f>
        <v>#REF!</v>
      </c>
      <c r="G358" s="106" t="e">
        <f t="shared" si="20"/>
        <v>#REF!</v>
      </c>
      <c r="H358" s="105" t="e">
        <f>SUMIFS(#REF!,#REF!,$A358,#REF!,$B358,#REF!,$C358,#REF!,"Other Sector Demand")</f>
        <v>#REF!</v>
      </c>
      <c r="I358" s="105" t="e">
        <f t="shared" si="21"/>
        <v>#REF!</v>
      </c>
      <c r="J358" s="106" t="e">
        <f t="shared" si="22"/>
        <v>#REF!</v>
      </c>
      <c r="K358" s="107" t="e">
        <f t="shared" si="23"/>
        <v>#REF!</v>
      </c>
    </row>
    <row r="359" spans="1:11" ht="15" customHeight="1" x14ac:dyDescent="0.2">
      <c r="A359" s="104" t="s">
        <v>205</v>
      </c>
      <c r="B359" s="104" t="s">
        <v>209</v>
      </c>
      <c r="C359" s="104" t="s">
        <v>71</v>
      </c>
      <c r="D359" s="104">
        <v>2030</v>
      </c>
      <c r="E359" s="105" t="e">
        <f>SUMIFS(#REF!,#REF!,$A359,#REF!,$B359,#REF!,$C359,#REF!,"Storage Demand")</f>
        <v>#REF!</v>
      </c>
      <c r="F359" s="105" t="e">
        <f>SUMIFS(#REF!,#REF!,$A359,#REF!,$B359,#REF!,$C359,#REF!,"&lt;&gt;Other Sector Demand")</f>
        <v>#REF!</v>
      </c>
      <c r="G359" s="106" t="e">
        <f t="shared" si="20"/>
        <v>#REF!</v>
      </c>
      <c r="H359" s="105" t="e">
        <f>SUMIFS(#REF!,#REF!,$A359,#REF!,$B359,#REF!,$C359,#REF!,"Other Sector Demand")</f>
        <v>#REF!</v>
      </c>
      <c r="I359" s="105" t="e">
        <f t="shared" si="21"/>
        <v>#REF!</v>
      </c>
      <c r="J359" s="106" t="e">
        <f t="shared" si="22"/>
        <v>#REF!</v>
      </c>
      <c r="K359" s="107" t="e">
        <f t="shared" si="23"/>
        <v>#REF!</v>
      </c>
    </row>
    <row r="360" spans="1:11" ht="15" customHeight="1" x14ac:dyDescent="0.2">
      <c r="A360" s="104" t="s">
        <v>205</v>
      </c>
      <c r="B360" s="104" t="s">
        <v>209</v>
      </c>
      <c r="C360" s="104" t="s">
        <v>71</v>
      </c>
      <c r="D360" s="104">
        <v>2040</v>
      </c>
      <c r="E360" s="105" t="e">
        <f>SUMIFS(#REF!,#REF!,$A360,#REF!,$B360,#REF!,$C360,#REF!,"Storage Demand")</f>
        <v>#REF!</v>
      </c>
      <c r="F360" s="105" t="e">
        <f>SUMIFS(#REF!,#REF!,$A360,#REF!,$B360,#REF!,$C360,#REF!,"&lt;&gt;Other Sector Demand")</f>
        <v>#REF!</v>
      </c>
      <c r="G360" s="106" t="e">
        <f t="shared" si="20"/>
        <v>#REF!</v>
      </c>
      <c r="H360" s="105" t="e">
        <f>SUMIFS(#REF!,#REF!,$A360,#REF!,$B360,#REF!,$C360,#REF!,"Other Sector Demand")</f>
        <v>#REF!</v>
      </c>
      <c r="I360" s="105" t="e">
        <f t="shared" si="21"/>
        <v>#REF!</v>
      </c>
      <c r="J360" s="106" t="e">
        <f t="shared" si="22"/>
        <v>#REF!</v>
      </c>
      <c r="K360" s="107" t="e">
        <f t="shared" si="23"/>
        <v>#REF!</v>
      </c>
    </row>
    <row r="361" spans="1:11" ht="15" customHeight="1" x14ac:dyDescent="0.2">
      <c r="A361" s="104" t="s">
        <v>205</v>
      </c>
      <c r="B361" s="104" t="s">
        <v>209</v>
      </c>
      <c r="C361" s="104" t="s">
        <v>71</v>
      </c>
      <c r="D361" s="104">
        <v>2050</v>
      </c>
      <c r="E361" s="105" t="e">
        <f>SUMIFS(#REF!,#REF!,$A361,#REF!,$B361,#REF!,$C361,#REF!,"Storage Demand")</f>
        <v>#REF!</v>
      </c>
      <c r="F361" s="105" t="e">
        <f>SUMIFS(#REF!,#REF!,$A361,#REF!,$B361,#REF!,$C361,#REF!,"&lt;&gt;Other Sector Demand")</f>
        <v>#REF!</v>
      </c>
      <c r="G361" s="106" t="e">
        <f t="shared" si="20"/>
        <v>#REF!</v>
      </c>
      <c r="H361" s="105" t="e">
        <f>SUMIFS(#REF!,#REF!,$A361,#REF!,$B361,#REF!,$C361,#REF!,"Other Sector Demand")</f>
        <v>#REF!</v>
      </c>
      <c r="I361" s="105" t="e">
        <f t="shared" si="21"/>
        <v>#REF!</v>
      </c>
      <c r="J361" s="106" t="e">
        <f t="shared" si="22"/>
        <v>#REF!</v>
      </c>
      <c r="K361" s="107" t="e">
        <f t="shared" si="23"/>
        <v>#REF!</v>
      </c>
    </row>
    <row r="362" spans="1:11" ht="15" customHeight="1" x14ac:dyDescent="0.2">
      <c r="A362" s="104" t="s">
        <v>205</v>
      </c>
      <c r="B362" s="104" t="s">
        <v>209</v>
      </c>
      <c r="C362" s="104" t="s">
        <v>73</v>
      </c>
      <c r="D362" s="104">
        <v>2020</v>
      </c>
      <c r="E362" s="105" t="e">
        <f>SUMIFS(#REF!,#REF!,$A362,#REF!,$B362,#REF!,$C362,#REF!,"Storage Demand")</f>
        <v>#REF!</v>
      </c>
      <c r="F362" s="105" t="e">
        <f>SUMIFS(#REF!,#REF!,$A362,#REF!,$B362,#REF!,$C362,#REF!,"&lt;&gt;Other Sector Demand")</f>
        <v>#REF!</v>
      </c>
      <c r="G362" s="106" t="e">
        <f t="shared" si="20"/>
        <v>#REF!</v>
      </c>
      <c r="H362" s="105" t="e">
        <f>SUMIFS(#REF!,#REF!,$A362,#REF!,$B362,#REF!,$C362,#REF!,"Other Sector Demand")</f>
        <v>#REF!</v>
      </c>
      <c r="I362" s="105" t="e">
        <f t="shared" si="21"/>
        <v>#REF!</v>
      </c>
      <c r="J362" s="106" t="e">
        <f t="shared" si="22"/>
        <v>#REF!</v>
      </c>
      <c r="K362" s="107" t="e">
        <f t="shared" si="23"/>
        <v>#REF!</v>
      </c>
    </row>
    <row r="363" spans="1:11" ht="15" customHeight="1" x14ac:dyDescent="0.2">
      <c r="A363" s="104" t="s">
        <v>205</v>
      </c>
      <c r="B363" s="104" t="s">
        <v>209</v>
      </c>
      <c r="C363" s="104" t="s">
        <v>73</v>
      </c>
      <c r="D363" s="104">
        <v>2030</v>
      </c>
      <c r="E363" s="105" t="e">
        <f>SUMIFS(#REF!,#REF!,$A363,#REF!,$B363,#REF!,$C363,#REF!,"Storage Demand")</f>
        <v>#REF!</v>
      </c>
      <c r="F363" s="105" t="e">
        <f>SUMIFS(#REF!,#REF!,$A363,#REF!,$B363,#REF!,$C363,#REF!,"&lt;&gt;Other Sector Demand")</f>
        <v>#REF!</v>
      </c>
      <c r="G363" s="106" t="e">
        <f t="shared" si="20"/>
        <v>#REF!</v>
      </c>
      <c r="H363" s="105" t="e">
        <f>SUMIFS(#REF!,#REF!,$A363,#REF!,$B363,#REF!,$C363,#REF!,"Other Sector Demand")</f>
        <v>#REF!</v>
      </c>
      <c r="I363" s="105" t="e">
        <f t="shared" si="21"/>
        <v>#REF!</v>
      </c>
      <c r="J363" s="106" t="e">
        <f t="shared" si="22"/>
        <v>#REF!</v>
      </c>
      <c r="K363" s="107" t="e">
        <f t="shared" si="23"/>
        <v>#REF!</v>
      </c>
    </row>
    <row r="364" spans="1:11" ht="15" customHeight="1" x14ac:dyDescent="0.2">
      <c r="A364" s="104" t="s">
        <v>205</v>
      </c>
      <c r="B364" s="104" t="s">
        <v>209</v>
      </c>
      <c r="C364" s="104" t="s">
        <v>73</v>
      </c>
      <c r="D364" s="104">
        <v>2040</v>
      </c>
      <c r="E364" s="105" t="e">
        <f>SUMIFS(#REF!,#REF!,$A364,#REF!,$B364,#REF!,$C364,#REF!,"Storage Demand")</f>
        <v>#REF!</v>
      </c>
      <c r="F364" s="105" t="e">
        <f>SUMIFS(#REF!,#REF!,$A364,#REF!,$B364,#REF!,$C364,#REF!,"&lt;&gt;Other Sector Demand")</f>
        <v>#REF!</v>
      </c>
      <c r="G364" s="106" t="e">
        <f t="shared" si="20"/>
        <v>#REF!</v>
      </c>
      <c r="H364" s="105" t="e">
        <f>SUMIFS(#REF!,#REF!,$A364,#REF!,$B364,#REF!,$C364,#REF!,"Other Sector Demand")</f>
        <v>#REF!</v>
      </c>
      <c r="I364" s="105" t="e">
        <f t="shared" si="21"/>
        <v>#REF!</v>
      </c>
      <c r="J364" s="106" t="e">
        <f t="shared" si="22"/>
        <v>#REF!</v>
      </c>
      <c r="K364" s="107" t="e">
        <f t="shared" si="23"/>
        <v>#REF!</v>
      </c>
    </row>
    <row r="365" spans="1:11" ht="15" customHeight="1" x14ac:dyDescent="0.2">
      <c r="A365" s="104" t="s">
        <v>205</v>
      </c>
      <c r="B365" s="104" t="s">
        <v>209</v>
      </c>
      <c r="C365" s="104" t="s">
        <v>73</v>
      </c>
      <c r="D365" s="104">
        <v>2050</v>
      </c>
      <c r="E365" s="105" t="e">
        <f>SUMIFS(#REF!,#REF!,$A365,#REF!,$B365,#REF!,$C365,#REF!,"Storage Demand")</f>
        <v>#REF!</v>
      </c>
      <c r="F365" s="105" t="e">
        <f>SUMIFS(#REF!,#REF!,$A365,#REF!,$B365,#REF!,$C365,#REF!,"&lt;&gt;Other Sector Demand")</f>
        <v>#REF!</v>
      </c>
      <c r="G365" s="106" t="e">
        <f t="shared" si="20"/>
        <v>#REF!</v>
      </c>
      <c r="H365" s="105" t="e">
        <f>SUMIFS(#REF!,#REF!,$A365,#REF!,$B365,#REF!,$C365,#REF!,"Other Sector Demand")</f>
        <v>#REF!</v>
      </c>
      <c r="I365" s="105" t="e">
        <f t="shared" si="21"/>
        <v>#REF!</v>
      </c>
      <c r="J365" s="106" t="e">
        <f t="shared" si="22"/>
        <v>#REF!</v>
      </c>
      <c r="K365" s="107" t="e">
        <f t="shared" si="23"/>
        <v>#REF!</v>
      </c>
    </row>
    <row r="366" spans="1:11" ht="15" customHeight="1" x14ac:dyDescent="0.2">
      <c r="A366" s="104" t="s">
        <v>205</v>
      </c>
      <c r="B366" s="104" t="s">
        <v>209</v>
      </c>
      <c r="C366" s="104" t="s">
        <v>74</v>
      </c>
      <c r="D366" s="104">
        <v>2020</v>
      </c>
      <c r="E366" s="105" t="e">
        <f>SUMIFS(#REF!,#REF!,$A366,#REF!,$B366,#REF!,$C366,#REF!,"Storage Demand")</f>
        <v>#REF!</v>
      </c>
      <c r="F366" s="105" t="e">
        <f>SUMIFS(#REF!,#REF!,$A366,#REF!,$B366,#REF!,$C366,#REF!,"&lt;&gt;Other Sector Demand")</f>
        <v>#REF!</v>
      </c>
      <c r="G366" s="106" t="e">
        <f t="shared" si="20"/>
        <v>#REF!</v>
      </c>
      <c r="H366" s="105" t="e">
        <f>SUMIFS(#REF!,#REF!,$A366,#REF!,$B366,#REF!,$C366,#REF!,"Other Sector Demand")</f>
        <v>#REF!</v>
      </c>
      <c r="I366" s="105" t="e">
        <f t="shared" si="21"/>
        <v>#REF!</v>
      </c>
      <c r="J366" s="106" t="e">
        <f t="shared" si="22"/>
        <v>#REF!</v>
      </c>
      <c r="K366" s="107" t="e">
        <f t="shared" si="23"/>
        <v>#REF!</v>
      </c>
    </row>
    <row r="367" spans="1:11" ht="15" customHeight="1" x14ac:dyDescent="0.2">
      <c r="A367" s="104" t="s">
        <v>205</v>
      </c>
      <c r="B367" s="104" t="s">
        <v>209</v>
      </c>
      <c r="C367" s="104" t="s">
        <v>74</v>
      </c>
      <c r="D367" s="104">
        <v>2030</v>
      </c>
      <c r="E367" s="105" t="e">
        <f>SUMIFS(#REF!,#REF!,$A367,#REF!,$B367,#REF!,$C367,#REF!,"Storage Demand")</f>
        <v>#REF!</v>
      </c>
      <c r="F367" s="105" t="e">
        <f>SUMIFS(#REF!,#REF!,$A367,#REF!,$B367,#REF!,$C367,#REF!,"&lt;&gt;Other Sector Demand")</f>
        <v>#REF!</v>
      </c>
      <c r="G367" s="106" t="e">
        <f t="shared" si="20"/>
        <v>#REF!</v>
      </c>
      <c r="H367" s="105" t="e">
        <f>SUMIFS(#REF!,#REF!,$A367,#REF!,$B367,#REF!,$C367,#REF!,"Other Sector Demand")</f>
        <v>#REF!</v>
      </c>
      <c r="I367" s="105" t="e">
        <f t="shared" si="21"/>
        <v>#REF!</v>
      </c>
      <c r="J367" s="106" t="e">
        <f t="shared" si="22"/>
        <v>#REF!</v>
      </c>
      <c r="K367" s="107" t="e">
        <f t="shared" si="23"/>
        <v>#REF!</v>
      </c>
    </row>
    <row r="368" spans="1:11" ht="15" customHeight="1" x14ac:dyDescent="0.2">
      <c r="A368" s="104" t="s">
        <v>205</v>
      </c>
      <c r="B368" s="104" t="s">
        <v>209</v>
      </c>
      <c r="C368" s="104" t="s">
        <v>74</v>
      </c>
      <c r="D368" s="104">
        <v>2040</v>
      </c>
      <c r="E368" s="105" t="e">
        <f>SUMIFS(#REF!,#REF!,$A368,#REF!,$B368,#REF!,$C368,#REF!,"Storage Demand")</f>
        <v>#REF!</v>
      </c>
      <c r="F368" s="105" t="e">
        <f>SUMIFS(#REF!,#REF!,$A368,#REF!,$B368,#REF!,$C368,#REF!,"&lt;&gt;Other Sector Demand")</f>
        <v>#REF!</v>
      </c>
      <c r="G368" s="106" t="e">
        <f t="shared" si="20"/>
        <v>#REF!</v>
      </c>
      <c r="H368" s="105" t="e">
        <f>SUMIFS(#REF!,#REF!,$A368,#REF!,$B368,#REF!,$C368,#REF!,"Other Sector Demand")</f>
        <v>#REF!</v>
      </c>
      <c r="I368" s="105" t="e">
        <f t="shared" si="21"/>
        <v>#REF!</v>
      </c>
      <c r="J368" s="106" t="e">
        <f t="shared" si="22"/>
        <v>#REF!</v>
      </c>
      <c r="K368" s="107" t="e">
        <f t="shared" si="23"/>
        <v>#REF!</v>
      </c>
    </row>
    <row r="369" spans="1:11" ht="15" customHeight="1" x14ac:dyDescent="0.2">
      <c r="A369" s="104" t="s">
        <v>205</v>
      </c>
      <c r="B369" s="104" t="s">
        <v>209</v>
      </c>
      <c r="C369" s="104" t="s">
        <v>74</v>
      </c>
      <c r="D369" s="104">
        <v>2050</v>
      </c>
      <c r="E369" s="105" t="e">
        <f>SUMIFS(#REF!,#REF!,$A369,#REF!,$B369,#REF!,$C369,#REF!,"Storage Demand")</f>
        <v>#REF!</v>
      </c>
      <c r="F369" s="105" t="e">
        <f>SUMIFS(#REF!,#REF!,$A369,#REF!,$B369,#REF!,$C369,#REF!,"&lt;&gt;Other Sector Demand")</f>
        <v>#REF!</v>
      </c>
      <c r="G369" s="106" t="e">
        <f t="shared" si="20"/>
        <v>#REF!</v>
      </c>
      <c r="H369" s="105" t="e">
        <f>SUMIFS(#REF!,#REF!,$A369,#REF!,$B369,#REF!,$C369,#REF!,"Other Sector Demand")</f>
        <v>#REF!</v>
      </c>
      <c r="I369" s="105" t="e">
        <f t="shared" si="21"/>
        <v>#REF!</v>
      </c>
      <c r="J369" s="106" t="e">
        <f t="shared" si="22"/>
        <v>#REF!</v>
      </c>
      <c r="K369" s="107" t="e">
        <f t="shared" si="23"/>
        <v>#REF!</v>
      </c>
    </row>
    <row r="370" spans="1:11" ht="15" customHeight="1" x14ac:dyDescent="0.2">
      <c r="A370" s="104" t="s">
        <v>205</v>
      </c>
      <c r="B370" s="104" t="s">
        <v>209</v>
      </c>
      <c r="C370" s="104" t="s">
        <v>75</v>
      </c>
      <c r="D370" s="104">
        <v>2020</v>
      </c>
      <c r="E370" s="105" t="e">
        <f>SUMIFS(#REF!,#REF!,$A370,#REF!,$B370,#REF!,$C370,#REF!,"Storage Demand")</f>
        <v>#REF!</v>
      </c>
      <c r="F370" s="105" t="e">
        <f>SUMIFS(#REF!,#REF!,$A370,#REF!,$B370,#REF!,$C370,#REF!,"&lt;&gt;Other Sector Demand")</f>
        <v>#REF!</v>
      </c>
      <c r="G370" s="106" t="e">
        <f t="shared" si="20"/>
        <v>#REF!</v>
      </c>
      <c r="H370" s="105" t="e">
        <f>SUMIFS(#REF!,#REF!,$A370,#REF!,$B370,#REF!,$C370,#REF!,"Other Sector Demand")</f>
        <v>#REF!</v>
      </c>
      <c r="I370" s="105" t="e">
        <f t="shared" si="21"/>
        <v>#REF!</v>
      </c>
      <c r="J370" s="106" t="e">
        <f t="shared" si="22"/>
        <v>#REF!</v>
      </c>
      <c r="K370" s="107" t="e">
        <f t="shared" si="23"/>
        <v>#REF!</v>
      </c>
    </row>
    <row r="371" spans="1:11" ht="15" customHeight="1" x14ac:dyDescent="0.2">
      <c r="A371" s="104" t="s">
        <v>205</v>
      </c>
      <c r="B371" s="104" t="s">
        <v>209</v>
      </c>
      <c r="C371" s="104" t="s">
        <v>75</v>
      </c>
      <c r="D371" s="104">
        <v>2030</v>
      </c>
      <c r="E371" s="105" t="e">
        <f>SUMIFS(#REF!,#REF!,$A371,#REF!,$B371,#REF!,$C371,#REF!,"Storage Demand")</f>
        <v>#REF!</v>
      </c>
      <c r="F371" s="105" t="e">
        <f>SUMIFS(#REF!,#REF!,$A371,#REF!,$B371,#REF!,$C371,#REF!,"&lt;&gt;Other Sector Demand")</f>
        <v>#REF!</v>
      </c>
      <c r="G371" s="106" t="e">
        <f t="shared" si="20"/>
        <v>#REF!</v>
      </c>
      <c r="H371" s="105" t="e">
        <f>SUMIFS(#REF!,#REF!,$A371,#REF!,$B371,#REF!,$C371,#REF!,"Other Sector Demand")</f>
        <v>#REF!</v>
      </c>
      <c r="I371" s="105" t="e">
        <f t="shared" si="21"/>
        <v>#REF!</v>
      </c>
      <c r="J371" s="106" t="e">
        <f t="shared" si="22"/>
        <v>#REF!</v>
      </c>
      <c r="K371" s="107" t="e">
        <f t="shared" si="23"/>
        <v>#REF!</v>
      </c>
    </row>
    <row r="372" spans="1:11" ht="15" customHeight="1" x14ac:dyDescent="0.2">
      <c r="A372" s="104" t="s">
        <v>205</v>
      </c>
      <c r="B372" s="104" t="s">
        <v>209</v>
      </c>
      <c r="C372" s="104" t="s">
        <v>75</v>
      </c>
      <c r="D372" s="104">
        <v>2040</v>
      </c>
      <c r="E372" s="105" t="e">
        <f>SUMIFS(#REF!,#REF!,$A372,#REF!,$B372,#REF!,$C372,#REF!,"Storage Demand")</f>
        <v>#REF!</v>
      </c>
      <c r="F372" s="105" t="e">
        <f>SUMIFS(#REF!,#REF!,$A372,#REF!,$B372,#REF!,$C372,#REF!,"&lt;&gt;Other Sector Demand")</f>
        <v>#REF!</v>
      </c>
      <c r="G372" s="106" t="e">
        <f t="shared" si="20"/>
        <v>#REF!</v>
      </c>
      <c r="H372" s="105" t="e">
        <f>SUMIFS(#REF!,#REF!,$A372,#REF!,$B372,#REF!,$C372,#REF!,"Other Sector Demand")</f>
        <v>#REF!</v>
      </c>
      <c r="I372" s="105" t="e">
        <f t="shared" si="21"/>
        <v>#REF!</v>
      </c>
      <c r="J372" s="106" t="e">
        <f t="shared" si="22"/>
        <v>#REF!</v>
      </c>
      <c r="K372" s="107" t="e">
        <f t="shared" si="23"/>
        <v>#REF!</v>
      </c>
    </row>
    <row r="373" spans="1:11" ht="15" customHeight="1" x14ac:dyDescent="0.2">
      <c r="A373" s="104" t="s">
        <v>205</v>
      </c>
      <c r="B373" s="104" t="s">
        <v>209</v>
      </c>
      <c r="C373" s="104" t="s">
        <v>75</v>
      </c>
      <c r="D373" s="104">
        <v>2050</v>
      </c>
      <c r="E373" s="105" t="e">
        <f>SUMIFS(#REF!,#REF!,$A373,#REF!,$B373,#REF!,$C373,#REF!,"Storage Demand")</f>
        <v>#REF!</v>
      </c>
      <c r="F373" s="105" t="e">
        <f>SUMIFS(#REF!,#REF!,$A373,#REF!,$B373,#REF!,$C373,#REF!,"&lt;&gt;Other Sector Demand")</f>
        <v>#REF!</v>
      </c>
      <c r="G373" s="106" t="e">
        <f t="shared" si="20"/>
        <v>#REF!</v>
      </c>
      <c r="H373" s="105" t="e">
        <f>SUMIFS(#REF!,#REF!,$A373,#REF!,$B373,#REF!,$C373,#REF!,"Other Sector Demand")</f>
        <v>#REF!</v>
      </c>
      <c r="I373" s="105" t="e">
        <f t="shared" si="21"/>
        <v>#REF!</v>
      </c>
      <c r="J373" s="106" t="e">
        <f t="shared" si="22"/>
        <v>#REF!</v>
      </c>
      <c r="K373" s="107" t="e">
        <f t="shared" si="23"/>
        <v>#REF!</v>
      </c>
    </row>
    <row r="374" spans="1:11" ht="15" customHeight="1" x14ac:dyDescent="0.2">
      <c r="A374" s="104" t="s">
        <v>205</v>
      </c>
      <c r="B374" s="104" t="s">
        <v>209</v>
      </c>
      <c r="C374" s="104" t="s">
        <v>76</v>
      </c>
      <c r="D374" s="104">
        <v>2020</v>
      </c>
      <c r="E374" s="105" t="e">
        <f>SUMIFS(#REF!,#REF!,$A374,#REF!,$B374,#REF!,$C374,#REF!,"Storage Demand")</f>
        <v>#REF!</v>
      </c>
      <c r="F374" s="105" t="e">
        <f>SUMIFS(#REF!,#REF!,$A374,#REF!,$B374,#REF!,$C374,#REF!,"&lt;&gt;Other Sector Demand")</f>
        <v>#REF!</v>
      </c>
      <c r="G374" s="106" t="e">
        <f t="shared" si="20"/>
        <v>#REF!</v>
      </c>
      <c r="H374" s="105" t="e">
        <f>SUMIFS(#REF!,#REF!,$A374,#REF!,$B374,#REF!,$C374,#REF!,"Other Sector Demand")</f>
        <v>#REF!</v>
      </c>
      <c r="I374" s="105" t="e">
        <f t="shared" si="21"/>
        <v>#REF!</v>
      </c>
      <c r="J374" s="106" t="e">
        <f t="shared" si="22"/>
        <v>#REF!</v>
      </c>
      <c r="K374" s="107" t="e">
        <f t="shared" si="23"/>
        <v>#REF!</v>
      </c>
    </row>
    <row r="375" spans="1:11" ht="15" customHeight="1" x14ac:dyDescent="0.2">
      <c r="A375" s="104" t="s">
        <v>205</v>
      </c>
      <c r="B375" s="104" t="s">
        <v>209</v>
      </c>
      <c r="C375" s="104" t="s">
        <v>76</v>
      </c>
      <c r="D375" s="104">
        <v>2030</v>
      </c>
      <c r="E375" s="105" t="e">
        <f>SUMIFS(#REF!,#REF!,$A375,#REF!,$B375,#REF!,$C375,#REF!,"Storage Demand")</f>
        <v>#REF!</v>
      </c>
      <c r="F375" s="105" t="e">
        <f>SUMIFS(#REF!,#REF!,$A375,#REF!,$B375,#REF!,$C375,#REF!,"&lt;&gt;Other Sector Demand")</f>
        <v>#REF!</v>
      </c>
      <c r="G375" s="106" t="e">
        <f t="shared" si="20"/>
        <v>#REF!</v>
      </c>
      <c r="H375" s="105" t="e">
        <f>SUMIFS(#REF!,#REF!,$A375,#REF!,$B375,#REF!,$C375,#REF!,"Other Sector Demand")</f>
        <v>#REF!</v>
      </c>
      <c r="I375" s="105" t="e">
        <f t="shared" si="21"/>
        <v>#REF!</v>
      </c>
      <c r="J375" s="106" t="e">
        <f t="shared" si="22"/>
        <v>#REF!</v>
      </c>
      <c r="K375" s="107" t="e">
        <f t="shared" si="23"/>
        <v>#REF!</v>
      </c>
    </row>
    <row r="376" spans="1:11" ht="15" customHeight="1" x14ac:dyDescent="0.2">
      <c r="A376" s="104" t="s">
        <v>205</v>
      </c>
      <c r="B376" s="104" t="s">
        <v>209</v>
      </c>
      <c r="C376" s="104" t="s">
        <v>76</v>
      </c>
      <c r="D376" s="104">
        <v>2040</v>
      </c>
      <c r="E376" s="105" t="e">
        <f>SUMIFS(#REF!,#REF!,$A376,#REF!,$B376,#REF!,$C376,#REF!,"Storage Demand")</f>
        <v>#REF!</v>
      </c>
      <c r="F376" s="105" t="e">
        <f>SUMIFS(#REF!,#REF!,$A376,#REF!,$B376,#REF!,$C376,#REF!,"&lt;&gt;Other Sector Demand")</f>
        <v>#REF!</v>
      </c>
      <c r="G376" s="106" t="e">
        <f t="shared" si="20"/>
        <v>#REF!</v>
      </c>
      <c r="H376" s="105" t="e">
        <f>SUMIFS(#REF!,#REF!,$A376,#REF!,$B376,#REF!,$C376,#REF!,"Other Sector Demand")</f>
        <v>#REF!</v>
      </c>
      <c r="I376" s="105" t="e">
        <f t="shared" si="21"/>
        <v>#REF!</v>
      </c>
      <c r="J376" s="106" t="e">
        <f t="shared" si="22"/>
        <v>#REF!</v>
      </c>
      <c r="K376" s="107" t="e">
        <f t="shared" si="23"/>
        <v>#REF!</v>
      </c>
    </row>
    <row r="377" spans="1:11" ht="15" customHeight="1" x14ac:dyDescent="0.2">
      <c r="A377" s="104" t="s">
        <v>205</v>
      </c>
      <c r="B377" s="104" t="s">
        <v>209</v>
      </c>
      <c r="C377" s="104" t="s">
        <v>76</v>
      </c>
      <c r="D377" s="104">
        <v>2050</v>
      </c>
      <c r="E377" s="105" t="e">
        <f>SUMIFS(#REF!,#REF!,$A377,#REF!,$B377,#REF!,$C377,#REF!,"Storage Demand")</f>
        <v>#REF!</v>
      </c>
      <c r="F377" s="105" t="e">
        <f>SUMIFS(#REF!,#REF!,$A377,#REF!,$B377,#REF!,$C377,#REF!,"&lt;&gt;Other Sector Demand")</f>
        <v>#REF!</v>
      </c>
      <c r="G377" s="106" t="e">
        <f t="shared" si="20"/>
        <v>#REF!</v>
      </c>
      <c r="H377" s="105" t="e">
        <f>SUMIFS(#REF!,#REF!,$A377,#REF!,$B377,#REF!,$C377,#REF!,"Other Sector Demand")</f>
        <v>#REF!</v>
      </c>
      <c r="I377" s="105" t="e">
        <f t="shared" si="21"/>
        <v>#REF!</v>
      </c>
      <c r="J377" s="106" t="e">
        <f t="shared" si="22"/>
        <v>#REF!</v>
      </c>
      <c r="K377" s="107" t="e">
        <f t="shared" si="23"/>
        <v>#REF!</v>
      </c>
    </row>
    <row r="378" spans="1:11" ht="15" customHeight="1" x14ac:dyDescent="0.2">
      <c r="A378" s="104" t="s">
        <v>205</v>
      </c>
      <c r="B378" s="104" t="s">
        <v>209</v>
      </c>
      <c r="C378" s="104" t="s">
        <v>77</v>
      </c>
      <c r="D378" s="104">
        <v>2020</v>
      </c>
      <c r="E378" s="105" t="e">
        <f>SUMIFS(#REF!,#REF!,$A378,#REF!,$B378,#REF!,$C378,#REF!,"Storage Demand")</f>
        <v>#REF!</v>
      </c>
      <c r="F378" s="105" t="e">
        <f>SUMIFS(#REF!,#REF!,$A378,#REF!,$B378,#REF!,$C378,#REF!,"&lt;&gt;Other Sector Demand")</f>
        <v>#REF!</v>
      </c>
      <c r="G378" s="106" t="e">
        <f t="shared" si="20"/>
        <v>#REF!</v>
      </c>
      <c r="H378" s="105" t="e">
        <f>SUMIFS(#REF!,#REF!,$A378,#REF!,$B378,#REF!,$C378,#REF!,"Other Sector Demand")</f>
        <v>#REF!</v>
      </c>
      <c r="I378" s="105" t="e">
        <f t="shared" si="21"/>
        <v>#REF!</v>
      </c>
      <c r="J378" s="106" t="e">
        <f t="shared" si="22"/>
        <v>#REF!</v>
      </c>
      <c r="K378" s="107" t="e">
        <f t="shared" si="23"/>
        <v>#REF!</v>
      </c>
    </row>
    <row r="379" spans="1:11" ht="15" customHeight="1" x14ac:dyDescent="0.2">
      <c r="A379" s="104" t="s">
        <v>205</v>
      </c>
      <c r="B379" s="104" t="s">
        <v>209</v>
      </c>
      <c r="C379" s="104" t="s">
        <v>77</v>
      </c>
      <c r="D379" s="104">
        <v>2030</v>
      </c>
      <c r="E379" s="105" t="e">
        <f>SUMIFS(#REF!,#REF!,$A379,#REF!,$B379,#REF!,$C379,#REF!,"Storage Demand")</f>
        <v>#REF!</v>
      </c>
      <c r="F379" s="105" t="e">
        <f>SUMIFS(#REF!,#REF!,$A379,#REF!,$B379,#REF!,$C379,#REF!,"&lt;&gt;Other Sector Demand")</f>
        <v>#REF!</v>
      </c>
      <c r="G379" s="106" t="e">
        <f t="shared" si="20"/>
        <v>#REF!</v>
      </c>
      <c r="H379" s="105" t="e">
        <f>SUMIFS(#REF!,#REF!,$A379,#REF!,$B379,#REF!,$C379,#REF!,"Other Sector Demand")</f>
        <v>#REF!</v>
      </c>
      <c r="I379" s="105" t="e">
        <f t="shared" si="21"/>
        <v>#REF!</v>
      </c>
      <c r="J379" s="106" t="e">
        <f t="shared" si="22"/>
        <v>#REF!</v>
      </c>
      <c r="K379" s="107" t="e">
        <f t="shared" si="23"/>
        <v>#REF!</v>
      </c>
    </row>
    <row r="380" spans="1:11" ht="15" customHeight="1" x14ac:dyDescent="0.2">
      <c r="A380" s="104" t="s">
        <v>205</v>
      </c>
      <c r="B380" s="104" t="s">
        <v>209</v>
      </c>
      <c r="C380" s="104" t="s">
        <v>77</v>
      </c>
      <c r="D380" s="104">
        <v>2040</v>
      </c>
      <c r="E380" s="105" t="e">
        <f>SUMIFS(#REF!,#REF!,$A380,#REF!,$B380,#REF!,$C380,#REF!,"Storage Demand")</f>
        <v>#REF!</v>
      </c>
      <c r="F380" s="105" t="e">
        <f>SUMIFS(#REF!,#REF!,$A380,#REF!,$B380,#REF!,$C380,#REF!,"&lt;&gt;Other Sector Demand")</f>
        <v>#REF!</v>
      </c>
      <c r="G380" s="106" t="e">
        <f t="shared" si="20"/>
        <v>#REF!</v>
      </c>
      <c r="H380" s="105" t="e">
        <f>SUMIFS(#REF!,#REF!,$A380,#REF!,$B380,#REF!,$C380,#REF!,"Other Sector Demand")</f>
        <v>#REF!</v>
      </c>
      <c r="I380" s="105" t="e">
        <f t="shared" si="21"/>
        <v>#REF!</v>
      </c>
      <c r="J380" s="106" t="e">
        <f t="shared" si="22"/>
        <v>#REF!</v>
      </c>
      <c r="K380" s="107" t="e">
        <f t="shared" si="23"/>
        <v>#REF!</v>
      </c>
    </row>
    <row r="381" spans="1:11" ht="15" customHeight="1" x14ac:dyDescent="0.2">
      <c r="A381" s="104" t="s">
        <v>205</v>
      </c>
      <c r="B381" s="104" t="s">
        <v>209</v>
      </c>
      <c r="C381" s="104" t="s">
        <v>77</v>
      </c>
      <c r="D381" s="104">
        <v>2050</v>
      </c>
      <c r="E381" s="105" t="e">
        <f>SUMIFS(#REF!,#REF!,$A381,#REF!,$B381,#REF!,$C381,#REF!,"Storage Demand")</f>
        <v>#REF!</v>
      </c>
      <c r="F381" s="105" t="e">
        <f>SUMIFS(#REF!,#REF!,$A381,#REF!,$B381,#REF!,$C381,#REF!,"&lt;&gt;Other Sector Demand")</f>
        <v>#REF!</v>
      </c>
      <c r="G381" s="106" t="e">
        <f t="shared" si="20"/>
        <v>#REF!</v>
      </c>
      <c r="H381" s="105" t="e">
        <f>SUMIFS(#REF!,#REF!,$A381,#REF!,$B381,#REF!,$C381,#REF!,"Other Sector Demand")</f>
        <v>#REF!</v>
      </c>
      <c r="I381" s="105" t="e">
        <f t="shared" si="21"/>
        <v>#REF!</v>
      </c>
      <c r="J381" s="106" t="e">
        <f t="shared" si="22"/>
        <v>#REF!</v>
      </c>
      <c r="K381" s="107" t="e">
        <f t="shared" si="23"/>
        <v>#REF!</v>
      </c>
    </row>
    <row r="382" spans="1:11" ht="15" customHeight="1" x14ac:dyDescent="0.2">
      <c r="A382" s="104" t="s">
        <v>205</v>
      </c>
      <c r="B382" s="104" t="s">
        <v>209</v>
      </c>
      <c r="C382" s="104" t="s">
        <v>78</v>
      </c>
      <c r="D382" s="104">
        <v>2020</v>
      </c>
      <c r="E382" s="105" t="e">
        <f>SUMIFS(#REF!,#REF!,$A382,#REF!,$B382,#REF!,$C382,#REF!,"Storage Demand")</f>
        <v>#REF!</v>
      </c>
      <c r="F382" s="105" t="e">
        <f>SUMIFS(#REF!,#REF!,$A382,#REF!,$B382,#REF!,$C382,#REF!,"&lt;&gt;Other Sector Demand")</f>
        <v>#REF!</v>
      </c>
      <c r="G382" s="106" t="e">
        <f t="shared" si="20"/>
        <v>#REF!</v>
      </c>
      <c r="H382" s="105" t="e">
        <f>SUMIFS(#REF!,#REF!,$A382,#REF!,$B382,#REF!,$C382,#REF!,"Other Sector Demand")</f>
        <v>#REF!</v>
      </c>
      <c r="I382" s="105" t="e">
        <f t="shared" si="21"/>
        <v>#REF!</v>
      </c>
      <c r="J382" s="106" t="e">
        <f t="shared" si="22"/>
        <v>#REF!</v>
      </c>
      <c r="K382" s="107" t="e">
        <f t="shared" si="23"/>
        <v>#REF!</v>
      </c>
    </row>
    <row r="383" spans="1:11" ht="15" customHeight="1" x14ac:dyDescent="0.2">
      <c r="A383" s="104" t="s">
        <v>205</v>
      </c>
      <c r="B383" s="104" t="s">
        <v>209</v>
      </c>
      <c r="C383" s="104" t="s">
        <v>78</v>
      </c>
      <c r="D383" s="104">
        <v>2030</v>
      </c>
      <c r="E383" s="105" t="e">
        <f>SUMIFS(#REF!,#REF!,$A383,#REF!,$B383,#REF!,$C383,#REF!,"Storage Demand")</f>
        <v>#REF!</v>
      </c>
      <c r="F383" s="105" t="e">
        <f>SUMIFS(#REF!,#REF!,$A383,#REF!,$B383,#REF!,$C383,#REF!,"&lt;&gt;Other Sector Demand")</f>
        <v>#REF!</v>
      </c>
      <c r="G383" s="106" t="e">
        <f t="shared" si="20"/>
        <v>#REF!</v>
      </c>
      <c r="H383" s="105" t="e">
        <f>SUMIFS(#REF!,#REF!,$A383,#REF!,$B383,#REF!,$C383,#REF!,"Other Sector Demand")</f>
        <v>#REF!</v>
      </c>
      <c r="I383" s="105" t="e">
        <f t="shared" si="21"/>
        <v>#REF!</v>
      </c>
      <c r="J383" s="106" t="e">
        <f t="shared" si="22"/>
        <v>#REF!</v>
      </c>
      <c r="K383" s="107" t="e">
        <f t="shared" si="23"/>
        <v>#REF!</v>
      </c>
    </row>
    <row r="384" spans="1:11" ht="15" customHeight="1" x14ac:dyDescent="0.2">
      <c r="A384" s="104" t="s">
        <v>205</v>
      </c>
      <c r="B384" s="104" t="s">
        <v>209</v>
      </c>
      <c r="C384" s="104" t="s">
        <v>78</v>
      </c>
      <c r="D384" s="104">
        <v>2040</v>
      </c>
      <c r="E384" s="105" t="e">
        <f>SUMIFS(#REF!,#REF!,$A384,#REF!,$B384,#REF!,$C384,#REF!,"Storage Demand")</f>
        <v>#REF!</v>
      </c>
      <c r="F384" s="105" t="e">
        <f>SUMIFS(#REF!,#REF!,$A384,#REF!,$B384,#REF!,$C384,#REF!,"&lt;&gt;Other Sector Demand")</f>
        <v>#REF!</v>
      </c>
      <c r="G384" s="106" t="e">
        <f t="shared" si="20"/>
        <v>#REF!</v>
      </c>
      <c r="H384" s="105" t="e">
        <f>SUMIFS(#REF!,#REF!,$A384,#REF!,$B384,#REF!,$C384,#REF!,"Other Sector Demand")</f>
        <v>#REF!</v>
      </c>
      <c r="I384" s="105" t="e">
        <f t="shared" si="21"/>
        <v>#REF!</v>
      </c>
      <c r="J384" s="106" t="e">
        <f t="shared" si="22"/>
        <v>#REF!</v>
      </c>
      <c r="K384" s="107" t="e">
        <f t="shared" si="23"/>
        <v>#REF!</v>
      </c>
    </row>
    <row r="385" spans="1:11" ht="15" customHeight="1" x14ac:dyDescent="0.2">
      <c r="A385" s="104" t="s">
        <v>205</v>
      </c>
      <c r="B385" s="104" t="s">
        <v>209</v>
      </c>
      <c r="C385" s="104" t="s">
        <v>78</v>
      </c>
      <c r="D385" s="104">
        <v>2050</v>
      </c>
      <c r="E385" s="105" t="e">
        <f>SUMIFS(#REF!,#REF!,$A385,#REF!,$B385,#REF!,$C385,#REF!,"Storage Demand")</f>
        <v>#REF!</v>
      </c>
      <c r="F385" s="105" t="e">
        <f>SUMIFS(#REF!,#REF!,$A385,#REF!,$B385,#REF!,$C385,#REF!,"&lt;&gt;Other Sector Demand")</f>
        <v>#REF!</v>
      </c>
      <c r="G385" s="106" t="e">
        <f t="shared" si="20"/>
        <v>#REF!</v>
      </c>
      <c r="H385" s="105" t="e">
        <f>SUMIFS(#REF!,#REF!,$A385,#REF!,$B385,#REF!,$C385,#REF!,"Other Sector Demand")</f>
        <v>#REF!</v>
      </c>
      <c r="I385" s="105" t="e">
        <f t="shared" si="21"/>
        <v>#REF!</v>
      </c>
      <c r="J385" s="106" t="e">
        <f t="shared" si="22"/>
        <v>#REF!</v>
      </c>
      <c r="K385" s="107" t="e">
        <f t="shared" si="23"/>
        <v>#REF!</v>
      </c>
    </row>
    <row r="386" spans="1:11" ht="15" customHeight="1" x14ac:dyDescent="0.2">
      <c r="A386" s="104" t="s">
        <v>205</v>
      </c>
      <c r="B386" s="104" t="s">
        <v>210</v>
      </c>
      <c r="C386" s="104" t="s">
        <v>38</v>
      </c>
      <c r="D386" s="104">
        <v>2020</v>
      </c>
      <c r="E386" s="105" t="e">
        <f>SUMIFS(#REF!,#REF!,$A386,#REF!,$B386,#REF!,$C386,#REF!,"Storage Demand")</f>
        <v>#REF!</v>
      </c>
      <c r="F386" s="105" t="e">
        <f>SUMIFS(#REF!,#REF!,$A386,#REF!,$B386,#REF!,$C386,#REF!,"&lt;&gt;Other Sector Demand")</f>
        <v>#REF!</v>
      </c>
      <c r="G386" s="106" t="e">
        <f t="shared" ref="G386:G449" si="24">IF($F386=0,0,$E386/$F386)</f>
        <v>#REF!</v>
      </c>
      <c r="H386" s="105" t="e">
        <f>SUMIFS(#REF!,#REF!,$A386,#REF!,$B386,#REF!,$C386,#REF!,"Other Sector Demand")</f>
        <v>#REF!</v>
      </c>
      <c r="I386" s="105" t="e">
        <f t="shared" ref="I386:I449" si="25">$F386+$H386</f>
        <v>#REF!</v>
      </c>
      <c r="J386" s="106" t="e">
        <f t="shared" ref="J386:J449" si="26">IF($I386=0,0,$E386/$I386)</f>
        <v>#REF!</v>
      </c>
      <c r="K386" s="107" t="e">
        <f t="shared" ref="K386:K449" si="27">IF(SUMIFS($F$2:$F$1025,$A$2:$A$1025,$A386,$B$2:$B$1025,$B386,$C$2:$C$1025,$C386)=0,0,SUMIFS($E$2:$E$1025,$A$2:$A$1025,$A386,$B$2:$B$1025,$B386,$C$2:$C$1025,$C386)/SUMIFS($F$2:$F$1025,$A$2:$A$1025,$A386,$B$2:$B$1025,$B386,$C$2:$C$1025,$C386))</f>
        <v>#REF!</v>
      </c>
    </row>
    <row r="387" spans="1:11" ht="15" customHeight="1" x14ac:dyDescent="0.2">
      <c r="A387" s="104" t="s">
        <v>205</v>
      </c>
      <c r="B387" s="104" t="s">
        <v>210</v>
      </c>
      <c r="C387" s="104" t="s">
        <v>38</v>
      </c>
      <c r="D387" s="104">
        <v>2030</v>
      </c>
      <c r="E387" s="105" t="e">
        <f>SUMIFS(#REF!,#REF!,$A387,#REF!,$B387,#REF!,$C387,#REF!,"Storage Demand")</f>
        <v>#REF!</v>
      </c>
      <c r="F387" s="105" t="e">
        <f>SUMIFS(#REF!,#REF!,$A387,#REF!,$B387,#REF!,$C387,#REF!,"&lt;&gt;Other Sector Demand")</f>
        <v>#REF!</v>
      </c>
      <c r="G387" s="106" t="e">
        <f t="shared" si="24"/>
        <v>#REF!</v>
      </c>
      <c r="H387" s="105" t="e">
        <f>SUMIFS(#REF!,#REF!,$A387,#REF!,$B387,#REF!,$C387,#REF!,"Other Sector Demand")</f>
        <v>#REF!</v>
      </c>
      <c r="I387" s="105" t="e">
        <f t="shared" si="25"/>
        <v>#REF!</v>
      </c>
      <c r="J387" s="106" t="e">
        <f t="shared" si="26"/>
        <v>#REF!</v>
      </c>
      <c r="K387" s="107" t="e">
        <f t="shared" si="27"/>
        <v>#REF!</v>
      </c>
    </row>
    <row r="388" spans="1:11" ht="15" customHeight="1" x14ac:dyDescent="0.2">
      <c r="A388" s="104" t="s">
        <v>205</v>
      </c>
      <c r="B388" s="104" t="s">
        <v>210</v>
      </c>
      <c r="C388" s="104" t="s">
        <v>38</v>
      </c>
      <c r="D388" s="104">
        <v>2040</v>
      </c>
      <c r="E388" s="105" t="e">
        <f>SUMIFS(#REF!,#REF!,$A388,#REF!,$B388,#REF!,$C388,#REF!,"Storage Demand")</f>
        <v>#REF!</v>
      </c>
      <c r="F388" s="105" t="e">
        <f>SUMIFS(#REF!,#REF!,$A388,#REF!,$B388,#REF!,$C388,#REF!,"&lt;&gt;Other Sector Demand")</f>
        <v>#REF!</v>
      </c>
      <c r="G388" s="106" t="e">
        <f t="shared" si="24"/>
        <v>#REF!</v>
      </c>
      <c r="H388" s="105" t="e">
        <f>SUMIFS(#REF!,#REF!,$A388,#REF!,$B388,#REF!,$C388,#REF!,"Other Sector Demand")</f>
        <v>#REF!</v>
      </c>
      <c r="I388" s="105" t="e">
        <f t="shared" si="25"/>
        <v>#REF!</v>
      </c>
      <c r="J388" s="106" t="e">
        <f t="shared" si="26"/>
        <v>#REF!</v>
      </c>
      <c r="K388" s="107" t="e">
        <f t="shared" si="27"/>
        <v>#REF!</v>
      </c>
    </row>
    <row r="389" spans="1:11" ht="15" customHeight="1" x14ac:dyDescent="0.2">
      <c r="A389" s="104" t="s">
        <v>205</v>
      </c>
      <c r="B389" s="104" t="s">
        <v>210</v>
      </c>
      <c r="C389" s="104" t="s">
        <v>38</v>
      </c>
      <c r="D389" s="104">
        <v>2050</v>
      </c>
      <c r="E389" s="105" t="e">
        <f>SUMIFS(#REF!,#REF!,$A389,#REF!,$B389,#REF!,$C389,#REF!,"Storage Demand")</f>
        <v>#REF!</v>
      </c>
      <c r="F389" s="105" t="e">
        <f>SUMIFS(#REF!,#REF!,$A389,#REF!,$B389,#REF!,$C389,#REF!,"&lt;&gt;Other Sector Demand")</f>
        <v>#REF!</v>
      </c>
      <c r="G389" s="106" t="e">
        <f t="shared" si="24"/>
        <v>#REF!</v>
      </c>
      <c r="H389" s="105" t="e">
        <f>SUMIFS(#REF!,#REF!,$A389,#REF!,$B389,#REF!,$C389,#REF!,"Other Sector Demand")</f>
        <v>#REF!</v>
      </c>
      <c r="I389" s="105" t="e">
        <f t="shared" si="25"/>
        <v>#REF!</v>
      </c>
      <c r="J389" s="106" t="e">
        <f t="shared" si="26"/>
        <v>#REF!</v>
      </c>
      <c r="K389" s="107" t="e">
        <f t="shared" si="27"/>
        <v>#REF!</v>
      </c>
    </row>
    <row r="390" spans="1:11" ht="15" customHeight="1" x14ac:dyDescent="0.2">
      <c r="A390" s="104" t="s">
        <v>205</v>
      </c>
      <c r="B390" s="104" t="s">
        <v>210</v>
      </c>
      <c r="C390" s="104" t="s">
        <v>39</v>
      </c>
      <c r="D390" s="104">
        <v>2020</v>
      </c>
      <c r="E390" s="105" t="e">
        <f>SUMIFS(#REF!,#REF!,$A390,#REF!,$B390,#REF!,$C390,#REF!,"Storage Demand")</f>
        <v>#REF!</v>
      </c>
      <c r="F390" s="105" t="e">
        <f>SUMIFS(#REF!,#REF!,$A390,#REF!,$B390,#REF!,$C390,#REF!,"&lt;&gt;Other Sector Demand")</f>
        <v>#REF!</v>
      </c>
      <c r="G390" s="106" t="e">
        <f t="shared" si="24"/>
        <v>#REF!</v>
      </c>
      <c r="H390" s="105" t="e">
        <f>SUMIFS(#REF!,#REF!,$A390,#REF!,$B390,#REF!,$C390,#REF!,"Other Sector Demand")</f>
        <v>#REF!</v>
      </c>
      <c r="I390" s="105" t="e">
        <f t="shared" si="25"/>
        <v>#REF!</v>
      </c>
      <c r="J390" s="106" t="e">
        <f t="shared" si="26"/>
        <v>#REF!</v>
      </c>
      <c r="K390" s="107" t="e">
        <f t="shared" si="27"/>
        <v>#REF!</v>
      </c>
    </row>
    <row r="391" spans="1:11" ht="15" customHeight="1" x14ac:dyDescent="0.2">
      <c r="A391" s="104" t="s">
        <v>205</v>
      </c>
      <c r="B391" s="104" t="s">
        <v>210</v>
      </c>
      <c r="C391" s="104" t="s">
        <v>39</v>
      </c>
      <c r="D391" s="104">
        <v>2030</v>
      </c>
      <c r="E391" s="105" t="e">
        <f>SUMIFS(#REF!,#REF!,$A391,#REF!,$B391,#REF!,$C391,#REF!,"Storage Demand")</f>
        <v>#REF!</v>
      </c>
      <c r="F391" s="105" t="e">
        <f>SUMIFS(#REF!,#REF!,$A391,#REF!,$B391,#REF!,$C391,#REF!,"&lt;&gt;Other Sector Demand")</f>
        <v>#REF!</v>
      </c>
      <c r="G391" s="106" t="e">
        <f t="shared" si="24"/>
        <v>#REF!</v>
      </c>
      <c r="H391" s="105" t="e">
        <f>SUMIFS(#REF!,#REF!,$A391,#REF!,$B391,#REF!,$C391,#REF!,"Other Sector Demand")</f>
        <v>#REF!</v>
      </c>
      <c r="I391" s="105" t="e">
        <f t="shared" si="25"/>
        <v>#REF!</v>
      </c>
      <c r="J391" s="106" t="e">
        <f t="shared" si="26"/>
        <v>#REF!</v>
      </c>
      <c r="K391" s="107" t="e">
        <f t="shared" si="27"/>
        <v>#REF!</v>
      </c>
    </row>
    <row r="392" spans="1:11" ht="15" customHeight="1" x14ac:dyDescent="0.2">
      <c r="A392" s="104" t="s">
        <v>205</v>
      </c>
      <c r="B392" s="104" t="s">
        <v>210</v>
      </c>
      <c r="C392" s="104" t="s">
        <v>39</v>
      </c>
      <c r="D392" s="104">
        <v>2040</v>
      </c>
      <c r="E392" s="105" t="e">
        <f>SUMIFS(#REF!,#REF!,$A392,#REF!,$B392,#REF!,$C392,#REF!,"Storage Demand")</f>
        <v>#REF!</v>
      </c>
      <c r="F392" s="105" t="e">
        <f>SUMIFS(#REF!,#REF!,$A392,#REF!,$B392,#REF!,$C392,#REF!,"&lt;&gt;Other Sector Demand")</f>
        <v>#REF!</v>
      </c>
      <c r="G392" s="106" t="e">
        <f t="shared" si="24"/>
        <v>#REF!</v>
      </c>
      <c r="H392" s="105" t="e">
        <f>SUMIFS(#REF!,#REF!,$A392,#REF!,$B392,#REF!,$C392,#REF!,"Other Sector Demand")</f>
        <v>#REF!</v>
      </c>
      <c r="I392" s="105" t="e">
        <f t="shared" si="25"/>
        <v>#REF!</v>
      </c>
      <c r="J392" s="106" t="e">
        <f t="shared" si="26"/>
        <v>#REF!</v>
      </c>
      <c r="K392" s="107" t="e">
        <f t="shared" si="27"/>
        <v>#REF!</v>
      </c>
    </row>
    <row r="393" spans="1:11" ht="15" customHeight="1" x14ac:dyDescent="0.2">
      <c r="A393" s="104" t="s">
        <v>205</v>
      </c>
      <c r="B393" s="104" t="s">
        <v>210</v>
      </c>
      <c r="C393" s="104" t="s">
        <v>39</v>
      </c>
      <c r="D393" s="104">
        <v>2050</v>
      </c>
      <c r="E393" s="105" t="e">
        <f>SUMIFS(#REF!,#REF!,$A393,#REF!,$B393,#REF!,$C393,#REF!,"Storage Demand")</f>
        <v>#REF!</v>
      </c>
      <c r="F393" s="105" t="e">
        <f>SUMIFS(#REF!,#REF!,$A393,#REF!,$B393,#REF!,$C393,#REF!,"&lt;&gt;Other Sector Demand")</f>
        <v>#REF!</v>
      </c>
      <c r="G393" s="106" t="e">
        <f t="shared" si="24"/>
        <v>#REF!</v>
      </c>
      <c r="H393" s="105" t="e">
        <f>SUMIFS(#REF!,#REF!,$A393,#REF!,$B393,#REF!,$C393,#REF!,"Other Sector Demand")</f>
        <v>#REF!</v>
      </c>
      <c r="I393" s="105" t="e">
        <f t="shared" si="25"/>
        <v>#REF!</v>
      </c>
      <c r="J393" s="106" t="e">
        <f t="shared" si="26"/>
        <v>#REF!</v>
      </c>
      <c r="K393" s="107" t="e">
        <f t="shared" si="27"/>
        <v>#REF!</v>
      </c>
    </row>
    <row r="394" spans="1:11" ht="15" customHeight="1" x14ac:dyDescent="0.2">
      <c r="A394" s="104" t="s">
        <v>205</v>
      </c>
      <c r="B394" s="104" t="s">
        <v>210</v>
      </c>
      <c r="C394" s="104" t="s">
        <v>40</v>
      </c>
      <c r="D394" s="104">
        <v>2020</v>
      </c>
      <c r="E394" s="105" t="e">
        <f>SUMIFS(#REF!,#REF!,$A394,#REF!,$B394,#REF!,$C394,#REF!,"Storage Demand")</f>
        <v>#REF!</v>
      </c>
      <c r="F394" s="105" t="e">
        <f>SUMIFS(#REF!,#REF!,$A394,#REF!,$B394,#REF!,$C394,#REF!,"&lt;&gt;Other Sector Demand")</f>
        <v>#REF!</v>
      </c>
      <c r="G394" s="106" t="e">
        <f t="shared" si="24"/>
        <v>#REF!</v>
      </c>
      <c r="H394" s="105" t="e">
        <f>SUMIFS(#REF!,#REF!,$A394,#REF!,$B394,#REF!,$C394,#REF!,"Other Sector Demand")</f>
        <v>#REF!</v>
      </c>
      <c r="I394" s="105" t="e">
        <f t="shared" si="25"/>
        <v>#REF!</v>
      </c>
      <c r="J394" s="106" t="e">
        <f t="shared" si="26"/>
        <v>#REF!</v>
      </c>
      <c r="K394" s="107" t="e">
        <f t="shared" si="27"/>
        <v>#REF!</v>
      </c>
    </row>
    <row r="395" spans="1:11" ht="15" customHeight="1" x14ac:dyDescent="0.2">
      <c r="A395" s="104" t="s">
        <v>205</v>
      </c>
      <c r="B395" s="104" t="s">
        <v>210</v>
      </c>
      <c r="C395" s="104" t="s">
        <v>40</v>
      </c>
      <c r="D395" s="104">
        <v>2030</v>
      </c>
      <c r="E395" s="105" t="e">
        <f>SUMIFS(#REF!,#REF!,$A395,#REF!,$B395,#REF!,$C395,#REF!,"Storage Demand")</f>
        <v>#REF!</v>
      </c>
      <c r="F395" s="105" t="e">
        <f>SUMIFS(#REF!,#REF!,$A395,#REF!,$B395,#REF!,$C395,#REF!,"&lt;&gt;Other Sector Demand")</f>
        <v>#REF!</v>
      </c>
      <c r="G395" s="106" t="e">
        <f t="shared" si="24"/>
        <v>#REF!</v>
      </c>
      <c r="H395" s="105" t="e">
        <f>SUMIFS(#REF!,#REF!,$A395,#REF!,$B395,#REF!,$C395,#REF!,"Other Sector Demand")</f>
        <v>#REF!</v>
      </c>
      <c r="I395" s="105" t="e">
        <f t="shared" si="25"/>
        <v>#REF!</v>
      </c>
      <c r="J395" s="106" t="e">
        <f t="shared" si="26"/>
        <v>#REF!</v>
      </c>
      <c r="K395" s="107" t="e">
        <f t="shared" si="27"/>
        <v>#REF!</v>
      </c>
    </row>
    <row r="396" spans="1:11" ht="15" customHeight="1" x14ac:dyDescent="0.2">
      <c r="A396" s="104" t="s">
        <v>205</v>
      </c>
      <c r="B396" s="104" t="s">
        <v>210</v>
      </c>
      <c r="C396" s="104" t="s">
        <v>40</v>
      </c>
      <c r="D396" s="104">
        <v>2040</v>
      </c>
      <c r="E396" s="105" t="e">
        <f>SUMIFS(#REF!,#REF!,$A396,#REF!,$B396,#REF!,$C396,#REF!,"Storage Demand")</f>
        <v>#REF!</v>
      </c>
      <c r="F396" s="105" t="e">
        <f>SUMIFS(#REF!,#REF!,$A396,#REF!,$B396,#REF!,$C396,#REF!,"&lt;&gt;Other Sector Demand")</f>
        <v>#REF!</v>
      </c>
      <c r="G396" s="106" t="e">
        <f t="shared" si="24"/>
        <v>#REF!</v>
      </c>
      <c r="H396" s="105" t="e">
        <f>SUMIFS(#REF!,#REF!,$A396,#REF!,$B396,#REF!,$C396,#REF!,"Other Sector Demand")</f>
        <v>#REF!</v>
      </c>
      <c r="I396" s="105" t="e">
        <f t="shared" si="25"/>
        <v>#REF!</v>
      </c>
      <c r="J396" s="106" t="e">
        <f t="shared" si="26"/>
        <v>#REF!</v>
      </c>
      <c r="K396" s="107" t="e">
        <f t="shared" si="27"/>
        <v>#REF!</v>
      </c>
    </row>
    <row r="397" spans="1:11" ht="15" customHeight="1" x14ac:dyDescent="0.2">
      <c r="A397" s="104" t="s">
        <v>205</v>
      </c>
      <c r="B397" s="104" t="s">
        <v>210</v>
      </c>
      <c r="C397" s="104" t="s">
        <v>40</v>
      </c>
      <c r="D397" s="104">
        <v>2050</v>
      </c>
      <c r="E397" s="105" t="e">
        <f>SUMIFS(#REF!,#REF!,$A397,#REF!,$B397,#REF!,$C397,#REF!,"Storage Demand")</f>
        <v>#REF!</v>
      </c>
      <c r="F397" s="105" t="e">
        <f>SUMIFS(#REF!,#REF!,$A397,#REF!,$B397,#REF!,$C397,#REF!,"&lt;&gt;Other Sector Demand")</f>
        <v>#REF!</v>
      </c>
      <c r="G397" s="106" t="e">
        <f t="shared" si="24"/>
        <v>#REF!</v>
      </c>
      <c r="H397" s="105" t="e">
        <f>SUMIFS(#REF!,#REF!,$A397,#REF!,$B397,#REF!,$C397,#REF!,"Other Sector Demand")</f>
        <v>#REF!</v>
      </c>
      <c r="I397" s="105" t="e">
        <f t="shared" si="25"/>
        <v>#REF!</v>
      </c>
      <c r="J397" s="106" t="e">
        <f t="shared" si="26"/>
        <v>#REF!</v>
      </c>
      <c r="K397" s="107" t="e">
        <f t="shared" si="27"/>
        <v>#REF!</v>
      </c>
    </row>
    <row r="398" spans="1:11" ht="15" customHeight="1" x14ac:dyDescent="0.2">
      <c r="A398" s="104" t="s">
        <v>205</v>
      </c>
      <c r="B398" s="104" t="s">
        <v>210</v>
      </c>
      <c r="C398" s="104" t="s">
        <v>41</v>
      </c>
      <c r="D398" s="104">
        <v>2020</v>
      </c>
      <c r="E398" s="105" t="e">
        <f>SUMIFS(#REF!,#REF!,$A398,#REF!,$B398,#REF!,$C398,#REF!,"Storage Demand")</f>
        <v>#REF!</v>
      </c>
      <c r="F398" s="105" t="e">
        <f>SUMIFS(#REF!,#REF!,$A398,#REF!,$B398,#REF!,$C398,#REF!,"&lt;&gt;Other Sector Demand")</f>
        <v>#REF!</v>
      </c>
      <c r="G398" s="106" t="e">
        <f t="shared" si="24"/>
        <v>#REF!</v>
      </c>
      <c r="H398" s="105" t="e">
        <f>SUMIFS(#REF!,#REF!,$A398,#REF!,$B398,#REF!,$C398,#REF!,"Other Sector Demand")</f>
        <v>#REF!</v>
      </c>
      <c r="I398" s="105" t="e">
        <f t="shared" si="25"/>
        <v>#REF!</v>
      </c>
      <c r="J398" s="106" t="e">
        <f t="shared" si="26"/>
        <v>#REF!</v>
      </c>
      <c r="K398" s="107" t="e">
        <f t="shared" si="27"/>
        <v>#REF!</v>
      </c>
    </row>
    <row r="399" spans="1:11" ht="15" customHeight="1" x14ac:dyDescent="0.2">
      <c r="A399" s="104" t="s">
        <v>205</v>
      </c>
      <c r="B399" s="104" t="s">
        <v>210</v>
      </c>
      <c r="C399" s="104" t="s">
        <v>41</v>
      </c>
      <c r="D399" s="104">
        <v>2030</v>
      </c>
      <c r="E399" s="105" t="e">
        <f>SUMIFS(#REF!,#REF!,$A399,#REF!,$B399,#REF!,$C399,#REF!,"Storage Demand")</f>
        <v>#REF!</v>
      </c>
      <c r="F399" s="105" t="e">
        <f>SUMIFS(#REF!,#REF!,$A399,#REF!,$B399,#REF!,$C399,#REF!,"&lt;&gt;Other Sector Demand")</f>
        <v>#REF!</v>
      </c>
      <c r="G399" s="106" t="e">
        <f t="shared" si="24"/>
        <v>#REF!</v>
      </c>
      <c r="H399" s="105" t="e">
        <f>SUMIFS(#REF!,#REF!,$A399,#REF!,$B399,#REF!,$C399,#REF!,"Other Sector Demand")</f>
        <v>#REF!</v>
      </c>
      <c r="I399" s="105" t="e">
        <f t="shared" si="25"/>
        <v>#REF!</v>
      </c>
      <c r="J399" s="106" t="e">
        <f t="shared" si="26"/>
        <v>#REF!</v>
      </c>
      <c r="K399" s="107" t="e">
        <f t="shared" si="27"/>
        <v>#REF!</v>
      </c>
    </row>
    <row r="400" spans="1:11" ht="15" customHeight="1" x14ac:dyDescent="0.2">
      <c r="A400" s="104" t="s">
        <v>205</v>
      </c>
      <c r="B400" s="104" t="s">
        <v>210</v>
      </c>
      <c r="C400" s="104" t="s">
        <v>41</v>
      </c>
      <c r="D400" s="104">
        <v>2040</v>
      </c>
      <c r="E400" s="105" t="e">
        <f>SUMIFS(#REF!,#REF!,$A400,#REF!,$B400,#REF!,$C400,#REF!,"Storage Demand")</f>
        <v>#REF!</v>
      </c>
      <c r="F400" s="105" t="e">
        <f>SUMIFS(#REF!,#REF!,$A400,#REF!,$B400,#REF!,$C400,#REF!,"&lt;&gt;Other Sector Demand")</f>
        <v>#REF!</v>
      </c>
      <c r="G400" s="106" t="e">
        <f t="shared" si="24"/>
        <v>#REF!</v>
      </c>
      <c r="H400" s="105" t="e">
        <f>SUMIFS(#REF!,#REF!,$A400,#REF!,$B400,#REF!,$C400,#REF!,"Other Sector Demand")</f>
        <v>#REF!</v>
      </c>
      <c r="I400" s="105" t="e">
        <f t="shared" si="25"/>
        <v>#REF!</v>
      </c>
      <c r="J400" s="106" t="e">
        <f t="shared" si="26"/>
        <v>#REF!</v>
      </c>
      <c r="K400" s="107" t="e">
        <f t="shared" si="27"/>
        <v>#REF!</v>
      </c>
    </row>
    <row r="401" spans="1:11" ht="15" customHeight="1" x14ac:dyDescent="0.2">
      <c r="A401" s="104" t="s">
        <v>205</v>
      </c>
      <c r="B401" s="104" t="s">
        <v>210</v>
      </c>
      <c r="C401" s="104" t="s">
        <v>41</v>
      </c>
      <c r="D401" s="104">
        <v>2050</v>
      </c>
      <c r="E401" s="105" t="e">
        <f>SUMIFS(#REF!,#REF!,$A401,#REF!,$B401,#REF!,$C401,#REF!,"Storage Demand")</f>
        <v>#REF!</v>
      </c>
      <c r="F401" s="105" t="e">
        <f>SUMIFS(#REF!,#REF!,$A401,#REF!,$B401,#REF!,$C401,#REF!,"&lt;&gt;Other Sector Demand")</f>
        <v>#REF!</v>
      </c>
      <c r="G401" s="106" t="e">
        <f t="shared" si="24"/>
        <v>#REF!</v>
      </c>
      <c r="H401" s="105" t="e">
        <f>SUMIFS(#REF!,#REF!,$A401,#REF!,$B401,#REF!,$C401,#REF!,"Other Sector Demand")</f>
        <v>#REF!</v>
      </c>
      <c r="I401" s="105" t="e">
        <f t="shared" si="25"/>
        <v>#REF!</v>
      </c>
      <c r="J401" s="106" t="e">
        <f t="shared" si="26"/>
        <v>#REF!</v>
      </c>
      <c r="K401" s="107" t="e">
        <f t="shared" si="27"/>
        <v>#REF!</v>
      </c>
    </row>
    <row r="402" spans="1:11" ht="15" customHeight="1" x14ac:dyDescent="0.2">
      <c r="A402" s="104" t="s">
        <v>205</v>
      </c>
      <c r="B402" s="104" t="s">
        <v>210</v>
      </c>
      <c r="C402" s="104" t="s">
        <v>42</v>
      </c>
      <c r="D402" s="104">
        <v>2020</v>
      </c>
      <c r="E402" s="105" t="e">
        <f>SUMIFS(#REF!,#REF!,$A402,#REF!,$B402,#REF!,$C402,#REF!,"Storage Demand")</f>
        <v>#REF!</v>
      </c>
      <c r="F402" s="105" t="e">
        <f>SUMIFS(#REF!,#REF!,$A402,#REF!,$B402,#REF!,$C402,#REF!,"&lt;&gt;Other Sector Demand")</f>
        <v>#REF!</v>
      </c>
      <c r="G402" s="106" t="e">
        <f t="shared" si="24"/>
        <v>#REF!</v>
      </c>
      <c r="H402" s="105" t="e">
        <f>SUMIFS(#REF!,#REF!,$A402,#REF!,$B402,#REF!,$C402,#REF!,"Other Sector Demand")</f>
        <v>#REF!</v>
      </c>
      <c r="I402" s="105" t="e">
        <f t="shared" si="25"/>
        <v>#REF!</v>
      </c>
      <c r="J402" s="106" t="e">
        <f t="shared" si="26"/>
        <v>#REF!</v>
      </c>
      <c r="K402" s="107" t="e">
        <f t="shared" si="27"/>
        <v>#REF!</v>
      </c>
    </row>
    <row r="403" spans="1:11" ht="15" customHeight="1" x14ac:dyDescent="0.2">
      <c r="A403" s="104" t="s">
        <v>205</v>
      </c>
      <c r="B403" s="104" t="s">
        <v>210</v>
      </c>
      <c r="C403" s="104" t="s">
        <v>42</v>
      </c>
      <c r="D403" s="104">
        <v>2030</v>
      </c>
      <c r="E403" s="105" t="e">
        <f>SUMIFS(#REF!,#REF!,$A403,#REF!,$B403,#REF!,$C403,#REF!,"Storage Demand")</f>
        <v>#REF!</v>
      </c>
      <c r="F403" s="105" t="e">
        <f>SUMIFS(#REF!,#REF!,$A403,#REF!,$B403,#REF!,$C403,#REF!,"&lt;&gt;Other Sector Demand")</f>
        <v>#REF!</v>
      </c>
      <c r="G403" s="106" t="e">
        <f t="shared" si="24"/>
        <v>#REF!</v>
      </c>
      <c r="H403" s="105" t="e">
        <f>SUMIFS(#REF!,#REF!,$A403,#REF!,$B403,#REF!,$C403,#REF!,"Other Sector Demand")</f>
        <v>#REF!</v>
      </c>
      <c r="I403" s="105" t="e">
        <f t="shared" si="25"/>
        <v>#REF!</v>
      </c>
      <c r="J403" s="106" t="e">
        <f t="shared" si="26"/>
        <v>#REF!</v>
      </c>
      <c r="K403" s="107" t="e">
        <f t="shared" si="27"/>
        <v>#REF!</v>
      </c>
    </row>
    <row r="404" spans="1:11" ht="15" customHeight="1" x14ac:dyDescent="0.2">
      <c r="A404" s="104" t="s">
        <v>205</v>
      </c>
      <c r="B404" s="104" t="s">
        <v>210</v>
      </c>
      <c r="C404" s="104" t="s">
        <v>42</v>
      </c>
      <c r="D404" s="104">
        <v>2040</v>
      </c>
      <c r="E404" s="105" t="e">
        <f>SUMIFS(#REF!,#REF!,$A404,#REF!,$B404,#REF!,$C404,#REF!,"Storage Demand")</f>
        <v>#REF!</v>
      </c>
      <c r="F404" s="105" t="e">
        <f>SUMIFS(#REF!,#REF!,$A404,#REF!,$B404,#REF!,$C404,#REF!,"&lt;&gt;Other Sector Demand")</f>
        <v>#REF!</v>
      </c>
      <c r="G404" s="106" t="e">
        <f t="shared" si="24"/>
        <v>#REF!</v>
      </c>
      <c r="H404" s="105" t="e">
        <f>SUMIFS(#REF!,#REF!,$A404,#REF!,$B404,#REF!,$C404,#REF!,"Other Sector Demand")</f>
        <v>#REF!</v>
      </c>
      <c r="I404" s="105" t="e">
        <f t="shared" si="25"/>
        <v>#REF!</v>
      </c>
      <c r="J404" s="106" t="e">
        <f t="shared" si="26"/>
        <v>#REF!</v>
      </c>
      <c r="K404" s="107" t="e">
        <f t="shared" si="27"/>
        <v>#REF!</v>
      </c>
    </row>
    <row r="405" spans="1:11" ht="15" customHeight="1" x14ac:dyDescent="0.2">
      <c r="A405" s="104" t="s">
        <v>205</v>
      </c>
      <c r="B405" s="104" t="s">
        <v>210</v>
      </c>
      <c r="C405" s="104" t="s">
        <v>42</v>
      </c>
      <c r="D405" s="104">
        <v>2050</v>
      </c>
      <c r="E405" s="105" t="e">
        <f>SUMIFS(#REF!,#REF!,$A405,#REF!,$B405,#REF!,$C405,#REF!,"Storage Demand")</f>
        <v>#REF!</v>
      </c>
      <c r="F405" s="105" t="e">
        <f>SUMIFS(#REF!,#REF!,$A405,#REF!,$B405,#REF!,$C405,#REF!,"&lt;&gt;Other Sector Demand")</f>
        <v>#REF!</v>
      </c>
      <c r="G405" s="106" t="e">
        <f t="shared" si="24"/>
        <v>#REF!</v>
      </c>
      <c r="H405" s="105" t="e">
        <f>SUMIFS(#REF!,#REF!,$A405,#REF!,$B405,#REF!,$C405,#REF!,"Other Sector Demand")</f>
        <v>#REF!</v>
      </c>
      <c r="I405" s="105" t="e">
        <f t="shared" si="25"/>
        <v>#REF!</v>
      </c>
      <c r="J405" s="106" t="e">
        <f t="shared" si="26"/>
        <v>#REF!</v>
      </c>
      <c r="K405" s="107" t="e">
        <f t="shared" si="27"/>
        <v>#REF!</v>
      </c>
    </row>
    <row r="406" spans="1:11" ht="15" customHeight="1" x14ac:dyDescent="0.2">
      <c r="A406" s="104" t="s">
        <v>205</v>
      </c>
      <c r="B406" s="104" t="s">
        <v>210</v>
      </c>
      <c r="C406" s="104" t="s">
        <v>44</v>
      </c>
      <c r="D406" s="104">
        <v>2020</v>
      </c>
      <c r="E406" s="105" t="e">
        <f>SUMIFS(#REF!,#REF!,$A406,#REF!,$B406,#REF!,$C406,#REF!,"Storage Demand")</f>
        <v>#REF!</v>
      </c>
      <c r="F406" s="105" t="e">
        <f>SUMIFS(#REF!,#REF!,$A406,#REF!,$B406,#REF!,$C406,#REF!,"&lt;&gt;Other Sector Demand")</f>
        <v>#REF!</v>
      </c>
      <c r="G406" s="106" t="e">
        <f t="shared" si="24"/>
        <v>#REF!</v>
      </c>
      <c r="H406" s="105" t="e">
        <f>SUMIFS(#REF!,#REF!,$A406,#REF!,$B406,#REF!,$C406,#REF!,"Other Sector Demand")</f>
        <v>#REF!</v>
      </c>
      <c r="I406" s="105" t="e">
        <f t="shared" si="25"/>
        <v>#REF!</v>
      </c>
      <c r="J406" s="106" t="e">
        <f t="shared" si="26"/>
        <v>#REF!</v>
      </c>
      <c r="K406" s="107" t="e">
        <f t="shared" si="27"/>
        <v>#REF!</v>
      </c>
    </row>
    <row r="407" spans="1:11" ht="15" customHeight="1" x14ac:dyDescent="0.2">
      <c r="A407" s="104" t="s">
        <v>205</v>
      </c>
      <c r="B407" s="104" t="s">
        <v>210</v>
      </c>
      <c r="C407" s="104" t="s">
        <v>44</v>
      </c>
      <c r="D407" s="104">
        <v>2030</v>
      </c>
      <c r="E407" s="105" t="e">
        <f>SUMIFS(#REF!,#REF!,$A407,#REF!,$B407,#REF!,$C407,#REF!,"Storage Demand")</f>
        <v>#REF!</v>
      </c>
      <c r="F407" s="105" t="e">
        <f>SUMIFS(#REF!,#REF!,$A407,#REF!,$B407,#REF!,$C407,#REF!,"&lt;&gt;Other Sector Demand")</f>
        <v>#REF!</v>
      </c>
      <c r="G407" s="106" t="e">
        <f t="shared" si="24"/>
        <v>#REF!</v>
      </c>
      <c r="H407" s="105" t="e">
        <f>SUMIFS(#REF!,#REF!,$A407,#REF!,$B407,#REF!,$C407,#REF!,"Other Sector Demand")</f>
        <v>#REF!</v>
      </c>
      <c r="I407" s="105" t="e">
        <f t="shared" si="25"/>
        <v>#REF!</v>
      </c>
      <c r="J407" s="106" t="e">
        <f t="shared" si="26"/>
        <v>#REF!</v>
      </c>
      <c r="K407" s="107" t="e">
        <f t="shared" si="27"/>
        <v>#REF!</v>
      </c>
    </row>
    <row r="408" spans="1:11" ht="15" customHeight="1" x14ac:dyDescent="0.2">
      <c r="A408" s="104" t="s">
        <v>205</v>
      </c>
      <c r="B408" s="104" t="s">
        <v>210</v>
      </c>
      <c r="C408" s="104" t="s">
        <v>44</v>
      </c>
      <c r="D408" s="104">
        <v>2040</v>
      </c>
      <c r="E408" s="105" t="e">
        <f>SUMIFS(#REF!,#REF!,$A408,#REF!,$B408,#REF!,$C408,#REF!,"Storage Demand")</f>
        <v>#REF!</v>
      </c>
      <c r="F408" s="105" t="e">
        <f>SUMIFS(#REF!,#REF!,$A408,#REF!,$B408,#REF!,$C408,#REF!,"&lt;&gt;Other Sector Demand")</f>
        <v>#REF!</v>
      </c>
      <c r="G408" s="106" t="e">
        <f t="shared" si="24"/>
        <v>#REF!</v>
      </c>
      <c r="H408" s="105" t="e">
        <f>SUMIFS(#REF!,#REF!,$A408,#REF!,$B408,#REF!,$C408,#REF!,"Other Sector Demand")</f>
        <v>#REF!</v>
      </c>
      <c r="I408" s="105" t="e">
        <f t="shared" si="25"/>
        <v>#REF!</v>
      </c>
      <c r="J408" s="106" t="e">
        <f t="shared" si="26"/>
        <v>#REF!</v>
      </c>
      <c r="K408" s="107" t="e">
        <f t="shared" si="27"/>
        <v>#REF!</v>
      </c>
    </row>
    <row r="409" spans="1:11" ht="15" customHeight="1" x14ac:dyDescent="0.2">
      <c r="A409" s="104" t="s">
        <v>205</v>
      </c>
      <c r="B409" s="104" t="s">
        <v>210</v>
      </c>
      <c r="C409" s="104" t="s">
        <v>44</v>
      </c>
      <c r="D409" s="104">
        <v>2050</v>
      </c>
      <c r="E409" s="105" t="e">
        <f>SUMIFS(#REF!,#REF!,$A409,#REF!,$B409,#REF!,$C409,#REF!,"Storage Demand")</f>
        <v>#REF!</v>
      </c>
      <c r="F409" s="105" t="e">
        <f>SUMIFS(#REF!,#REF!,$A409,#REF!,$B409,#REF!,$C409,#REF!,"&lt;&gt;Other Sector Demand")</f>
        <v>#REF!</v>
      </c>
      <c r="G409" s="106" t="e">
        <f t="shared" si="24"/>
        <v>#REF!</v>
      </c>
      <c r="H409" s="105" t="e">
        <f>SUMIFS(#REF!,#REF!,$A409,#REF!,$B409,#REF!,$C409,#REF!,"Other Sector Demand")</f>
        <v>#REF!</v>
      </c>
      <c r="I409" s="105" t="e">
        <f t="shared" si="25"/>
        <v>#REF!</v>
      </c>
      <c r="J409" s="106" t="e">
        <f t="shared" si="26"/>
        <v>#REF!</v>
      </c>
      <c r="K409" s="107" t="e">
        <f t="shared" si="27"/>
        <v>#REF!</v>
      </c>
    </row>
    <row r="410" spans="1:11" ht="15" customHeight="1" x14ac:dyDescent="0.2">
      <c r="A410" s="104" t="s">
        <v>205</v>
      </c>
      <c r="B410" s="104" t="s">
        <v>210</v>
      </c>
      <c r="C410" s="104" t="s">
        <v>45</v>
      </c>
      <c r="D410" s="104">
        <v>2020</v>
      </c>
      <c r="E410" s="105" t="e">
        <f>SUMIFS(#REF!,#REF!,$A410,#REF!,$B410,#REF!,$C410,#REF!,"Storage Demand")</f>
        <v>#REF!</v>
      </c>
      <c r="F410" s="105" t="e">
        <f>SUMIFS(#REF!,#REF!,$A410,#REF!,$B410,#REF!,$C410,#REF!,"&lt;&gt;Other Sector Demand")</f>
        <v>#REF!</v>
      </c>
      <c r="G410" s="106" t="e">
        <f t="shared" si="24"/>
        <v>#REF!</v>
      </c>
      <c r="H410" s="105" t="e">
        <f>SUMIFS(#REF!,#REF!,$A410,#REF!,$B410,#REF!,$C410,#REF!,"Other Sector Demand")</f>
        <v>#REF!</v>
      </c>
      <c r="I410" s="105" t="e">
        <f t="shared" si="25"/>
        <v>#REF!</v>
      </c>
      <c r="J410" s="106" t="e">
        <f t="shared" si="26"/>
        <v>#REF!</v>
      </c>
      <c r="K410" s="107" t="e">
        <f t="shared" si="27"/>
        <v>#REF!</v>
      </c>
    </row>
    <row r="411" spans="1:11" ht="15" customHeight="1" x14ac:dyDescent="0.2">
      <c r="A411" s="104" t="s">
        <v>205</v>
      </c>
      <c r="B411" s="104" t="s">
        <v>210</v>
      </c>
      <c r="C411" s="104" t="s">
        <v>45</v>
      </c>
      <c r="D411" s="104">
        <v>2030</v>
      </c>
      <c r="E411" s="105" t="e">
        <f>SUMIFS(#REF!,#REF!,$A411,#REF!,$B411,#REF!,$C411,#REF!,"Storage Demand")</f>
        <v>#REF!</v>
      </c>
      <c r="F411" s="105" t="e">
        <f>SUMIFS(#REF!,#REF!,$A411,#REF!,$B411,#REF!,$C411,#REF!,"&lt;&gt;Other Sector Demand")</f>
        <v>#REF!</v>
      </c>
      <c r="G411" s="106" t="e">
        <f t="shared" si="24"/>
        <v>#REF!</v>
      </c>
      <c r="H411" s="105" t="e">
        <f>SUMIFS(#REF!,#REF!,$A411,#REF!,$B411,#REF!,$C411,#REF!,"Other Sector Demand")</f>
        <v>#REF!</v>
      </c>
      <c r="I411" s="105" t="e">
        <f t="shared" si="25"/>
        <v>#REF!</v>
      </c>
      <c r="J411" s="106" t="e">
        <f t="shared" si="26"/>
        <v>#REF!</v>
      </c>
      <c r="K411" s="107" t="e">
        <f t="shared" si="27"/>
        <v>#REF!</v>
      </c>
    </row>
    <row r="412" spans="1:11" ht="15" customHeight="1" x14ac:dyDescent="0.2">
      <c r="A412" s="104" t="s">
        <v>205</v>
      </c>
      <c r="B412" s="104" t="s">
        <v>210</v>
      </c>
      <c r="C412" s="104" t="s">
        <v>45</v>
      </c>
      <c r="D412" s="104">
        <v>2040</v>
      </c>
      <c r="E412" s="105" t="e">
        <f>SUMIFS(#REF!,#REF!,$A412,#REF!,$B412,#REF!,$C412,#REF!,"Storage Demand")</f>
        <v>#REF!</v>
      </c>
      <c r="F412" s="105" t="e">
        <f>SUMIFS(#REF!,#REF!,$A412,#REF!,$B412,#REF!,$C412,#REF!,"&lt;&gt;Other Sector Demand")</f>
        <v>#REF!</v>
      </c>
      <c r="G412" s="106" t="e">
        <f t="shared" si="24"/>
        <v>#REF!</v>
      </c>
      <c r="H412" s="105" t="e">
        <f>SUMIFS(#REF!,#REF!,$A412,#REF!,$B412,#REF!,$C412,#REF!,"Other Sector Demand")</f>
        <v>#REF!</v>
      </c>
      <c r="I412" s="105" t="e">
        <f t="shared" si="25"/>
        <v>#REF!</v>
      </c>
      <c r="J412" s="106" t="e">
        <f t="shared" si="26"/>
        <v>#REF!</v>
      </c>
      <c r="K412" s="107" t="e">
        <f t="shared" si="27"/>
        <v>#REF!</v>
      </c>
    </row>
    <row r="413" spans="1:11" ht="15" customHeight="1" x14ac:dyDescent="0.2">
      <c r="A413" s="104" t="s">
        <v>205</v>
      </c>
      <c r="B413" s="104" t="s">
        <v>210</v>
      </c>
      <c r="C413" s="104" t="s">
        <v>45</v>
      </c>
      <c r="D413" s="104">
        <v>2050</v>
      </c>
      <c r="E413" s="105" t="e">
        <f>SUMIFS(#REF!,#REF!,$A413,#REF!,$B413,#REF!,$C413,#REF!,"Storage Demand")</f>
        <v>#REF!</v>
      </c>
      <c r="F413" s="105" t="e">
        <f>SUMIFS(#REF!,#REF!,$A413,#REF!,$B413,#REF!,$C413,#REF!,"&lt;&gt;Other Sector Demand")</f>
        <v>#REF!</v>
      </c>
      <c r="G413" s="106" t="e">
        <f t="shared" si="24"/>
        <v>#REF!</v>
      </c>
      <c r="H413" s="105" t="e">
        <f>SUMIFS(#REF!,#REF!,$A413,#REF!,$B413,#REF!,$C413,#REF!,"Other Sector Demand")</f>
        <v>#REF!</v>
      </c>
      <c r="I413" s="105" t="e">
        <f t="shared" si="25"/>
        <v>#REF!</v>
      </c>
      <c r="J413" s="106" t="e">
        <f t="shared" si="26"/>
        <v>#REF!</v>
      </c>
      <c r="K413" s="107" t="e">
        <f t="shared" si="27"/>
        <v>#REF!</v>
      </c>
    </row>
    <row r="414" spans="1:11" ht="15" customHeight="1" x14ac:dyDescent="0.2">
      <c r="A414" s="104" t="s">
        <v>205</v>
      </c>
      <c r="B414" s="104" t="s">
        <v>210</v>
      </c>
      <c r="C414" s="104" t="s">
        <v>46</v>
      </c>
      <c r="D414" s="104">
        <v>2020</v>
      </c>
      <c r="E414" s="105" t="e">
        <f>SUMIFS(#REF!,#REF!,$A414,#REF!,$B414,#REF!,$C414,#REF!,"Storage Demand")</f>
        <v>#REF!</v>
      </c>
      <c r="F414" s="105" t="e">
        <f>SUMIFS(#REF!,#REF!,$A414,#REF!,$B414,#REF!,$C414,#REF!,"&lt;&gt;Other Sector Demand")</f>
        <v>#REF!</v>
      </c>
      <c r="G414" s="106" t="e">
        <f t="shared" si="24"/>
        <v>#REF!</v>
      </c>
      <c r="H414" s="105" t="e">
        <f>SUMIFS(#REF!,#REF!,$A414,#REF!,$B414,#REF!,$C414,#REF!,"Other Sector Demand")</f>
        <v>#REF!</v>
      </c>
      <c r="I414" s="105" t="e">
        <f t="shared" si="25"/>
        <v>#REF!</v>
      </c>
      <c r="J414" s="106" t="e">
        <f t="shared" si="26"/>
        <v>#REF!</v>
      </c>
      <c r="K414" s="107" t="e">
        <f t="shared" si="27"/>
        <v>#REF!</v>
      </c>
    </row>
    <row r="415" spans="1:11" ht="15" customHeight="1" x14ac:dyDescent="0.2">
      <c r="A415" s="104" t="s">
        <v>205</v>
      </c>
      <c r="B415" s="104" t="s">
        <v>210</v>
      </c>
      <c r="C415" s="104" t="s">
        <v>46</v>
      </c>
      <c r="D415" s="104">
        <v>2030</v>
      </c>
      <c r="E415" s="105" t="e">
        <f>SUMIFS(#REF!,#REF!,$A415,#REF!,$B415,#REF!,$C415,#REF!,"Storage Demand")</f>
        <v>#REF!</v>
      </c>
      <c r="F415" s="105" t="e">
        <f>SUMIFS(#REF!,#REF!,$A415,#REF!,$B415,#REF!,$C415,#REF!,"&lt;&gt;Other Sector Demand")</f>
        <v>#REF!</v>
      </c>
      <c r="G415" s="106" t="e">
        <f t="shared" si="24"/>
        <v>#REF!</v>
      </c>
      <c r="H415" s="105" t="e">
        <f>SUMIFS(#REF!,#REF!,$A415,#REF!,$B415,#REF!,$C415,#REF!,"Other Sector Demand")</f>
        <v>#REF!</v>
      </c>
      <c r="I415" s="105" t="e">
        <f t="shared" si="25"/>
        <v>#REF!</v>
      </c>
      <c r="J415" s="106" t="e">
        <f t="shared" si="26"/>
        <v>#REF!</v>
      </c>
      <c r="K415" s="107" t="e">
        <f t="shared" si="27"/>
        <v>#REF!</v>
      </c>
    </row>
    <row r="416" spans="1:11" ht="15" customHeight="1" x14ac:dyDescent="0.2">
      <c r="A416" s="104" t="s">
        <v>205</v>
      </c>
      <c r="B416" s="104" t="s">
        <v>210</v>
      </c>
      <c r="C416" s="104" t="s">
        <v>46</v>
      </c>
      <c r="D416" s="104">
        <v>2040</v>
      </c>
      <c r="E416" s="105" t="e">
        <f>SUMIFS(#REF!,#REF!,$A416,#REF!,$B416,#REF!,$C416,#REF!,"Storage Demand")</f>
        <v>#REF!</v>
      </c>
      <c r="F416" s="105" t="e">
        <f>SUMIFS(#REF!,#REF!,$A416,#REF!,$B416,#REF!,$C416,#REF!,"&lt;&gt;Other Sector Demand")</f>
        <v>#REF!</v>
      </c>
      <c r="G416" s="106" t="e">
        <f t="shared" si="24"/>
        <v>#REF!</v>
      </c>
      <c r="H416" s="105" t="e">
        <f>SUMIFS(#REF!,#REF!,$A416,#REF!,$B416,#REF!,$C416,#REF!,"Other Sector Demand")</f>
        <v>#REF!</v>
      </c>
      <c r="I416" s="105" t="e">
        <f t="shared" si="25"/>
        <v>#REF!</v>
      </c>
      <c r="J416" s="106" t="e">
        <f t="shared" si="26"/>
        <v>#REF!</v>
      </c>
      <c r="K416" s="107" t="e">
        <f t="shared" si="27"/>
        <v>#REF!</v>
      </c>
    </row>
    <row r="417" spans="1:11" ht="15" customHeight="1" x14ac:dyDescent="0.2">
      <c r="A417" s="104" t="s">
        <v>205</v>
      </c>
      <c r="B417" s="104" t="s">
        <v>210</v>
      </c>
      <c r="C417" s="104" t="s">
        <v>46</v>
      </c>
      <c r="D417" s="104">
        <v>2050</v>
      </c>
      <c r="E417" s="105" t="e">
        <f>SUMIFS(#REF!,#REF!,$A417,#REF!,$B417,#REF!,$C417,#REF!,"Storage Demand")</f>
        <v>#REF!</v>
      </c>
      <c r="F417" s="105" t="e">
        <f>SUMIFS(#REF!,#REF!,$A417,#REF!,$B417,#REF!,$C417,#REF!,"&lt;&gt;Other Sector Demand")</f>
        <v>#REF!</v>
      </c>
      <c r="G417" s="106" t="e">
        <f t="shared" si="24"/>
        <v>#REF!</v>
      </c>
      <c r="H417" s="105" t="e">
        <f>SUMIFS(#REF!,#REF!,$A417,#REF!,$B417,#REF!,$C417,#REF!,"Other Sector Demand")</f>
        <v>#REF!</v>
      </c>
      <c r="I417" s="105" t="e">
        <f t="shared" si="25"/>
        <v>#REF!</v>
      </c>
      <c r="J417" s="106" t="e">
        <f t="shared" si="26"/>
        <v>#REF!</v>
      </c>
      <c r="K417" s="107" t="e">
        <f t="shared" si="27"/>
        <v>#REF!</v>
      </c>
    </row>
    <row r="418" spans="1:11" ht="15" customHeight="1" x14ac:dyDescent="0.2">
      <c r="A418" s="104" t="s">
        <v>205</v>
      </c>
      <c r="B418" s="104" t="s">
        <v>210</v>
      </c>
      <c r="C418" s="104" t="s">
        <v>47</v>
      </c>
      <c r="D418" s="104">
        <v>2020</v>
      </c>
      <c r="E418" s="105" t="e">
        <f>SUMIFS(#REF!,#REF!,$A418,#REF!,$B418,#REF!,$C418,#REF!,"Storage Demand")</f>
        <v>#REF!</v>
      </c>
      <c r="F418" s="105" t="e">
        <f>SUMIFS(#REF!,#REF!,$A418,#REF!,$B418,#REF!,$C418,#REF!,"&lt;&gt;Other Sector Demand")</f>
        <v>#REF!</v>
      </c>
      <c r="G418" s="106" t="e">
        <f t="shared" si="24"/>
        <v>#REF!</v>
      </c>
      <c r="H418" s="105" t="e">
        <f>SUMIFS(#REF!,#REF!,$A418,#REF!,$B418,#REF!,$C418,#REF!,"Other Sector Demand")</f>
        <v>#REF!</v>
      </c>
      <c r="I418" s="105" t="e">
        <f t="shared" si="25"/>
        <v>#REF!</v>
      </c>
      <c r="J418" s="106" t="e">
        <f t="shared" si="26"/>
        <v>#REF!</v>
      </c>
      <c r="K418" s="107" t="e">
        <f t="shared" si="27"/>
        <v>#REF!</v>
      </c>
    </row>
    <row r="419" spans="1:11" ht="15" customHeight="1" x14ac:dyDescent="0.2">
      <c r="A419" s="104" t="s">
        <v>205</v>
      </c>
      <c r="B419" s="104" t="s">
        <v>210</v>
      </c>
      <c r="C419" s="104" t="s">
        <v>47</v>
      </c>
      <c r="D419" s="104">
        <v>2030</v>
      </c>
      <c r="E419" s="105" t="e">
        <f>SUMIFS(#REF!,#REF!,$A419,#REF!,$B419,#REF!,$C419,#REF!,"Storage Demand")</f>
        <v>#REF!</v>
      </c>
      <c r="F419" s="105" t="e">
        <f>SUMIFS(#REF!,#REF!,$A419,#REF!,$B419,#REF!,$C419,#REF!,"&lt;&gt;Other Sector Demand")</f>
        <v>#REF!</v>
      </c>
      <c r="G419" s="106" t="e">
        <f t="shared" si="24"/>
        <v>#REF!</v>
      </c>
      <c r="H419" s="105" t="e">
        <f>SUMIFS(#REF!,#REF!,$A419,#REF!,$B419,#REF!,$C419,#REF!,"Other Sector Demand")</f>
        <v>#REF!</v>
      </c>
      <c r="I419" s="105" t="e">
        <f t="shared" si="25"/>
        <v>#REF!</v>
      </c>
      <c r="J419" s="106" t="e">
        <f t="shared" si="26"/>
        <v>#REF!</v>
      </c>
      <c r="K419" s="107" t="e">
        <f t="shared" si="27"/>
        <v>#REF!</v>
      </c>
    </row>
    <row r="420" spans="1:11" ht="15" customHeight="1" x14ac:dyDescent="0.2">
      <c r="A420" s="104" t="s">
        <v>205</v>
      </c>
      <c r="B420" s="104" t="s">
        <v>210</v>
      </c>
      <c r="C420" s="104" t="s">
        <v>47</v>
      </c>
      <c r="D420" s="104">
        <v>2040</v>
      </c>
      <c r="E420" s="105" t="e">
        <f>SUMIFS(#REF!,#REF!,$A420,#REF!,$B420,#REF!,$C420,#REF!,"Storage Demand")</f>
        <v>#REF!</v>
      </c>
      <c r="F420" s="105" t="e">
        <f>SUMIFS(#REF!,#REF!,$A420,#REF!,$B420,#REF!,$C420,#REF!,"&lt;&gt;Other Sector Demand")</f>
        <v>#REF!</v>
      </c>
      <c r="G420" s="106" t="e">
        <f t="shared" si="24"/>
        <v>#REF!</v>
      </c>
      <c r="H420" s="105" t="e">
        <f>SUMIFS(#REF!,#REF!,$A420,#REF!,$B420,#REF!,$C420,#REF!,"Other Sector Demand")</f>
        <v>#REF!</v>
      </c>
      <c r="I420" s="105" t="e">
        <f t="shared" si="25"/>
        <v>#REF!</v>
      </c>
      <c r="J420" s="106" t="e">
        <f t="shared" si="26"/>
        <v>#REF!</v>
      </c>
      <c r="K420" s="107" t="e">
        <f t="shared" si="27"/>
        <v>#REF!</v>
      </c>
    </row>
    <row r="421" spans="1:11" ht="15" customHeight="1" x14ac:dyDescent="0.2">
      <c r="A421" s="104" t="s">
        <v>205</v>
      </c>
      <c r="B421" s="104" t="s">
        <v>210</v>
      </c>
      <c r="C421" s="104" t="s">
        <v>47</v>
      </c>
      <c r="D421" s="104">
        <v>2050</v>
      </c>
      <c r="E421" s="105" t="e">
        <f>SUMIFS(#REF!,#REF!,$A421,#REF!,$B421,#REF!,$C421,#REF!,"Storage Demand")</f>
        <v>#REF!</v>
      </c>
      <c r="F421" s="105" t="e">
        <f>SUMIFS(#REF!,#REF!,$A421,#REF!,$B421,#REF!,$C421,#REF!,"&lt;&gt;Other Sector Demand")</f>
        <v>#REF!</v>
      </c>
      <c r="G421" s="106" t="e">
        <f t="shared" si="24"/>
        <v>#REF!</v>
      </c>
      <c r="H421" s="105" t="e">
        <f>SUMIFS(#REF!,#REF!,$A421,#REF!,$B421,#REF!,$C421,#REF!,"Other Sector Demand")</f>
        <v>#REF!</v>
      </c>
      <c r="I421" s="105" t="e">
        <f t="shared" si="25"/>
        <v>#REF!</v>
      </c>
      <c r="J421" s="106" t="e">
        <f t="shared" si="26"/>
        <v>#REF!</v>
      </c>
      <c r="K421" s="107" t="e">
        <f t="shared" si="27"/>
        <v>#REF!</v>
      </c>
    </row>
    <row r="422" spans="1:11" ht="15" customHeight="1" x14ac:dyDescent="0.2">
      <c r="A422" s="104" t="s">
        <v>205</v>
      </c>
      <c r="B422" s="104" t="s">
        <v>210</v>
      </c>
      <c r="C422" s="104" t="s">
        <v>49</v>
      </c>
      <c r="D422" s="104">
        <v>2020</v>
      </c>
      <c r="E422" s="105" t="e">
        <f>SUMIFS(#REF!,#REF!,$A422,#REF!,$B422,#REF!,$C422,#REF!,"Storage Demand")</f>
        <v>#REF!</v>
      </c>
      <c r="F422" s="105" t="e">
        <f>SUMIFS(#REF!,#REF!,$A422,#REF!,$B422,#REF!,$C422,#REF!,"&lt;&gt;Other Sector Demand")</f>
        <v>#REF!</v>
      </c>
      <c r="G422" s="106" t="e">
        <f t="shared" si="24"/>
        <v>#REF!</v>
      </c>
      <c r="H422" s="105" t="e">
        <f>SUMIFS(#REF!,#REF!,$A422,#REF!,$B422,#REF!,$C422,#REF!,"Other Sector Demand")</f>
        <v>#REF!</v>
      </c>
      <c r="I422" s="105" t="e">
        <f t="shared" si="25"/>
        <v>#REF!</v>
      </c>
      <c r="J422" s="106" t="e">
        <f t="shared" si="26"/>
        <v>#REF!</v>
      </c>
      <c r="K422" s="107" t="e">
        <f t="shared" si="27"/>
        <v>#REF!</v>
      </c>
    </row>
    <row r="423" spans="1:11" ht="15" customHeight="1" x14ac:dyDescent="0.2">
      <c r="A423" s="104" t="s">
        <v>205</v>
      </c>
      <c r="B423" s="104" t="s">
        <v>210</v>
      </c>
      <c r="C423" s="104" t="s">
        <v>49</v>
      </c>
      <c r="D423" s="104">
        <v>2030</v>
      </c>
      <c r="E423" s="105" t="e">
        <f>SUMIFS(#REF!,#REF!,$A423,#REF!,$B423,#REF!,$C423,#REF!,"Storage Demand")</f>
        <v>#REF!</v>
      </c>
      <c r="F423" s="105" t="e">
        <f>SUMIFS(#REF!,#REF!,$A423,#REF!,$B423,#REF!,$C423,#REF!,"&lt;&gt;Other Sector Demand")</f>
        <v>#REF!</v>
      </c>
      <c r="G423" s="106" t="e">
        <f t="shared" si="24"/>
        <v>#REF!</v>
      </c>
      <c r="H423" s="105" t="e">
        <f>SUMIFS(#REF!,#REF!,$A423,#REF!,$B423,#REF!,$C423,#REF!,"Other Sector Demand")</f>
        <v>#REF!</v>
      </c>
      <c r="I423" s="105" t="e">
        <f t="shared" si="25"/>
        <v>#REF!</v>
      </c>
      <c r="J423" s="106" t="e">
        <f t="shared" si="26"/>
        <v>#REF!</v>
      </c>
      <c r="K423" s="107" t="e">
        <f t="shared" si="27"/>
        <v>#REF!</v>
      </c>
    </row>
    <row r="424" spans="1:11" ht="15" customHeight="1" x14ac:dyDescent="0.2">
      <c r="A424" s="104" t="s">
        <v>205</v>
      </c>
      <c r="B424" s="104" t="s">
        <v>210</v>
      </c>
      <c r="C424" s="104" t="s">
        <v>49</v>
      </c>
      <c r="D424" s="104">
        <v>2040</v>
      </c>
      <c r="E424" s="105" t="e">
        <f>SUMIFS(#REF!,#REF!,$A424,#REF!,$B424,#REF!,$C424,#REF!,"Storage Demand")</f>
        <v>#REF!</v>
      </c>
      <c r="F424" s="105" t="e">
        <f>SUMIFS(#REF!,#REF!,$A424,#REF!,$B424,#REF!,$C424,#REF!,"&lt;&gt;Other Sector Demand")</f>
        <v>#REF!</v>
      </c>
      <c r="G424" s="106" t="e">
        <f t="shared" si="24"/>
        <v>#REF!</v>
      </c>
      <c r="H424" s="105" t="e">
        <f>SUMIFS(#REF!,#REF!,$A424,#REF!,$B424,#REF!,$C424,#REF!,"Other Sector Demand")</f>
        <v>#REF!</v>
      </c>
      <c r="I424" s="105" t="e">
        <f t="shared" si="25"/>
        <v>#REF!</v>
      </c>
      <c r="J424" s="106" t="e">
        <f t="shared" si="26"/>
        <v>#REF!</v>
      </c>
      <c r="K424" s="107" t="e">
        <f t="shared" si="27"/>
        <v>#REF!</v>
      </c>
    </row>
    <row r="425" spans="1:11" ht="15" customHeight="1" x14ac:dyDescent="0.2">
      <c r="A425" s="104" t="s">
        <v>205</v>
      </c>
      <c r="B425" s="104" t="s">
        <v>210</v>
      </c>
      <c r="C425" s="104" t="s">
        <v>49</v>
      </c>
      <c r="D425" s="104">
        <v>2050</v>
      </c>
      <c r="E425" s="105" t="e">
        <f>SUMIFS(#REF!,#REF!,$A425,#REF!,$B425,#REF!,$C425,#REF!,"Storage Demand")</f>
        <v>#REF!</v>
      </c>
      <c r="F425" s="105" t="e">
        <f>SUMIFS(#REF!,#REF!,$A425,#REF!,$B425,#REF!,$C425,#REF!,"&lt;&gt;Other Sector Demand")</f>
        <v>#REF!</v>
      </c>
      <c r="G425" s="106" t="e">
        <f t="shared" si="24"/>
        <v>#REF!</v>
      </c>
      <c r="H425" s="105" t="e">
        <f>SUMIFS(#REF!,#REF!,$A425,#REF!,$B425,#REF!,$C425,#REF!,"Other Sector Demand")</f>
        <v>#REF!</v>
      </c>
      <c r="I425" s="105" t="e">
        <f t="shared" si="25"/>
        <v>#REF!</v>
      </c>
      <c r="J425" s="106" t="e">
        <f t="shared" si="26"/>
        <v>#REF!</v>
      </c>
      <c r="K425" s="107" t="e">
        <f t="shared" si="27"/>
        <v>#REF!</v>
      </c>
    </row>
    <row r="426" spans="1:11" ht="15" customHeight="1" x14ac:dyDescent="0.2">
      <c r="A426" s="104" t="s">
        <v>205</v>
      </c>
      <c r="B426" s="104" t="s">
        <v>210</v>
      </c>
      <c r="C426" s="104" t="s">
        <v>50</v>
      </c>
      <c r="D426" s="104">
        <v>2020</v>
      </c>
      <c r="E426" s="105" t="e">
        <f>SUMIFS(#REF!,#REF!,$A426,#REF!,$B426,#REF!,$C426,#REF!,"Storage Demand")</f>
        <v>#REF!</v>
      </c>
      <c r="F426" s="105" t="e">
        <f>SUMIFS(#REF!,#REF!,$A426,#REF!,$B426,#REF!,$C426,#REF!,"&lt;&gt;Other Sector Demand")</f>
        <v>#REF!</v>
      </c>
      <c r="G426" s="106" t="e">
        <f t="shared" si="24"/>
        <v>#REF!</v>
      </c>
      <c r="H426" s="105" t="e">
        <f>SUMIFS(#REF!,#REF!,$A426,#REF!,$B426,#REF!,$C426,#REF!,"Other Sector Demand")</f>
        <v>#REF!</v>
      </c>
      <c r="I426" s="105" t="e">
        <f t="shared" si="25"/>
        <v>#REF!</v>
      </c>
      <c r="J426" s="106" t="e">
        <f t="shared" si="26"/>
        <v>#REF!</v>
      </c>
      <c r="K426" s="107" t="e">
        <f t="shared" si="27"/>
        <v>#REF!</v>
      </c>
    </row>
    <row r="427" spans="1:11" ht="15" customHeight="1" x14ac:dyDescent="0.2">
      <c r="A427" s="104" t="s">
        <v>205</v>
      </c>
      <c r="B427" s="104" t="s">
        <v>210</v>
      </c>
      <c r="C427" s="104" t="s">
        <v>50</v>
      </c>
      <c r="D427" s="104">
        <v>2030</v>
      </c>
      <c r="E427" s="105" t="e">
        <f>SUMIFS(#REF!,#REF!,$A427,#REF!,$B427,#REF!,$C427,#REF!,"Storage Demand")</f>
        <v>#REF!</v>
      </c>
      <c r="F427" s="105" t="e">
        <f>SUMIFS(#REF!,#REF!,$A427,#REF!,$B427,#REF!,$C427,#REF!,"&lt;&gt;Other Sector Demand")</f>
        <v>#REF!</v>
      </c>
      <c r="G427" s="106" t="e">
        <f t="shared" si="24"/>
        <v>#REF!</v>
      </c>
      <c r="H427" s="105" t="e">
        <f>SUMIFS(#REF!,#REF!,$A427,#REF!,$B427,#REF!,$C427,#REF!,"Other Sector Demand")</f>
        <v>#REF!</v>
      </c>
      <c r="I427" s="105" t="e">
        <f t="shared" si="25"/>
        <v>#REF!</v>
      </c>
      <c r="J427" s="106" t="e">
        <f t="shared" si="26"/>
        <v>#REF!</v>
      </c>
      <c r="K427" s="107" t="e">
        <f t="shared" si="27"/>
        <v>#REF!</v>
      </c>
    </row>
    <row r="428" spans="1:11" ht="15" customHeight="1" x14ac:dyDescent="0.2">
      <c r="A428" s="104" t="s">
        <v>205</v>
      </c>
      <c r="B428" s="104" t="s">
        <v>210</v>
      </c>
      <c r="C428" s="104" t="s">
        <v>50</v>
      </c>
      <c r="D428" s="104">
        <v>2040</v>
      </c>
      <c r="E428" s="105" t="e">
        <f>SUMIFS(#REF!,#REF!,$A428,#REF!,$B428,#REF!,$C428,#REF!,"Storage Demand")</f>
        <v>#REF!</v>
      </c>
      <c r="F428" s="105" t="e">
        <f>SUMIFS(#REF!,#REF!,$A428,#REF!,$B428,#REF!,$C428,#REF!,"&lt;&gt;Other Sector Demand")</f>
        <v>#REF!</v>
      </c>
      <c r="G428" s="106" t="e">
        <f t="shared" si="24"/>
        <v>#REF!</v>
      </c>
      <c r="H428" s="105" t="e">
        <f>SUMIFS(#REF!,#REF!,$A428,#REF!,$B428,#REF!,$C428,#REF!,"Other Sector Demand")</f>
        <v>#REF!</v>
      </c>
      <c r="I428" s="105" t="e">
        <f t="shared" si="25"/>
        <v>#REF!</v>
      </c>
      <c r="J428" s="106" t="e">
        <f t="shared" si="26"/>
        <v>#REF!</v>
      </c>
      <c r="K428" s="107" t="e">
        <f t="shared" si="27"/>
        <v>#REF!</v>
      </c>
    </row>
    <row r="429" spans="1:11" ht="15" customHeight="1" x14ac:dyDescent="0.2">
      <c r="A429" s="104" t="s">
        <v>205</v>
      </c>
      <c r="B429" s="104" t="s">
        <v>210</v>
      </c>
      <c r="C429" s="104" t="s">
        <v>50</v>
      </c>
      <c r="D429" s="104">
        <v>2050</v>
      </c>
      <c r="E429" s="105" t="e">
        <f>SUMIFS(#REF!,#REF!,$A429,#REF!,$B429,#REF!,$C429,#REF!,"Storage Demand")</f>
        <v>#REF!</v>
      </c>
      <c r="F429" s="105" t="e">
        <f>SUMIFS(#REF!,#REF!,$A429,#REF!,$B429,#REF!,$C429,#REF!,"&lt;&gt;Other Sector Demand")</f>
        <v>#REF!</v>
      </c>
      <c r="G429" s="106" t="e">
        <f t="shared" si="24"/>
        <v>#REF!</v>
      </c>
      <c r="H429" s="105" t="e">
        <f>SUMIFS(#REF!,#REF!,$A429,#REF!,$B429,#REF!,$C429,#REF!,"Other Sector Demand")</f>
        <v>#REF!</v>
      </c>
      <c r="I429" s="105" t="e">
        <f t="shared" si="25"/>
        <v>#REF!</v>
      </c>
      <c r="J429" s="106" t="e">
        <f t="shared" si="26"/>
        <v>#REF!</v>
      </c>
      <c r="K429" s="107" t="e">
        <f t="shared" si="27"/>
        <v>#REF!</v>
      </c>
    </row>
    <row r="430" spans="1:11" ht="15" customHeight="1" x14ac:dyDescent="0.2">
      <c r="A430" s="104" t="s">
        <v>205</v>
      </c>
      <c r="B430" s="104" t="s">
        <v>210</v>
      </c>
      <c r="C430" s="104" t="s">
        <v>52</v>
      </c>
      <c r="D430" s="104">
        <v>2020</v>
      </c>
      <c r="E430" s="105" t="e">
        <f>SUMIFS(#REF!,#REF!,$A430,#REF!,$B430,#REF!,$C430,#REF!,"Storage Demand")</f>
        <v>#REF!</v>
      </c>
      <c r="F430" s="105" t="e">
        <f>SUMIFS(#REF!,#REF!,$A430,#REF!,$B430,#REF!,$C430,#REF!,"&lt;&gt;Other Sector Demand")</f>
        <v>#REF!</v>
      </c>
      <c r="G430" s="106" t="e">
        <f t="shared" si="24"/>
        <v>#REF!</v>
      </c>
      <c r="H430" s="105" t="e">
        <f>SUMIFS(#REF!,#REF!,$A430,#REF!,$B430,#REF!,$C430,#REF!,"Other Sector Demand")</f>
        <v>#REF!</v>
      </c>
      <c r="I430" s="105" t="e">
        <f t="shared" si="25"/>
        <v>#REF!</v>
      </c>
      <c r="J430" s="106" t="e">
        <f t="shared" si="26"/>
        <v>#REF!</v>
      </c>
      <c r="K430" s="107" t="e">
        <f t="shared" si="27"/>
        <v>#REF!</v>
      </c>
    </row>
    <row r="431" spans="1:11" ht="15" customHeight="1" x14ac:dyDescent="0.2">
      <c r="A431" s="104" t="s">
        <v>205</v>
      </c>
      <c r="B431" s="104" t="s">
        <v>210</v>
      </c>
      <c r="C431" s="104" t="s">
        <v>52</v>
      </c>
      <c r="D431" s="104">
        <v>2030</v>
      </c>
      <c r="E431" s="105" t="e">
        <f>SUMIFS(#REF!,#REF!,$A431,#REF!,$B431,#REF!,$C431,#REF!,"Storage Demand")</f>
        <v>#REF!</v>
      </c>
      <c r="F431" s="105" t="e">
        <f>SUMIFS(#REF!,#REF!,$A431,#REF!,$B431,#REF!,$C431,#REF!,"&lt;&gt;Other Sector Demand")</f>
        <v>#REF!</v>
      </c>
      <c r="G431" s="106" t="e">
        <f t="shared" si="24"/>
        <v>#REF!</v>
      </c>
      <c r="H431" s="105" t="e">
        <f>SUMIFS(#REF!,#REF!,$A431,#REF!,$B431,#REF!,$C431,#REF!,"Other Sector Demand")</f>
        <v>#REF!</v>
      </c>
      <c r="I431" s="105" t="e">
        <f t="shared" si="25"/>
        <v>#REF!</v>
      </c>
      <c r="J431" s="106" t="e">
        <f t="shared" si="26"/>
        <v>#REF!</v>
      </c>
      <c r="K431" s="107" t="e">
        <f t="shared" si="27"/>
        <v>#REF!</v>
      </c>
    </row>
    <row r="432" spans="1:11" ht="15" customHeight="1" x14ac:dyDescent="0.2">
      <c r="A432" s="104" t="s">
        <v>205</v>
      </c>
      <c r="B432" s="104" t="s">
        <v>210</v>
      </c>
      <c r="C432" s="104" t="s">
        <v>52</v>
      </c>
      <c r="D432" s="104">
        <v>2040</v>
      </c>
      <c r="E432" s="105" t="e">
        <f>SUMIFS(#REF!,#REF!,$A432,#REF!,$B432,#REF!,$C432,#REF!,"Storage Demand")</f>
        <v>#REF!</v>
      </c>
      <c r="F432" s="105" t="e">
        <f>SUMIFS(#REF!,#REF!,$A432,#REF!,$B432,#REF!,$C432,#REF!,"&lt;&gt;Other Sector Demand")</f>
        <v>#REF!</v>
      </c>
      <c r="G432" s="106" t="e">
        <f t="shared" si="24"/>
        <v>#REF!</v>
      </c>
      <c r="H432" s="105" t="e">
        <f>SUMIFS(#REF!,#REF!,$A432,#REF!,$B432,#REF!,$C432,#REF!,"Other Sector Demand")</f>
        <v>#REF!</v>
      </c>
      <c r="I432" s="105" t="e">
        <f t="shared" si="25"/>
        <v>#REF!</v>
      </c>
      <c r="J432" s="106" t="e">
        <f t="shared" si="26"/>
        <v>#REF!</v>
      </c>
      <c r="K432" s="107" t="e">
        <f t="shared" si="27"/>
        <v>#REF!</v>
      </c>
    </row>
    <row r="433" spans="1:11" ht="15" customHeight="1" x14ac:dyDescent="0.2">
      <c r="A433" s="104" t="s">
        <v>205</v>
      </c>
      <c r="B433" s="104" t="s">
        <v>210</v>
      </c>
      <c r="C433" s="104" t="s">
        <v>52</v>
      </c>
      <c r="D433" s="104">
        <v>2050</v>
      </c>
      <c r="E433" s="105" t="e">
        <f>SUMIFS(#REF!,#REF!,$A433,#REF!,$B433,#REF!,$C433,#REF!,"Storage Demand")</f>
        <v>#REF!</v>
      </c>
      <c r="F433" s="105" t="e">
        <f>SUMIFS(#REF!,#REF!,$A433,#REF!,$B433,#REF!,$C433,#REF!,"&lt;&gt;Other Sector Demand")</f>
        <v>#REF!</v>
      </c>
      <c r="G433" s="106" t="e">
        <f t="shared" si="24"/>
        <v>#REF!</v>
      </c>
      <c r="H433" s="105" t="e">
        <f>SUMIFS(#REF!,#REF!,$A433,#REF!,$B433,#REF!,$C433,#REF!,"Other Sector Demand")</f>
        <v>#REF!</v>
      </c>
      <c r="I433" s="105" t="e">
        <f t="shared" si="25"/>
        <v>#REF!</v>
      </c>
      <c r="J433" s="106" t="e">
        <f t="shared" si="26"/>
        <v>#REF!</v>
      </c>
      <c r="K433" s="107" t="e">
        <f t="shared" si="27"/>
        <v>#REF!</v>
      </c>
    </row>
    <row r="434" spans="1:11" ht="15" customHeight="1" x14ac:dyDescent="0.2">
      <c r="A434" s="104" t="s">
        <v>205</v>
      </c>
      <c r="B434" s="104" t="s">
        <v>210</v>
      </c>
      <c r="C434" s="104" t="s">
        <v>53</v>
      </c>
      <c r="D434" s="104">
        <v>2020</v>
      </c>
      <c r="E434" s="105" t="e">
        <f>SUMIFS(#REF!,#REF!,$A434,#REF!,$B434,#REF!,$C434,#REF!,"Storage Demand")</f>
        <v>#REF!</v>
      </c>
      <c r="F434" s="105" t="e">
        <f>SUMIFS(#REF!,#REF!,$A434,#REF!,$B434,#REF!,$C434,#REF!,"&lt;&gt;Other Sector Demand")</f>
        <v>#REF!</v>
      </c>
      <c r="G434" s="106" t="e">
        <f t="shared" si="24"/>
        <v>#REF!</v>
      </c>
      <c r="H434" s="105" t="e">
        <f>SUMIFS(#REF!,#REF!,$A434,#REF!,$B434,#REF!,$C434,#REF!,"Other Sector Demand")</f>
        <v>#REF!</v>
      </c>
      <c r="I434" s="105" t="e">
        <f t="shared" si="25"/>
        <v>#REF!</v>
      </c>
      <c r="J434" s="106" t="e">
        <f t="shared" si="26"/>
        <v>#REF!</v>
      </c>
      <c r="K434" s="107" t="e">
        <f t="shared" si="27"/>
        <v>#REF!</v>
      </c>
    </row>
    <row r="435" spans="1:11" ht="15" customHeight="1" x14ac:dyDescent="0.2">
      <c r="A435" s="104" t="s">
        <v>205</v>
      </c>
      <c r="B435" s="104" t="s">
        <v>210</v>
      </c>
      <c r="C435" s="104" t="s">
        <v>53</v>
      </c>
      <c r="D435" s="104">
        <v>2030</v>
      </c>
      <c r="E435" s="105" t="e">
        <f>SUMIFS(#REF!,#REF!,$A435,#REF!,$B435,#REF!,$C435,#REF!,"Storage Demand")</f>
        <v>#REF!</v>
      </c>
      <c r="F435" s="105" t="e">
        <f>SUMIFS(#REF!,#REF!,$A435,#REF!,$B435,#REF!,$C435,#REF!,"&lt;&gt;Other Sector Demand")</f>
        <v>#REF!</v>
      </c>
      <c r="G435" s="106" t="e">
        <f t="shared" si="24"/>
        <v>#REF!</v>
      </c>
      <c r="H435" s="105" t="e">
        <f>SUMIFS(#REF!,#REF!,$A435,#REF!,$B435,#REF!,$C435,#REF!,"Other Sector Demand")</f>
        <v>#REF!</v>
      </c>
      <c r="I435" s="105" t="e">
        <f t="shared" si="25"/>
        <v>#REF!</v>
      </c>
      <c r="J435" s="106" t="e">
        <f t="shared" si="26"/>
        <v>#REF!</v>
      </c>
      <c r="K435" s="107" t="e">
        <f t="shared" si="27"/>
        <v>#REF!</v>
      </c>
    </row>
    <row r="436" spans="1:11" ht="15" customHeight="1" x14ac:dyDescent="0.2">
      <c r="A436" s="104" t="s">
        <v>205</v>
      </c>
      <c r="B436" s="104" t="s">
        <v>210</v>
      </c>
      <c r="C436" s="104" t="s">
        <v>53</v>
      </c>
      <c r="D436" s="104">
        <v>2040</v>
      </c>
      <c r="E436" s="105" t="e">
        <f>SUMIFS(#REF!,#REF!,$A436,#REF!,$B436,#REF!,$C436,#REF!,"Storage Demand")</f>
        <v>#REF!</v>
      </c>
      <c r="F436" s="105" t="e">
        <f>SUMIFS(#REF!,#REF!,$A436,#REF!,$B436,#REF!,$C436,#REF!,"&lt;&gt;Other Sector Demand")</f>
        <v>#REF!</v>
      </c>
      <c r="G436" s="106" t="e">
        <f t="shared" si="24"/>
        <v>#REF!</v>
      </c>
      <c r="H436" s="105" t="e">
        <f>SUMIFS(#REF!,#REF!,$A436,#REF!,$B436,#REF!,$C436,#REF!,"Other Sector Demand")</f>
        <v>#REF!</v>
      </c>
      <c r="I436" s="105" t="e">
        <f t="shared" si="25"/>
        <v>#REF!</v>
      </c>
      <c r="J436" s="106" t="e">
        <f t="shared" si="26"/>
        <v>#REF!</v>
      </c>
      <c r="K436" s="107" t="e">
        <f t="shared" si="27"/>
        <v>#REF!</v>
      </c>
    </row>
    <row r="437" spans="1:11" ht="15" customHeight="1" x14ac:dyDescent="0.2">
      <c r="A437" s="104" t="s">
        <v>205</v>
      </c>
      <c r="B437" s="104" t="s">
        <v>210</v>
      </c>
      <c r="C437" s="104" t="s">
        <v>53</v>
      </c>
      <c r="D437" s="104">
        <v>2050</v>
      </c>
      <c r="E437" s="105" t="e">
        <f>SUMIFS(#REF!,#REF!,$A437,#REF!,$B437,#REF!,$C437,#REF!,"Storage Demand")</f>
        <v>#REF!</v>
      </c>
      <c r="F437" s="105" t="e">
        <f>SUMIFS(#REF!,#REF!,$A437,#REF!,$B437,#REF!,$C437,#REF!,"&lt;&gt;Other Sector Demand")</f>
        <v>#REF!</v>
      </c>
      <c r="G437" s="106" t="e">
        <f t="shared" si="24"/>
        <v>#REF!</v>
      </c>
      <c r="H437" s="105" t="e">
        <f>SUMIFS(#REF!,#REF!,$A437,#REF!,$B437,#REF!,$C437,#REF!,"Other Sector Demand")</f>
        <v>#REF!</v>
      </c>
      <c r="I437" s="105" t="e">
        <f t="shared" si="25"/>
        <v>#REF!</v>
      </c>
      <c r="J437" s="106" t="e">
        <f t="shared" si="26"/>
        <v>#REF!</v>
      </c>
      <c r="K437" s="107" t="e">
        <f t="shared" si="27"/>
        <v>#REF!</v>
      </c>
    </row>
    <row r="438" spans="1:11" ht="15" customHeight="1" x14ac:dyDescent="0.2">
      <c r="A438" s="104" t="s">
        <v>205</v>
      </c>
      <c r="B438" s="104" t="s">
        <v>210</v>
      </c>
      <c r="C438" s="104" t="s">
        <v>55</v>
      </c>
      <c r="D438" s="104">
        <v>2020</v>
      </c>
      <c r="E438" s="105" t="e">
        <f>SUMIFS(#REF!,#REF!,$A438,#REF!,$B438,#REF!,$C438,#REF!,"Storage Demand")</f>
        <v>#REF!</v>
      </c>
      <c r="F438" s="105" t="e">
        <f>SUMIFS(#REF!,#REF!,$A438,#REF!,$B438,#REF!,$C438,#REF!,"&lt;&gt;Other Sector Demand")</f>
        <v>#REF!</v>
      </c>
      <c r="G438" s="106" t="e">
        <f t="shared" si="24"/>
        <v>#REF!</v>
      </c>
      <c r="H438" s="105" t="e">
        <f>SUMIFS(#REF!,#REF!,$A438,#REF!,$B438,#REF!,$C438,#REF!,"Other Sector Demand")</f>
        <v>#REF!</v>
      </c>
      <c r="I438" s="105" t="e">
        <f t="shared" si="25"/>
        <v>#REF!</v>
      </c>
      <c r="J438" s="106" t="e">
        <f t="shared" si="26"/>
        <v>#REF!</v>
      </c>
      <c r="K438" s="107" t="e">
        <f t="shared" si="27"/>
        <v>#REF!</v>
      </c>
    </row>
    <row r="439" spans="1:11" ht="15" customHeight="1" x14ac:dyDescent="0.2">
      <c r="A439" s="104" t="s">
        <v>205</v>
      </c>
      <c r="B439" s="104" t="s">
        <v>210</v>
      </c>
      <c r="C439" s="104" t="s">
        <v>55</v>
      </c>
      <c r="D439" s="104">
        <v>2030</v>
      </c>
      <c r="E439" s="105" t="e">
        <f>SUMIFS(#REF!,#REF!,$A439,#REF!,$B439,#REF!,$C439,#REF!,"Storage Demand")</f>
        <v>#REF!</v>
      </c>
      <c r="F439" s="105" t="e">
        <f>SUMIFS(#REF!,#REF!,$A439,#REF!,$B439,#REF!,$C439,#REF!,"&lt;&gt;Other Sector Demand")</f>
        <v>#REF!</v>
      </c>
      <c r="G439" s="106" t="e">
        <f t="shared" si="24"/>
        <v>#REF!</v>
      </c>
      <c r="H439" s="105" t="e">
        <f>SUMIFS(#REF!,#REF!,$A439,#REF!,$B439,#REF!,$C439,#REF!,"Other Sector Demand")</f>
        <v>#REF!</v>
      </c>
      <c r="I439" s="105" t="e">
        <f t="shared" si="25"/>
        <v>#REF!</v>
      </c>
      <c r="J439" s="106" t="e">
        <f t="shared" si="26"/>
        <v>#REF!</v>
      </c>
      <c r="K439" s="107" t="e">
        <f t="shared" si="27"/>
        <v>#REF!</v>
      </c>
    </row>
    <row r="440" spans="1:11" ht="15" customHeight="1" x14ac:dyDescent="0.2">
      <c r="A440" s="104" t="s">
        <v>205</v>
      </c>
      <c r="B440" s="104" t="s">
        <v>210</v>
      </c>
      <c r="C440" s="104" t="s">
        <v>55</v>
      </c>
      <c r="D440" s="104">
        <v>2040</v>
      </c>
      <c r="E440" s="105" t="e">
        <f>SUMIFS(#REF!,#REF!,$A440,#REF!,$B440,#REF!,$C440,#REF!,"Storage Demand")</f>
        <v>#REF!</v>
      </c>
      <c r="F440" s="105" t="e">
        <f>SUMIFS(#REF!,#REF!,$A440,#REF!,$B440,#REF!,$C440,#REF!,"&lt;&gt;Other Sector Demand")</f>
        <v>#REF!</v>
      </c>
      <c r="G440" s="106" t="e">
        <f t="shared" si="24"/>
        <v>#REF!</v>
      </c>
      <c r="H440" s="105" t="e">
        <f>SUMIFS(#REF!,#REF!,$A440,#REF!,$B440,#REF!,$C440,#REF!,"Other Sector Demand")</f>
        <v>#REF!</v>
      </c>
      <c r="I440" s="105" t="e">
        <f t="shared" si="25"/>
        <v>#REF!</v>
      </c>
      <c r="J440" s="106" t="e">
        <f t="shared" si="26"/>
        <v>#REF!</v>
      </c>
      <c r="K440" s="107" t="e">
        <f t="shared" si="27"/>
        <v>#REF!</v>
      </c>
    </row>
    <row r="441" spans="1:11" ht="15" customHeight="1" x14ac:dyDescent="0.2">
      <c r="A441" s="104" t="s">
        <v>205</v>
      </c>
      <c r="B441" s="104" t="s">
        <v>210</v>
      </c>
      <c r="C441" s="104" t="s">
        <v>55</v>
      </c>
      <c r="D441" s="104">
        <v>2050</v>
      </c>
      <c r="E441" s="105" t="e">
        <f>SUMIFS(#REF!,#REF!,$A441,#REF!,$B441,#REF!,$C441,#REF!,"Storage Demand")</f>
        <v>#REF!</v>
      </c>
      <c r="F441" s="105" t="e">
        <f>SUMIFS(#REF!,#REF!,$A441,#REF!,$B441,#REF!,$C441,#REF!,"&lt;&gt;Other Sector Demand")</f>
        <v>#REF!</v>
      </c>
      <c r="G441" s="106" t="e">
        <f t="shared" si="24"/>
        <v>#REF!</v>
      </c>
      <c r="H441" s="105" t="e">
        <f>SUMIFS(#REF!,#REF!,$A441,#REF!,$B441,#REF!,$C441,#REF!,"Other Sector Demand")</f>
        <v>#REF!</v>
      </c>
      <c r="I441" s="105" t="e">
        <f t="shared" si="25"/>
        <v>#REF!</v>
      </c>
      <c r="J441" s="106" t="e">
        <f t="shared" si="26"/>
        <v>#REF!</v>
      </c>
      <c r="K441" s="107" t="e">
        <f t="shared" si="27"/>
        <v>#REF!</v>
      </c>
    </row>
    <row r="442" spans="1:11" ht="15" customHeight="1" x14ac:dyDescent="0.2">
      <c r="A442" s="104" t="s">
        <v>205</v>
      </c>
      <c r="B442" s="104" t="s">
        <v>210</v>
      </c>
      <c r="C442" s="104" t="s">
        <v>57</v>
      </c>
      <c r="D442" s="104">
        <v>2020</v>
      </c>
      <c r="E442" s="105" t="e">
        <f>SUMIFS(#REF!,#REF!,$A442,#REF!,$B442,#REF!,$C442,#REF!,"Storage Demand")</f>
        <v>#REF!</v>
      </c>
      <c r="F442" s="105" t="e">
        <f>SUMIFS(#REF!,#REF!,$A442,#REF!,$B442,#REF!,$C442,#REF!,"&lt;&gt;Other Sector Demand")</f>
        <v>#REF!</v>
      </c>
      <c r="G442" s="106" t="e">
        <f t="shared" si="24"/>
        <v>#REF!</v>
      </c>
      <c r="H442" s="105" t="e">
        <f>SUMIFS(#REF!,#REF!,$A442,#REF!,$B442,#REF!,$C442,#REF!,"Other Sector Demand")</f>
        <v>#REF!</v>
      </c>
      <c r="I442" s="105" t="e">
        <f t="shared" si="25"/>
        <v>#REF!</v>
      </c>
      <c r="J442" s="106" t="e">
        <f t="shared" si="26"/>
        <v>#REF!</v>
      </c>
      <c r="K442" s="107" t="e">
        <f t="shared" si="27"/>
        <v>#REF!</v>
      </c>
    </row>
    <row r="443" spans="1:11" ht="15" customHeight="1" x14ac:dyDescent="0.2">
      <c r="A443" s="104" t="s">
        <v>205</v>
      </c>
      <c r="B443" s="104" t="s">
        <v>210</v>
      </c>
      <c r="C443" s="104" t="s">
        <v>57</v>
      </c>
      <c r="D443" s="104">
        <v>2030</v>
      </c>
      <c r="E443" s="105" t="e">
        <f>SUMIFS(#REF!,#REF!,$A443,#REF!,$B443,#REF!,$C443,#REF!,"Storage Demand")</f>
        <v>#REF!</v>
      </c>
      <c r="F443" s="105" t="e">
        <f>SUMIFS(#REF!,#REF!,$A443,#REF!,$B443,#REF!,$C443,#REF!,"&lt;&gt;Other Sector Demand")</f>
        <v>#REF!</v>
      </c>
      <c r="G443" s="106" t="e">
        <f t="shared" si="24"/>
        <v>#REF!</v>
      </c>
      <c r="H443" s="105" t="e">
        <f>SUMIFS(#REF!,#REF!,$A443,#REF!,$B443,#REF!,$C443,#REF!,"Other Sector Demand")</f>
        <v>#REF!</v>
      </c>
      <c r="I443" s="105" t="e">
        <f t="shared" si="25"/>
        <v>#REF!</v>
      </c>
      <c r="J443" s="106" t="e">
        <f t="shared" si="26"/>
        <v>#REF!</v>
      </c>
      <c r="K443" s="107" t="e">
        <f t="shared" si="27"/>
        <v>#REF!</v>
      </c>
    </row>
    <row r="444" spans="1:11" ht="15" customHeight="1" x14ac:dyDescent="0.2">
      <c r="A444" s="104" t="s">
        <v>205</v>
      </c>
      <c r="B444" s="104" t="s">
        <v>210</v>
      </c>
      <c r="C444" s="104" t="s">
        <v>57</v>
      </c>
      <c r="D444" s="104">
        <v>2040</v>
      </c>
      <c r="E444" s="105" t="e">
        <f>SUMIFS(#REF!,#REF!,$A444,#REF!,$B444,#REF!,$C444,#REF!,"Storage Demand")</f>
        <v>#REF!</v>
      </c>
      <c r="F444" s="105" t="e">
        <f>SUMIFS(#REF!,#REF!,$A444,#REF!,$B444,#REF!,$C444,#REF!,"&lt;&gt;Other Sector Demand")</f>
        <v>#REF!</v>
      </c>
      <c r="G444" s="106" t="e">
        <f t="shared" si="24"/>
        <v>#REF!</v>
      </c>
      <c r="H444" s="105" t="e">
        <f>SUMIFS(#REF!,#REF!,$A444,#REF!,$B444,#REF!,$C444,#REF!,"Other Sector Demand")</f>
        <v>#REF!</v>
      </c>
      <c r="I444" s="105" t="e">
        <f t="shared" si="25"/>
        <v>#REF!</v>
      </c>
      <c r="J444" s="106" t="e">
        <f t="shared" si="26"/>
        <v>#REF!</v>
      </c>
      <c r="K444" s="107" t="e">
        <f t="shared" si="27"/>
        <v>#REF!</v>
      </c>
    </row>
    <row r="445" spans="1:11" ht="15" customHeight="1" x14ac:dyDescent="0.2">
      <c r="A445" s="104" t="s">
        <v>205</v>
      </c>
      <c r="B445" s="104" t="s">
        <v>210</v>
      </c>
      <c r="C445" s="104" t="s">
        <v>57</v>
      </c>
      <c r="D445" s="104">
        <v>2050</v>
      </c>
      <c r="E445" s="105" t="e">
        <f>SUMIFS(#REF!,#REF!,$A445,#REF!,$B445,#REF!,$C445,#REF!,"Storage Demand")</f>
        <v>#REF!</v>
      </c>
      <c r="F445" s="105" t="e">
        <f>SUMIFS(#REF!,#REF!,$A445,#REF!,$B445,#REF!,$C445,#REF!,"&lt;&gt;Other Sector Demand")</f>
        <v>#REF!</v>
      </c>
      <c r="G445" s="106" t="e">
        <f t="shared" si="24"/>
        <v>#REF!</v>
      </c>
      <c r="H445" s="105" t="e">
        <f>SUMIFS(#REF!,#REF!,$A445,#REF!,$B445,#REF!,$C445,#REF!,"Other Sector Demand")</f>
        <v>#REF!</v>
      </c>
      <c r="I445" s="105" t="e">
        <f t="shared" si="25"/>
        <v>#REF!</v>
      </c>
      <c r="J445" s="106" t="e">
        <f t="shared" si="26"/>
        <v>#REF!</v>
      </c>
      <c r="K445" s="107" t="e">
        <f t="shared" si="27"/>
        <v>#REF!</v>
      </c>
    </row>
    <row r="446" spans="1:11" ht="15" customHeight="1" x14ac:dyDescent="0.2">
      <c r="A446" s="104" t="s">
        <v>205</v>
      </c>
      <c r="B446" s="104" t="s">
        <v>210</v>
      </c>
      <c r="C446" s="104" t="s">
        <v>58</v>
      </c>
      <c r="D446" s="104">
        <v>2020</v>
      </c>
      <c r="E446" s="105" t="e">
        <f>SUMIFS(#REF!,#REF!,$A446,#REF!,$B446,#REF!,$C446,#REF!,"Storage Demand")</f>
        <v>#REF!</v>
      </c>
      <c r="F446" s="105" t="e">
        <f>SUMIFS(#REF!,#REF!,$A446,#REF!,$B446,#REF!,$C446,#REF!,"&lt;&gt;Other Sector Demand")</f>
        <v>#REF!</v>
      </c>
      <c r="G446" s="106" t="e">
        <f t="shared" si="24"/>
        <v>#REF!</v>
      </c>
      <c r="H446" s="105" t="e">
        <f>SUMIFS(#REF!,#REF!,$A446,#REF!,$B446,#REF!,$C446,#REF!,"Other Sector Demand")</f>
        <v>#REF!</v>
      </c>
      <c r="I446" s="105" t="e">
        <f t="shared" si="25"/>
        <v>#REF!</v>
      </c>
      <c r="J446" s="106" t="e">
        <f t="shared" si="26"/>
        <v>#REF!</v>
      </c>
      <c r="K446" s="107" t="e">
        <f t="shared" si="27"/>
        <v>#REF!</v>
      </c>
    </row>
    <row r="447" spans="1:11" ht="15" customHeight="1" x14ac:dyDescent="0.2">
      <c r="A447" s="104" t="s">
        <v>205</v>
      </c>
      <c r="B447" s="104" t="s">
        <v>210</v>
      </c>
      <c r="C447" s="104" t="s">
        <v>58</v>
      </c>
      <c r="D447" s="104">
        <v>2030</v>
      </c>
      <c r="E447" s="105" t="e">
        <f>SUMIFS(#REF!,#REF!,$A447,#REF!,$B447,#REF!,$C447,#REF!,"Storage Demand")</f>
        <v>#REF!</v>
      </c>
      <c r="F447" s="105" t="e">
        <f>SUMIFS(#REF!,#REF!,$A447,#REF!,$B447,#REF!,$C447,#REF!,"&lt;&gt;Other Sector Demand")</f>
        <v>#REF!</v>
      </c>
      <c r="G447" s="106" t="e">
        <f t="shared" si="24"/>
        <v>#REF!</v>
      </c>
      <c r="H447" s="105" t="e">
        <f>SUMIFS(#REF!,#REF!,$A447,#REF!,$B447,#REF!,$C447,#REF!,"Other Sector Demand")</f>
        <v>#REF!</v>
      </c>
      <c r="I447" s="105" t="e">
        <f t="shared" si="25"/>
        <v>#REF!</v>
      </c>
      <c r="J447" s="106" t="e">
        <f t="shared" si="26"/>
        <v>#REF!</v>
      </c>
      <c r="K447" s="107" t="e">
        <f t="shared" si="27"/>
        <v>#REF!</v>
      </c>
    </row>
    <row r="448" spans="1:11" ht="15" customHeight="1" x14ac:dyDescent="0.2">
      <c r="A448" s="104" t="s">
        <v>205</v>
      </c>
      <c r="B448" s="104" t="s">
        <v>210</v>
      </c>
      <c r="C448" s="104" t="s">
        <v>58</v>
      </c>
      <c r="D448" s="104">
        <v>2040</v>
      </c>
      <c r="E448" s="105" t="e">
        <f>SUMIFS(#REF!,#REF!,$A448,#REF!,$B448,#REF!,$C448,#REF!,"Storage Demand")</f>
        <v>#REF!</v>
      </c>
      <c r="F448" s="105" t="e">
        <f>SUMIFS(#REF!,#REF!,$A448,#REF!,$B448,#REF!,$C448,#REF!,"&lt;&gt;Other Sector Demand")</f>
        <v>#REF!</v>
      </c>
      <c r="G448" s="106" t="e">
        <f t="shared" si="24"/>
        <v>#REF!</v>
      </c>
      <c r="H448" s="105" t="e">
        <f>SUMIFS(#REF!,#REF!,$A448,#REF!,$B448,#REF!,$C448,#REF!,"Other Sector Demand")</f>
        <v>#REF!</v>
      </c>
      <c r="I448" s="105" t="e">
        <f t="shared" si="25"/>
        <v>#REF!</v>
      </c>
      <c r="J448" s="106" t="e">
        <f t="shared" si="26"/>
        <v>#REF!</v>
      </c>
      <c r="K448" s="107" t="e">
        <f t="shared" si="27"/>
        <v>#REF!</v>
      </c>
    </row>
    <row r="449" spans="1:11" ht="15" customHeight="1" x14ac:dyDescent="0.2">
      <c r="A449" s="104" t="s">
        <v>205</v>
      </c>
      <c r="B449" s="104" t="s">
        <v>210</v>
      </c>
      <c r="C449" s="104" t="s">
        <v>58</v>
      </c>
      <c r="D449" s="104">
        <v>2050</v>
      </c>
      <c r="E449" s="105" t="e">
        <f>SUMIFS(#REF!,#REF!,$A449,#REF!,$B449,#REF!,$C449,#REF!,"Storage Demand")</f>
        <v>#REF!</v>
      </c>
      <c r="F449" s="105" t="e">
        <f>SUMIFS(#REF!,#REF!,$A449,#REF!,$B449,#REF!,$C449,#REF!,"&lt;&gt;Other Sector Demand")</f>
        <v>#REF!</v>
      </c>
      <c r="G449" s="106" t="e">
        <f t="shared" si="24"/>
        <v>#REF!</v>
      </c>
      <c r="H449" s="105" t="e">
        <f>SUMIFS(#REF!,#REF!,$A449,#REF!,$B449,#REF!,$C449,#REF!,"Other Sector Demand")</f>
        <v>#REF!</v>
      </c>
      <c r="I449" s="105" t="e">
        <f t="shared" si="25"/>
        <v>#REF!</v>
      </c>
      <c r="J449" s="106" t="e">
        <f t="shared" si="26"/>
        <v>#REF!</v>
      </c>
      <c r="K449" s="107" t="e">
        <f t="shared" si="27"/>
        <v>#REF!</v>
      </c>
    </row>
    <row r="450" spans="1:11" ht="15" customHeight="1" x14ac:dyDescent="0.2">
      <c r="A450" s="104" t="s">
        <v>205</v>
      </c>
      <c r="B450" s="104" t="s">
        <v>210</v>
      </c>
      <c r="C450" s="104" t="s">
        <v>59</v>
      </c>
      <c r="D450" s="104">
        <v>2020</v>
      </c>
      <c r="E450" s="105" t="e">
        <f>SUMIFS(#REF!,#REF!,$A450,#REF!,$B450,#REF!,$C450,#REF!,"Storage Demand")</f>
        <v>#REF!</v>
      </c>
      <c r="F450" s="105" t="e">
        <f>SUMIFS(#REF!,#REF!,$A450,#REF!,$B450,#REF!,$C450,#REF!,"&lt;&gt;Other Sector Demand")</f>
        <v>#REF!</v>
      </c>
      <c r="G450" s="106" t="e">
        <f t="shared" ref="G450:G513" si="28">IF($F450=0,0,$E450/$F450)</f>
        <v>#REF!</v>
      </c>
      <c r="H450" s="105" t="e">
        <f>SUMIFS(#REF!,#REF!,$A450,#REF!,$B450,#REF!,$C450,#REF!,"Other Sector Demand")</f>
        <v>#REF!</v>
      </c>
      <c r="I450" s="105" t="e">
        <f t="shared" ref="I450:I513" si="29">$F450+$H450</f>
        <v>#REF!</v>
      </c>
      <c r="J450" s="106" t="e">
        <f t="shared" ref="J450:J513" si="30">IF($I450=0,0,$E450/$I450)</f>
        <v>#REF!</v>
      </c>
      <c r="K450" s="107" t="e">
        <f t="shared" ref="K450:K513" si="31">IF(SUMIFS($F$2:$F$1025,$A$2:$A$1025,$A450,$B$2:$B$1025,$B450,$C$2:$C$1025,$C450)=0,0,SUMIFS($E$2:$E$1025,$A$2:$A$1025,$A450,$B$2:$B$1025,$B450,$C$2:$C$1025,$C450)/SUMIFS($F$2:$F$1025,$A$2:$A$1025,$A450,$B$2:$B$1025,$B450,$C$2:$C$1025,$C450))</f>
        <v>#REF!</v>
      </c>
    </row>
    <row r="451" spans="1:11" ht="15" customHeight="1" x14ac:dyDescent="0.2">
      <c r="A451" s="104" t="s">
        <v>205</v>
      </c>
      <c r="B451" s="104" t="s">
        <v>210</v>
      </c>
      <c r="C451" s="104" t="s">
        <v>59</v>
      </c>
      <c r="D451" s="104">
        <v>2030</v>
      </c>
      <c r="E451" s="105" t="e">
        <f>SUMIFS(#REF!,#REF!,$A451,#REF!,$B451,#REF!,$C451,#REF!,"Storage Demand")</f>
        <v>#REF!</v>
      </c>
      <c r="F451" s="105" t="e">
        <f>SUMIFS(#REF!,#REF!,$A451,#REF!,$B451,#REF!,$C451,#REF!,"&lt;&gt;Other Sector Demand")</f>
        <v>#REF!</v>
      </c>
      <c r="G451" s="106" t="e">
        <f t="shared" si="28"/>
        <v>#REF!</v>
      </c>
      <c r="H451" s="105" t="e">
        <f>SUMIFS(#REF!,#REF!,$A451,#REF!,$B451,#REF!,$C451,#REF!,"Other Sector Demand")</f>
        <v>#REF!</v>
      </c>
      <c r="I451" s="105" t="e">
        <f t="shared" si="29"/>
        <v>#REF!</v>
      </c>
      <c r="J451" s="106" t="e">
        <f t="shared" si="30"/>
        <v>#REF!</v>
      </c>
      <c r="K451" s="107" t="e">
        <f t="shared" si="31"/>
        <v>#REF!</v>
      </c>
    </row>
    <row r="452" spans="1:11" ht="15" customHeight="1" x14ac:dyDescent="0.2">
      <c r="A452" s="104" t="s">
        <v>205</v>
      </c>
      <c r="B452" s="104" t="s">
        <v>210</v>
      </c>
      <c r="C452" s="104" t="s">
        <v>59</v>
      </c>
      <c r="D452" s="104">
        <v>2040</v>
      </c>
      <c r="E452" s="105" t="e">
        <f>SUMIFS(#REF!,#REF!,$A452,#REF!,$B452,#REF!,$C452,#REF!,"Storage Demand")</f>
        <v>#REF!</v>
      </c>
      <c r="F452" s="105" t="e">
        <f>SUMIFS(#REF!,#REF!,$A452,#REF!,$B452,#REF!,$C452,#REF!,"&lt;&gt;Other Sector Demand")</f>
        <v>#REF!</v>
      </c>
      <c r="G452" s="106" t="e">
        <f t="shared" si="28"/>
        <v>#REF!</v>
      </c>
      <c r="H452" s="105" t="e">
        <f>SUMIFS(#REF!,#REF!,$A452,#REF!,$B452,#REF!,$C452,#REF!,"Other Sector Demand")</f>
        <v>#REF!</v>
      </c>
      <c r="I452" s="105" t="e">
        <f t="shared" si="29"/>
        <v>#REF!</v>
      </c>
      <c r="J452" s="106" t="e">
        <f t="shared" si="30"/>
        <v>#REF!</v>
      </c>
      <c r="K452" s="107" t="e">
        <f t="shared" si="31"/>
        <v>#REF!</v>
      </c>
    </row>
    <row r="453" spans="1:11" ht="15" customHeight="1" x14ac:dyDescent="0.2">
      <c r="A453" s="104" t="s">
        <v>205</v>
      </c>
      <c r="B453" s="104" t="s">
        <v>210</v>
      </c>
      <c r="C453" s="104" t="s">
        <v>59</v>
      </c>
      <c r="D453" s="104">
        <v>2050</v>
      </c>
      <c r="E453" s="105" t="e">
        <f>SUMIFS(#REF!,#REF!,$A453,#REF!,$B453,#REF!,$C453,#REF!,"Storage Demand")</f>
        <v>#REF!</v>
      </c>
      <c r="F453" s="105" t="e">
        <f>SUMIFS(#REF!,#REF!,$A453,#REF!,$B453,#REF!,$C453,#REF!,"&lt;&gt;Other Sector Demand")</f>
        <v>#REF!</v>
      </c>
      <c r="G453" s="106" t="e">
        <f t="shared" si="28"/>
        <v>#REF!</v>
      </c>
      <c r="H453" s="105" t="e">
        <f>SUMIFS(#REF!,#REF!,$A453,#REF!,$B453,#REF!,$C453,#REF!,"Other Sector Demand")</f>
        <v>#REF!</v>
      </c>
      <c r="I453" s="105" t="e">
        <f t="shared" si="29"/>
        <v>#REF!</v>
      </c>
      <c r="J453" s="106" t="e">
        <f t="shared" si="30"/>
        <v>#REF!</v>
      </c>
      <c r="K453" s="107" t="e">
        <f t="shared" si="31"/>
        <v>#REF!</v>
      </c>
    </row>
    <row r="454" spans="1:11" ht="15" customHeight="1" x14ac:dyDescent="0.2">
      <c r="A454" s="104" t="s">
        <v>205</v>
      </c>
      <c r="B454" s="104" t="s">
        <v>210</v>
      </c>
      <c r="C454" s="104" t="s">
        <v>60</v>
      </c>
      <c r="D454" s="104">
        <v>2020</v>
      </c>
      <c r="E454" s="105" t="e">
        <f>SUMIFS(#REF!,#REF!,$A454,#REF!,$B454,#REF!,$C454,#REF!,"Storage Demand")</f>
        <v>#REF!</v>
      </c>
      <c r="F454" s="105" t="e">
        <f>SUMIFS(#REF!,#REF!,$A454,#REF!,$B454,#REF!,$C454,#REF!,"&lt;&gt;Other Sector Demand")</f>
        <v>#REF!</v>
      </c>
      <c r="G454" s="106" t="e">
        <f t="shared" si="28"/>
        <v>#REF!</v>
      </c>
      <c r="H454" s="105" t="e">
        <f>SUMIFS(#REF!,#REF!,$A454,#REF!,$B454,#REF!,$C454,#REF!,"Other Sector Demand")</f>
        <v>#REF!</v>
      </c>
      <c r="I454" s="105" t="e">
        <f t="shared" si="29"/>
        <v>#REF!</v>
      </c>
      <c r="J454" s="106" t="e">
        <f t="shared" si="30"/>
        <v>#REF!</v>
      </c>
      <c r="K454" s="107" t="e">
        <f t="shared" si="31"/>
        <v>#REF!</v>
      </c>
    </row>
    <row r="455" spans="1:11" ht="15" customHeight="1" x14ac:dyDescent="0.2">
      <c r="A455" s="104" t="s">
        <v>205</v>
      </c>
      <c r="B455" s="104" t="s">
        <v>210</v>
      </c>
      <c r="C455" s="104" t="s">
        <v>60</v>
      </c>
      <c r="D455" s="104">
        <v>2030</v>
      </c>
      <c r="E455" s="105" t="e">
        <f>SUMIFS(#REF!,#REF!,$A455,#REF!,$B455,#REF!,$C455,#REF!,"Storage Demand")</f>
        <v>#REF!</v>
      </c>
      <c r="F455" s="105" t="e">
        <f>SUMIFS(#REF!,#REF!,$A455,#REF!,$B455,#REF!,$C455,#REF!,"&lt;&gt;Other Sector Demand")</f>
        <v>#REF!</v>
      </c>
      <c r="G455" s="106" t="e">
        <f t="shared" si="28"/>
        <v>#REF!</v>
      </c>
      <c r="H455" s="105" t="e">
        <f>SUMIFS(#REF!,#REF!,$A455,#REF!,$B455,#REF!,$C455,#REF!,"Other Sector Demand")</f>
        <v>#REF!</v>
      </c>
      <c r="I455" s="105" t="e">
        <f t="shared" si="29"/>
        <v>#REF!</v>
      </c>
      <c r="J455" s="106" t="e">
        <f t="shared" si="30"/>
        <v>#REF!</v>
      </c>
      <c r="K455" s="107" t="e">
        <f t="shared" si="31"/>
        <v>#REF!</v>
      </c>
    </row>
    <row r="456" spans="1:11" ht="15" customHeight="1" x14ac:dyDescent="0.2">
      <c r="A456" s="104" t="s">
        <v>205</v>
      </c>
      <c r="B456" s="104" t="s">
        <v>210</v>
      </c>
      <c r="C456" s="104" t="s">
        <v>60</v>
      </c>
      <c r="D456" s="104">
        <v>2040</v>
      </c>
      <c r="E456" s="105" t="e">
        <f>SUMIFS(#REF!,#REF!,$A456,#REF!,$B456,#REF!,$C456,#REF!,"Storage Demand")</f>
        <v>#REF!</v>
      </c>
      <c r="F456" s="105" t="e">
        <f>SUMIFS(#REF!,#REF!,$A456,#REF!,$B456,#REF!,$C456,#REF!,"&lt;&gt;Other Sector Demand")</f>
        <v>#REF!</v>
      </c>
      <c r="G456" s="106" t="e">
        <f t="shared" si="28"/>
        <v>#REF!</v>
      </c>
      <c r="H456" s="105" t="e">
        <f>SUMIFS(#REF!,#REF!,$A456,#REF!,$B456,#REF!,$C456,#REF!,"Other Sector Demand")</f>
        <v>#REF!</v>
      </c>
      <c r="I456" s="105" t="e">
        <f t="shared" si="29"/>
        <v>#REF!</v>
      </c>
      <c r="J456" s="106" t="e">
        <f t="shared" si="30"/>
        <v>#REF!</v>
      </c>
      <c r="K456" s="107" t="e">
        <f t="shared" si="31"/>
        <v>#REF!</v>
      </c>
    </row>
    <row r="457" spans="1:11" ht="15" customHeight="1" x14ac:dyDescent="0.2">
      <c r="A457" s="104" t="s">
        <v>205</v>
      </c>
      <c r="B457" s="104" t="s">
        <v>210</v>
      </c>
      <c r="C457" s="104" t="s">
        <v>60</v>
      </c>
      <c r="D457" s="104">
        <v>2050</v>
      </c>
      <c r="E457" s="105" t="e">
        <f>SUMIFS(#REF!,#REF!,$A457,#REF!,$B457,#REF!,$C457,#REF!,"Storage Demand")</f>
        <v>#REF!</v>
      </c>
      <c r="F457" s="105" t="e">
        <f>SUMIFS(#REF!,#REF!,$A457,#REF!,$B457,#REF!,$C457,#REF!,"&lt;&gt;Other Sector Demand")</f>
        <v>#REF!</v>
      </c>
      <c r="G457" s="106" t="e">
        <f t="shared" si="28"/>
        <v>#REF!</v>
      </c>
      <c r="H457" s="105" t="e">
        <f>SUMIFS(#REF!,#REF!,$A457,#REF!,$B457,#REF!,$C457,#REF!,"Other Sector Demand")</f>
        <v>#REF!</v>
      </c>
      <c r="I457" s="105" t="e">
        <f t="shared" si="29"/>
        <v>#REF!</v>
      </c>
      <c r="J457" s="106" t="e">
        <f t="shared" si="30"/>
        <v>#REF!</v>
      </c>
      <c r="K457" s="107" t="e">
        <f t="shared" si="31"/>
        <v>#REF!</v>
      </c>
    </row>
    <row r="458" spans="1:11" ht="15" customHeight="1" x14ac:dyDescent="0.2">
      <c r="A458" s="104" t="s">
        <v>205</v>
      </c>
      <c r="B458" s="104" t="s">
        <v>210</v>
      </c>
      <c r="C458" s="104" t="s">
        <v>61</v>
      </c>
      <c r="D458" s="104">
        <v>2020</v>
      </c>
      <c r="E458" s="105" t="e">
        <f>SUMIFS(#REF!,#REF!,$A458,#REF!,$B458,#REF!,$C458,#REF!,"Storage Demand")</f>
        <v>#REF!</v>
      </c>
      <c r="F458" s="105" t="e">
        <f>SUMIFS(#REF!,#REF!,$A458,#REF!,$B458,#REF!,$C458,#REF!,"&lt;&gt;Other Sector Demand")</f>
        <v>#REF!</v>
      </c>
      <c r="G458" s="106" t="e">
        <f t="shared" si="28"/>
        <v>#REF!</v>
      </c>
      <c r="H458" s="105" t="e">
        <f>SUMIFS(#REF!,#REF!,$A458,#REF!,$B458,#REF!,$C458,#REF!,"Other Sector Demand")</f>
        <v>#REF!</v>
      </c>
      <c r="I458" s="105" t="e">
        <f t="shared" si="29"/>
        <v>#REF!</v>
      </c>
      <c r="J458" s="106" t="e">
        <f t="shared" si="30"/>
        <v>#REF!</v>
      </c>
      <c r="K458" s="107" t="e">
        <f t="shared" si="31"/>
        <v>#REF!</v>
      </c>
    </row>
    <row r="459" spans="1:11" ht="15" customHeight="1" x14ac:dyDescent="0.2">
      <c r="A459" s="104" t="s">
        <v>205</v>
      </c>
      <c r="B459" s="104" t="s">
        <v>210</v>
      </c>
      <c r="C459" s="104" t="s">
        <v>61</v>
      </c>
      <c r="D459" s="104">
        <v>2030</v>
      </c>
      <c r="E459" s="105" t="e">
        <f>SUMIFS(#REF!,#REF!,$A459,#REF!,$B459,#REF!,$C459,#REF!,"Storage Demand")</f>
        <v>#REF!</v>
      </c>
      <c r="F459" s="105" t="e">
        <f>SUMIFS(#REF!,#REF!,$A459,#REF!,$B459,#REF!,$C459,#REF!,"&lt;&gt;Other Sector Demand")</f>
        <v>#REF!</v>
      </c>
      <c r="G459" s="106" t="e">
        <f t="shared" si="28"/>
        <v>#REF!</v>
      </c>
      <c r="H459" s="105" t="e">
        <f>SUMIFS(#REF!,#REF!,$A459,#REF!,$B459,#REF!,$C459,#REF!,"Other Sector Demand")</f>
        <v>#REF!</v>
      </c>
      <c r="I459" s="105" t="e">
        <f t="shared" si="29"/>
        <v>#REF!</v>
      </c>
      <c r="J459" s="106" t="e">
        <f t="shared" si="30"/>
        <v>#REF!</v>
      </c>
      <c r="K459" s="107" t="e">
        <f t="shared" si="31"/>
        <v>#REF!</v>
      </c>
    </row>
    <row r="460" spans="1:11" ht="15" customHeight="1" x14ac:dyDescent="0.2">
      <c r="A460" s="104" t="s">
        <v>205</v>
      </c>
      <c r="B460" s="104" t="s">
        <v>210</v>
      </c>
      <c r="C460" s="104" t="s">
        <v>61</v>
      </c>
      <c r="D460" s="104">
        <v>2040</v>
      </c>
      <c r="E460" s="105" t="e">
        <f>SUMIFS(#REF!,#REF!,$A460,#REF!,$B460,#REF!,$C460,#REF!,"Storage Demand")</f>
        <v>#REF!</v>
      </c>
      <c r="F460" s="105" t="e">
        <f>SUMIFS(#REF!,#REF!,$A460,#REF!,$B460,#REF!,$C460,#REF!,"&lt;&gt;Other Sector Demand")</f>
        <v>#REF!</v>
      </c>
      <c r="G460" s="106" t="e">
        <f t="shared" si="28"/>
        <v>#REF!</v>
      </c>
      <c r="H460" s="105" t="e">
        <f>SUMIFS(#REF!,#REF!,$A460,#REF!,$B460,#REF!,$C460,#REF!,"Other Sector Demand")</f>
        <v>#REF!</v>
      </c>
      <c r="I460" s="105" t="e">
        <f t="shared" si="29"/>
        <v>#REF!</v>
      </c>
      <c r="J460" s="106" t="e">
        <f t="shared" si="30"/>
        <v>#REF!</v>
      </c>
      <c r="K460" s="107" t="e">
        <f t="shared" si="31"/>
        <v>#REF!</v>
      </c>
    </row>
    <row r="461" spans="1:11" ht="15" customHeight="1" x14ac:dyDescent="0.2">
      <c r="A461" s="104" t="s">
        <v>205</v>
      </c>
      <c r="B461" s="104" t="s">
        <v>210</v>
      </c>
      <c r="C461" s="104" t="s">
        <v>61</v>
      </c>
      <c r="D461" s="104">
        <v>2050</v>
      </c>
      <c r="E461" s="105" t="e">
        <f>SUMIFS(#REF!,#REF!,$A461,#REF!,$B461,#REF!,$C461,#REF!,"Storage Demand")</f>
        <v>#REF!</v>
      </c>
      <c r="F461" s="105" t="e">
        <f>SUMIFS(#REF!,#REF!,$A461,#REF!,$B461,#REF!,$C461,#REF!,"&lt;&gt;Other Sector Demand")</f>
        <v>#REF!</v>
      </c>
      <c r="G461" s="106" t="e">
        <f t="shared" si="28"/>
        <v>#REF!</v>
      </c>
      <c r="H461" s="105" t="e">
        <f>SUMIFS(#REF!,#REF!,$A461,#REF!,$B461,#REF!,$C461,#REF!,"Other Sector Demand")</f>
        <v>#REF!</v>
      </c>
      <c r="I461" s="105" t="e">
        <f t="shared" si="29"/>
        <v>#REF!</v>
      </c>
      <c r="J461" s="106" t="e">
        <f t="shared" si="30"/>
        <v>#REF!</v>
      </c>
      <c r="K461" s="107" t="e">
        <f t="shared" si="31"/>
        <v>#REF!</v>
      </c>
    </row>
    <row r="462" spans="1:11" ht="15" customHeight="1" x14ac:dyDescent="0.2">
      <c r="A462" s="104" t="s">
        <v>205</v>
      </c>
      <c r="B462" s="104" t="s">
        <v>210</v>
      </c>
      <c r="C462" s="104" t="s">
        <v>64</v>
      </c>
      <c r="D462" s="104">
        <v>2020</v>
      </c>
      <c r="E462" s="105" t="e">
        <f>SUMIFS(#REF!,#REF!,$A462,#REF!,$B462,#REF!,$C462,#REF!,"Storage Demand")</f>
        <v>#REF!</v>
      </c>
      <c r="F462" s="105" t="e">
        <f>SUMIFS(#REF!,#REF!,$A462,#REF!,$B462,#REF!,$C462,#REF!,"&lt;&gt;Other Sector Demand")</f>
        <v>#REF!</v>
      </c>
      <c r="G462" s="106" t="e">
        <f t="shared" si="28"/>
        <v>#REF!</v>
      </c>
      <c r="H462" s="105" t="e">
        <f>SUMIFS(#REF!,#REF!,$A462,#REF!,$B462,#REF!,$C462,#REF!,"Other Sector Demand")</f>
        <v>#REF!</v>
      </c>
      <c r="I462" s="105" t="e">
        <f t="shared" si="29"/>
        <v>#REF!</v>
      </c>
      <c r="J462" s="106" t="e">
        <f t="shared" si="30"/>
        <v>#REF!</v>
      </c>
      <c r="K462" s="107" t="e">
        <f t="shared" si="31"/>
        <v>#REF!</v>
      </c>
    </row>
    <row r="463" spans="1:11" ht="15" customHeight="1" x14ac:dyDescent="0.2">
      <c r="A463" s="104" t="s">
        <v>205</v>
      </c>
      <c r="B463" s="104" t="s">
        <v>210</v>
      </c>
      <c r="C463" s="104" t="s">
        <v>64</v>
      </c>
      <c r="D463" s="104">
        <v>2030</v>
      </c>
      <c r="E463" s="105" t="e">
        <f>SUMIFS(#REF!,#REF!,$A463,#REF!,$B463,#REF!,$C463,#REF!,"Storage Demand")</f>
        <v>#REF!</v>
      </c>
      <c r="F463" s="105" t="e">
        <f>SUMIFS(#REF!,#REF!,$A463,#REF!,$B463,#REF!,$C463,#REF!,"&lt;&gt;Other Sector Demand")</f>
        <v>#REF!</v>
      </c>
      <c r="G463" s="106" t="e">
        <f t="shared" si="28"/>
        <v>#REF!</v>
      </c>
      <c r="H463" s="105" t="e">
        <f>SUMIFS(#REF!,#REF!,$A463,#REF!,$B463,#REF!,$C463,#REF!,"Other Sector Demand")</f>
        <v>#REF!</v>
      </c>
      <c r="I463" s="105" t="e">
        <f t="shared" si="29"/>
        <v>#REF!</v>
      </c>
      <c r="J463" s="106" t="e">
        <f t="shared" si="30"/>
        <v>#REF!</v>
      </c>
      <c r="K463" s="107" t="e">
        <f t="shared" si="31"/>
        <v>#REF!</v>
      </c>
    </row>
    <row r="464" spans="1:11" ht="15" customHeight="1" x14ac:dyDescent="0.2">
      <c r="A464" s="104" t="s">
        <v>205</v>
      </c>
      <c r="B464" s="104" t="s">
        <v>210</v>
      </c>
      <c r="C464" s="104" t="s">
        <v>64</v>
      </c>
      <c r="D464" s="104">
        <v>2040</v>
      </c>
      <c r="E464" s="105" t="e">
        <f>SUMIFS(#REF!,#REF!,$A464,#REF!,$B464,#REF!,$C464,#REF!,"Storage Demand")</f>
        <v>#REF!</v>
      </c>
      <c r="F464" s="105" t="e">
        <f>SUMIFS(#REF!,#REF!,$A464,#REF!,$B464,#REF!,$C464,#REF!,"&lt;&gt;Other Sector Demand")</f>
        <v>#REF!</v>
      </c>
      <c r="G464" s="106" t="e">
        <f t="shared" si="28"/>
        <v>#REF!</v>
      </c>
      <c r="H464" s="105" t="e">
        <f>SUMIFS(#REF!,#REF!,$A464,#REF!,$B464,#REF!,$C464,#REF!,"Other Sector Demand")</f>
        <v>#REF!</v>
      </c>
      <c r="I464" s="105" t="e">
        <f t="shared" si="29"/>
        <v>#REF!</v>
      </c>
      <c r="J464" s="106" t="e">
        <f t="shared" si="30"/>
        <v>#REF!</v>
      </c>
      <c r="K464" s="107" t="e">
        <f t="shared" si="31"/>
        <v>#REF!</v>
      </c>
    </row>
    <row r="465" spans="1:11" ht="15" customHeight="1" x14ac:dyDescent="0.2">
      <c r="A465" s="104" t="s">
        <v>205</v>
      </c>
      <c r="B465" s="104" t="s">
        <v>210</v>
      </c>
      <c r="C465" s="104" t="s">
        <v>64</v>
      </c>
      <c r="D465" s="104">
        <v>2050</v>
      </c>
      <c r="E465" s="105" t="e">
        <f>SUMIFS(#REF!,#REF!,$A465,#REF!,$B465,#REF!,$C465,#REF!,"Storage Demand")</f>
        <v>#REF!</v>
      </c>
      <c r="F465" s="105" t="e">
        <f>SUMIFS(#REF!,#REF!,$A465,#REF!,$B465,#REF!,$C465,#REF!,"&lt;&gt;Other Sector Demand")</f>
        <v>#REF!</v>
      </c>
      <c r="G465" s="106" t="e">
        <f t="shared" si="28"/>
        <v>#REF!</v>
      </c>
      <c r="H465" s="105" t="e">
        <f>SUMIFS(#REF!,#REF!,$A465,#REF!,$B465,#REF!,$C465,#REF!,"Other Sector Demand")</f>
        <v>#REF!</v>
      </c>
      <c r="I465" s="105" t="e">
        <f t="shared" si="29"/>
        <v>#REF!</v>
      </c>
      <c r="J465" s="106" t="e">
        <f t="shared" si="30"/>
        <v>#REF!</v>
      </c>
      <c r="K465" s="107" t="e">
        <f t="shared" si="31"/>
        <v>#REF!</v>
      </c>
    </row>
    <row r="466" spans="1:11" ht="15" customHeight="1" x14ac:dyDescent="0.2">
      <c r="A466" s="104" t="s">
        <v>205</v>
      </c>
      <c r="B466" s="104" t="s">
        <v>210</v>
      </c>
      <c r="C466" s="104" t="s">
        <v>66</v>
      </c>
      <c r="D466" s="104">
        <v>2020</v>
      </c>
      <c r="E466" s="105" t="e">
        <f>SUMIFS(#REF!,#REF!,$A466,#REF!,$B466,#REF!,$C466,#REF!,"Storage Demand")</f>
        <v>#REF!</v>
      </c>
      <c r="F466" s="105" t="e">
        <f>SUMIFS(#REF!,#REF!,$A466,#REF!,$B466,#REF!,$C466,#REF!,"&lt;&gt;Other Sector Demand")</f>
        <v>#REF!</v>
      </c>
      <c r="G466" s="106" t="e">
        <f t="shared" si="28"/>
        <v>#REF!</v>
      </c>
      <c r="H466" s="105" t="e">
        <f>SUMIFS(#REF!,#REF!,$A466,#REF!,$B466,#REF!,$C466,#REF!,"Other Sector Demand")</f>
        <v>#REF!</v>
      </c>
      <c r="I466" s="105" t="e">
        <f t="shared" si="29"/>
        <v>#REF!</v>
      </c>
      <c r="J466" s="106" t="e">
        <f t="shared" si="30"/>
        <v>#REF!</v>
      </c>
      <c r="K466" s="107" t="e">
        <f t="shared" si="31"/>
        <v>#REF!</v>
      </c>
    </row>
    <row r="467" spans="1:11" ht="15" customHeight="1" x14ac:dyDescent="0.2">
      <c r="A467" s="104" t="s">
        <v>205</v>
      </c>
      <c r="B467" s="104" t="s">
        <v>210</v>
      </c>
      <c r="C467" s="104" t="s">
        <v>66</v>
      </c>
      <c r="D467" s="104">
        <v>2030</v>
      </c>
      <c r="E467" s="105" t="e">
        <f>SUMIFS(#REF!,#REF!,$A467,#REF!,$B467,#REF!,$C467,#REF!,"Storage Demand")</f>
        <v>#REF!</v>
      </c>
      <c r="F467" s="105" t="e">
        <f>SUMIFS(#REF!,#REF!,$A467,#REF!,$B467,#REF!,$C467,#REF!,"&lt;&gt;Other Sector Demand")</f>
        <v>#REF!</v>
      </c>
      <c r="G467" s="106" t="e">
        <f t="shared" si="28"/>
        <v>#REF!</v>
      </c>
      <c r="H467" s="105" t="e">
        <f>SUMIFS(#REF!,#REF!,$A467,#REF!,$B467,#REF!,$C467,#REF!,"Other Sector Demand")</f>
        <v>#REF!</v>
      </c>
      <c r="I467" s="105" t="e">
        <f t="shared" si="29"/>
        <v>#REF!</v>
      </c>
      <c r="J467" s="106" t="e">
        <f t="shared" si="30"/>
        <v>#REF!</v>
      </c>
      <c r="K467" s="107" t="e">
        <f t="shared" si="31"/>
        <v>#REF!</v>
      </c>
    </row>
    <row r="468" spans="1:11" ht="15" customHeight="1" x14ac:dyDescent="0.2">
      <c r="A468" s="104" t="s">
        <v>205</v>
      </c>
      <c r="B468" s="104" t="s">
        <v>210</v>
      </c>
      <c r="C468" s="104" t="s">
        <v>66</v>
      </c>
      <c r="D468" s="104">
        <v>2040</v>
      </c>
      <c r="E468" s="105" t="e">
        <f>SUMIFS(#REF!,#REF!,$A468,#REF!,$B468,#REF!,$C468,#REF!,"Storage Demand")</f>
        <v>#REF!</v>
      </c>
      <c r="F468" s="105" t="e">
        <f>SUMIFS(#REF!,#REF!,$A468,#REF!,$B468,#REF!,$C468,#REF!,"&lt;&gt;Other Sector Demand")</f>
        <v>#REF!</v>
      </c>
      <c r="G468" s="106" t="e">
        <f t="shared" si="28"/>
        <v>#REF!</v>
      </c>
      <c r="H468" s="105" t="e">
        <f>SUMIFS(#REF!,#REF!,$A468,#REF!,$B468,#REF!,$C468,#REF!,"Other Sector Demand")</f>
        <v>#REF!</v>
      </c>
      <c r="I468" s="105" t="e">
        <f t="shared" si="29"/>
        <v>#REF!</v>
      </c>
      <c r="J468" s="106" t="e">
        <f t="shared" si="30"/>
        <v>#REF!</v>
      </c>
      <c r="K468" s="107" t="e">
        <f t="shared" si="31"/>
        <v>#REF!</v>
      </c>
    </row>
    <row r="469" spans="1:11" ht="15" customHeight="1" x14ac:dyDescent="0.2">
      <c r="A469" s="104" t="s">
        <v>205</v>
      </c>
      <c r="B469" s="104" t="s">
        <v>210</v>
      </c>
      <c r="C469" s="104" t="s">
        <v>66</v>
      </c>
      <c r="D469" s="104">
        <v>2050</v>
      </c>
      <c r="E469" s="105" t="e">
        <f>SUMIFS(#REF!,#REF!,$A469,#REF!,$B469,#REF!,$C469,#REF!,"Storage Demand")</f>
        <v>#REF!</v>
      </c>
      <c r="F469" s="105" t="e">
        <f>SUMIFS(#REF!,#REF!,$A469,#REF!,$B469,#REF!,$C469,#REF!,"&lt;&gt;Other Sector Demand")</f>
        <v>#REF!</v>
      </c>
      <c r="G469" s="106" t="e">
        <f t="shared" si="28"/>
        <v>#REF!</v>
      </c>
      <c r="H469" s="105" t="e">
        <f>SUMIFS(#REF!,#REF!,$A469,#REF!,$B469,#REF!,$C469,#REF!,"Other Sector Demand")</f>
        <v>#REF!</v>
      </c>
      <c r="I469" s="105" t="e">
        <f t="shared" si="29"/>
        <v>#REF!</v>
      </c>
      <c r="J469" s="106" t="e">
        <f t="shared" si="30"/>
        <v>#REF!</v>
      </c>
      <c r="K469" s="107" t="e">
        <f t="shared" si="31"/>
        <v>#REF!</v>
      </c>
    </row>
    <row r="470" spans="1:11" ht="15" customHeight="1" x14ac:dyDescent="0.2">
      <c r="A470" s="104" t="s">
        <v>205</v>
      </c>
      <c r="B470" s="104" t="s">
        <v>210</v>
      </c>
      <c r="C470" s="104" t="s">
        <v>67</v>
      </c>
      <c r="D470" s="104">
        <v>2020</v>
      </c>
      <c r="E470" s="105" t="e">
        <f>SUMIFS(#REF!,#REF!,$A470,#REF!,$B470,#REF!,$C470,#REF!,"Storage Demand")</f>
        <v>#REF!</v>
      </c>
      <c r="F470" s="105" t="e">
        <f>SUMIFS(#REF!,#REF!,$A470,#REF!,$B470,#REF!,$C470,#REF!,"&lt;&gt;Other Sector Demand")</f>
        <v>#REF!</v>
      </c>
      <c r="G470" s="106" t="e">
        <f t="shared" si="28"/>
        <v>#REF!</v>
      </c>
      <c r="H470" s="105" t="e">
        <f>SUMIFS(#REF!,#REF!,$A470,#REF!,$B470,#REF!,$C470,#REF!,"Other Sector Demand")</f>
        <v>#REF!</v>
      </c>
      <c r="I470" s="105" t="e">
        <f t="shared" si="29"/>
        <v>#REF!</v>
      </c>
      <c r="J470" s="106" t="e">
        <f t="shared" si="30"/>
        <v>#REF!</v>
      </c>
      <c r="K470" s="107" t="e">
        <f t="shared" si="31"/>
        <v>#REF!</v>
      </c>
    </row>
    <row r="471" spans="1:11" ht="15" customHeight="1" x14ac:dyDescent="0.2">
      <c r="A471" s="104" t="s">
        <v>205</v>
      </c>
      <c r="B471" s="104" t="s">
        <v>210</v>
      </c>
      <c r="C471" s="104" t="s">
        <v>67</v>
      </c>
      <c r="D471" s="104">
        <v>2030</v>
      </c>
      <c r="E471" s="105" t="e">
        <f>SUMIFS(#REF!,#REF!,$A471,#REF!,$B471,#REF!,$C471,#REF!,"Storage Demand")</f>
        <v>#REF!</v>
      </c>
      <c r="F471" s="105" t="e">
        <f>SUMIFS(#REF!,#REF!,$A471,#REF!,$B471,#REF!,$C471,#REF!,"&lt;&gt;Other Sector Demand")</f>
        <v>#REF!</v>
      </c>
      <c r="G471" s="106" t="e">
        <f t="shared" si="28"/>
        <v>#REF!</v>
      </c>
      <c r="H471" s="105" t="e">
        <f>SUMIFS(#REF!,#REF!,$A471,#REF!,$B471,#REF!,$C471,#REF!,"Other Sector Demand")</f>
        <v>#REF!</v>
      </c>
      <c r="I471" s="105" t="e">
        <f t="shared" si="29"/>
        <v>#REF!</v>
      </c>
      <c r="J471" s="106" t="e">
        <f t="shared" si="30"/>
        <v>#REF!</v>
      </c>
      <c r="K471" s="107" t="e">
        <f t="shared" si="31"/>
        <v>#REF!</v>
      </c>
    </row>
    <row r="472" spans="1:11" ht="15" customHeight="1" x14ac:dyDescent="0.2">
      <c r="A472" s="104" t="s">
        <v>205</v>
      </c>
      <c r="B472" s="104" t="s">
        <v>210</v>
      </c>
      <c r="C472" s="104" t="s">
        <v>67</v>
      </c>
      <c r="D472" s="104">
        <v>2040</v>
      </c>
      <c r="E472" s="105" t="e">
        <f>SUMIFS(#REF!,#REF!,$A472,#REF!,$B472,#REF!,$C472,#REF!,"Storage Demand")</f>
        <v>#REF!</v>
      </c>
      <c r="F472" s="105" t="e">
        <f>SUMIFS(#REF!,#REF!,$A472,#REF!,$B472,#REF!,$C472,#REF!,"&lt;&gt;Other Sector Demand")</f>
        <v>#REF!</v>
      </c>
      <c r="G472" s="106" t="e">
        <f t="shared" si="28"/>
        <v>#REF!</v>
      </c>
      <c r="H472" s="105" t="e">
        <f>SUMIFS(#REF!,#REF!,$A472,#REF!,$B472,#REF!,$C472,#REF!,"Other Sector Demand")</f>
        <v>#REF!</v>
      </c>
      <c r="I472" s="105" t="e">
        <f t="shared" si="29"/>
        <v>#REF!</v>
      </c>
      <c r="J472" s="106" t="e">
        <f t="shared" si="30"/>
        <v>#REF!</v>
      </c>
      <c r="K472" s="107" t="e">
        <f t="shared" si="31"/>
        <v>#REF!</v>
      </c>
    </row>
    <row r="473" spans="1:11" ht="15" customHeight="1" x14ac:dyDescent="0.2">
      <c r="A473" s="104" t="s">
        <v>205</v>
      </c>
      <c r="B473" s="104" t="s">
        <v>210</v>
      </c>
      <c r="C473" s="104" t="s">
        <v>67</v>
      </c>
      <c r="D473" s="104">
        <v>2050</v>
      </c>
      <c r="E473" s="105" t="e">
        <f>SUMIFS(#REF!,#REF!,$A473,#REF!,$B473,#REF!,$C473,#REF!,"Storage Demand")</f>
        <v>#REF!</v>
      </c>
      <c r="F473" s="105" t="e">
        <f>SUMIFS(#REF!,#REF!,$A473,#REF!,$B473,#REF!,$C473,#REF!,"&lt;&gt;Other Sector Demand")</f>
        <v>#REF!</v>
      </c>
      <c r="G473" s="106" t="e">
        <f t="shared" si="28"/>
        <v>#REF!</v>
      </c>
      <c r="H473" s="105" t="e">
        <f>SUMIFS(#REF!,#REF!,$A473,#REF!,$B473,#REF!,$C473,#REF!,"Other Sector Demand")</f>
        <v>#REF!</v>
      </c>
      <c r="I473" s="105" t="e">
        <f t="shared" si="29"/>
        <v>#REF!</v>
      </c>
      <c r="J473" s="106" t="e">
        <f t="shared" si="30"/>
        <v>#REF!</v>
      </c>
      <c r="K473" s="107" t="e">
        <f t="shared" si="31"/>
        <v>#REF!</v>
      </c>
    </row>
    <row r="474" spans="1:11" ht="15" customHeight="1" x14ac:dyDescent="0.2">
      <c r="A474" s="104" t="s">
        <v>205</v>
      </c>
      <c r="B474" s="104" t="s">
        <v>210</v>
      </c>
      <c r="C474" s="104" t="s">
        <v>68</v>
      </c>
      <c r="D474" s="104">
        <v>2020</v>
      </c>
      <c r="E474" s="105" t="e">
        <f>SUMIFS(#REF!,#REF!,$A474,#REF!,$B474,#REF!,$C474,#REF!,"Storage Demand")</f>
        <v>#REF!</v>
      </c>
      <c r="F474" s="105" t="e">
        <f>SUMIFS(#REF!,#REF!,$A474,#REF!,$B474,#REF!,$C474,#REF!,"&lt;&gt;Other Sector Demand")</f>
        <v>#REF!</v>
      </c>
      <c r="G474" s="106" t="e">
        <f t="shared" si="28"/>
        <v>#REF!</v>
      </c>
      <c r="H474" s="105" t="e">
        <f>SUMIFS(#REF!,#REF!,$A474,#REF!,$B474,#REF!,$C474,#REF!,"Other Sector Demand")</f>
        <v>#REF!</v>
      </c>
      <c r="I474" s="105" t="e">
        <f t="shared" si="29"/>
        <v>#REF!</v>
      </c>
      <c r="J474" s="106" t="e">
        <f t="shared" si="30"/>
        <v>#REF!</v>
      </c>
      <c r="K474" s="107" t="e">
        <f t="shared" si="31"/>
        <v>#REF!</v>
      </c>
    </row>
    <row r="475" spans="1:11" ht="15" customHeight="1" x14ac:dyDescent="0.2">
      <c r="A475" s="104" t="s">
        <v>205</v>
      </c>
      <c r="B475" s="104" t="s">
        <v>210</v>
      </c>
      <c r="C475" s="104" t="s">
        <v>68</v>
      </c>
      <c r="D475" s="104">
        <v>2030</v>
      </c>
      <c r="E475" s="105" t="e">
        <f>SUMIFS(#REF!,#REF!,$A475,#REF!,$B475,#REF!,$C475,#REF!,"Storage Demand")</f>
        <v>#REF!</v>
      </c>
      <c r="F475" s="105" t="e">
        <f>SUMIFS(#REF!,#REF!,$A475,#REF!,$B475,#REF!,$C475,#REF!,"&lt;&gt;Other Sector Demand")</f>
        <v>#REF!</v>
      </c>
      <c r="G475" s="106" t="e">
        <f t="shared" si="28"/>
        <v>#REF!</v>
      </c>
      <c r="H475" s="105" t="e">
        <f>SUMIFS(#REF!,#REF!,$A475,#REF!,$B475,#REF!,$C475,#REF!,"Other Sector Demand")</f>
        <v>#REF!</v>
      </c>
      <c r="I475" s="105" t="e">
        <f t="shared" si="29"/>
        <v>#REF!</v>
      </c>
      <c r="J475" s="106" t="e">
        <f t="shared" si="30"/>
        <v>#REF!</v>
      </c>
      <c r="K475" s="107" t="e">
        <f t="shared" si="31"/>
        <v>#REF!</v>
      </c>
    </row>
    <row r="476" spans="1:11" ht="15" customHeight="1" x14ac:dyDescent="0.2">
      <c r="A476" s="104" t="s">
        <v>205</v>
      </c>
      <c r="B476" s="104" t="s">
        <v>210</v>
      </c>
      <c r="C476" s="104" t="s">
        <v>68</v>
      </c>
      <c r="D476" s="104">
        <v>2040</v>
      </c>
      <c r="E476" s="105" t="e">
        <f>SUMIFS(#REF!,#REF!,$A476,#REF!,$B476,#REF!,$C476,#REF!,"Storage Demand")</f>
        <v>#REF!</v>
      </c>
      <c r="F476" s="105" t="e">
        <f>SUMIFS(#REF!,#REF!,$A476,#REF!,$B476,#REF!,$C476,#REF!,"&lt;&gt;Other Sector Demand")</f>
        <v>#REF!</v>
      </c>
      <c r="G476" s="106" t="e">
        <f t="shared" si="28"/>
        <v>#REF!</v>
      </c>
      <c r="H476" s="105" t="e">
        <f>SUMIFS(#REF!,#REF!,$A476,#REF!,$B476,#REF!,$C476,#REF!,"Other Sector Demand")</f>
        <v>#REF!</v>
      </c>
      <c r="I476" s="105" t="e">
        <f t="shared" si="29"/>
        <v>#REF!</v>
      </c>
      <c r="J476" s="106" t="e">
        <f t="shared" si="30"/>
        <v>#REF!</v>
      </c>
      <c r="K476" s="107" t="e">
        <f t="shared" si="31"/>
        <v>#REF!</v>
      </c>
    </row>
    <row r="477" spans="1:11" ht="15" customHeight="1" x14ac:dyDescent="0.2">
      <c r="A477" s="104" t="s">
        <v>205</v>
      </c>
      <c r="B477" s="104" t="s">
        <v>210</v>
      </c>
      <c r="C477" s="104" t="s">
        <v>68</v>
      </c>
      <c r="D477" s="104">
        <v>2050</v>
      </c>
      <c r="E477" s="105" t="e">
        <f>SUMIFS(#REF!,#REF!,$A477,#REF!,$B477,#REF!,$C477,#REF!,"Storage Demand")</f>
        <v>#REF!</v>
      </c>
      <c r="F477" s="105" t="e">
        <f>SUMIFS(#REF!,#REF!,$A477,#REF!,$B477,#REF!,$C477,#REF!,"&lt;&gt;Other Sector Demand")</f>
        <v>#REF!</v>
      </c>
      <c r="G477" s="106" t="e">
        <f t="shared" si="28"/>
        <v>#REF!</v>
      </c>
      <c r="H477" s="105" t="e">
        <f>SUMIFS(#REF!,#REF!,$A477,#REF!,$B477,#REF!,$C477,#REF!,"Other Sector Demand")</f>
        <v>#REF!</v>
      </c>
      <c r="I477" s="105" t="e">
        <f t="shared" si="29"/>
        <v>#REF!</v>
      </c>
      <c r="J477" s="106" t="e">
        <f t="shared" si="30"/>
        <v>#REF!</v>
      </c>
      <c r="K477" s="107" t="e">
        <f t="shared" si="31"/>
        <v>#REF!</v>
      </c>
    </row>
    <row r="478" spans="1:11" ht="15" customHeight="1" x14ac:dyDescent="0.2">
      <c r="A478" s="104" t="s">
        <v>205</v>
      </c>
      <c r="B478" s="104" t="s">
        <v>210</v>
      </c>
      <c r="C478" s="104" t="s">
        <v>69</v>
      </c>
      <c r="D478" s="104">
        <v>2020</v>
      </c>
      <c r="E478" s="105" t="e">
        <f>SUMIFS(#REF!,#REF!,$A478,#REF!,$B478,#REF!,$C478,#REF!,"Storage Demand")</f>
        <v>#REF!</v>
      </c>
      <c r="F478" s="105" t="e">
        <f>SUMIFS(#REF!,#REF!,$A478,#REF!,$B478,#REF!,$C478,#REF!,"&lt;&gt;Other Sector Demand")</f>
        <v>#REF!</v>
      </c>
      <c r="G478" s="106" t="e">
        <f t="shared" si="28"/>
        <v>#REF!</v>
      </c>
      <c r="H478" s="105" t="e">
        <f>SUMIFS(#REF!,#REF!,$A478,#REF!,$B478,#REF!,$C478,#REF!,"Other Sector Demand")</f>
        <v>#REF!</v>
      </c>
      <c r="I478" s="105" t="e">
        <f t="shared" si="29"/>
        <v>#REF!</v>
      </c>
      <c r="J478" s="106" t="e">
        <f t="shared" si="30"/>
        <v>#REF!</v>
      </c>
      <c r="K478" s="107" t="e">
        <f t="shared" si="31"/>
        <v>#REF!</v>
      </c>
    </row>
    <row r="479" spans="1:11" ht="15" customHeight="1" x14ac:dyDescent="0.2">
      <c r="A479" s="104" t="s">
        <v>205</v>
      </c>
      <c r="B479" s="104" t="s">
        <v>210</v>
      </c>
      <c r="C479" s="104" t="s">
        <v>69</v>
      </c>
      <c r="D479" s="104">
        <v>2030</v>
      </c>
      <c r="E479" s="105" t="e">
        <f>SUMIFS(#REF!,#REF!,$A479,#REF!,$B479,#REF!,$C479,#REF!,"Storage Demand")</f>
        <v>#REF!</v>
      </c>
      <c r="F479" s="105" t="e">
        <f>SUMIFS(#REF!,#REF!,$A479,#REF!,$B479,#REF!,$C479,#REF!,"&lt;&gt;Other Sector Demand")</f>
        <v>#REF!</v>
      </c>
      <c r="G479" s="106" t="e">
        <f t="shared" si="28"/>
        <v>#REF!</v>
      </c>
      <c r="H479" s="105" t="e">
        <f>SUMIFS(#REF!,#REF!,$A479,#REF!,$B479,#REF!,$C479,#REF!,"Other Sector Demand")</f>
        <v>#REF!</v>
      </c>
      <c r="I479" s="105" t="e">
        <f t="shared" si="29"/>
        <v>#REF!</v>
      </c>
      <c r="J479" s="106" t="e">
        <f t="shared" si="30"/>
        <v>#REF!</v>
      </c>
      <c r="K479" s="107" t="e">
        <f t="shared" si="31"/>
        <v>#REF!</v>
      </c>
    </row>
    <row r="480" spans="1:11" ht="15" customHeight="1" x14ac:dyDescent="0.2">
      <c r="A480" s="104" t="s">
        <v>205</v>
      </c>
      <c r="B480" s="104" t="s">
        <v>210</v>
      </c>
      <c r="C480" s="104" t="s">
        <v>69</v>
      </c>
      <c r="D480" s="104">
        <v>2040</v>
      </c>
      <c r="E480" s="105" t="e">
        <f>SUMIFS(#REF!,#REF!,$A480,#REF!,$B480,#REF!,$C480,#REF!,"Storage Demand")</f>
        <v>#REF!</v>
      </c>
      <c r="F480" s="105" t="e">
        <f>SUMIFS(#REF!,#REF!,$A480,#REF!,$B480,#REF!,$C480,#REF!,"&lt;&gt;Other Sector Demand")</f>
        <v>#REF!</v>
      </c>
      <c r="G480" s="106" t="e">
        <f t="shared" si="28"/>
        <v>#REF!</v>
      </c>
      <c r="H480" s="105" t="e">
        <f>SUMIFS(#REF!,#REF!,$A480,#REF!,$B480,#REF!,$C480,#REF!,"Other Sector Demand")</f>
        <v>#REF!</v>
      </c>
      <c r="I480" s="105" t="e">
        <f t="shared" si="29"/>
        <v>#REF!</v>
      </c>
      <c r="J480" s="106" t="e">
        <f t="shared" si="30"/>
        <v>#REF!</v>
      </c>
      <c r="K480" s="107" t="e">
        <f t="shared" si="31"/>
        <v>#REF!</v>
      </c>
    </row>
    <row r="481" spans="1:11" ht="15" customHeight="1" x14ac:dyDescent="0.2">
      <c r="A481" s="104" t="s">
        <v>205</v>
      </c>
      <c r="B481" s="104" t="s">
        <v>210</v>
      </c>
      <c r="C481" s="104" t="s">
        <v>69</v>
      </c>
      <c r="D481" s="104">
        <v>2050</v>
      </c>
      <c r="E481" s="105" t="e">
        <f>SUMIFS(#REF!,#REF!,$A481,#REF!,$B481,#REF!,$C481,#REF!,"Storage Demand")</f>
        <v>#REF!</v>
      </c>
      <c r="F481" s="105" t="e">
        <f>SUMIFS(#REF!,#REF!,$A481,#REF!,$B481,#REF!,$C481,#REF!,"&lt;&gt;Other Sector Demand")</f>
        <v>#REF!</v>
      </c>
      <c r="G481" s="106" t="e">
        <f t="shared" si="28"/>
        <v>#REF!</v>
      </c>
      <c r="H481" s="105" t="e">
        <f>SUMIFS(#REF!,#REF!,$A481,#REF!,$B481,#REF!,$C481,#REF!,"Other Sector Demand")</f>
        <v>#REF!</v>
      </c>
      <c r="I481" s="105" t="e">
        <f t="shared" si="29"/>
        <v>#REF!</v>
      </c>
      <c r="J481" s="106" t="e">
        <f t="shared" si="30"/>
        <v>#REF!</v>
      </c>
      <c r="K481" s="107" t="e">
        <f t="shared" si="31"/>
        <v>#REF!</v>
      </c>
    </row>
    <row r="482" spans="1:11" ht="15" customHeight="1" x14ac:dyDescent="0.2">
      <c r="A482" s="104" t="s">
        <v>205</v>
      </c>
      <c r="B482" s="104" t="s">
        <v>210</v>
      </c>
      <c r="C482" s="104" t="s">
        <v>70</v>
      </c>
      <c r="D482" s="104">
        <v>2020</v>
      </c>
      <c r="E482" s="105" t="e">
        <f>SUMIFS(#REF!,#REF!,$A482,#REF!,$B482,#REF!,$C482,#REF!,"Storage Demand")</f>
        <v>#REF!</v>
      </c>
      <c r="F482" s="105" t="e">
        <f>SUMIFS(#REF!,#REF!,$A482,#REF!,$B482,#REF!,$C482,#REF!,"&lt;&gt;Other Sector Demand")</f>
        <v>#REF!</v>
      </c>
      <c r="G482" s="106" t="e">
        <f t="shared" si="28"/>
        <v>#REF!</v>
      </c>
      <c r="H482" s="105" t="e">
        <f>SUMIFS(#REF!,#REF!,$A482,#REF!,$B482,#REF!,$C482,#REF!,"Other Sector Demand")</f>
        <v>#REF!</v>
      </c>
      <c r="I482" s="105" t="e">
        <f t="shared" si="29"/>
        <v>#REF!</v>
      </c>
      <c r="J482" s="106" t="e">
        <f t="shared" si="30"/>
        <v>#REF!</v>
      </c>
      <c r="K482" s="107" t="e">
        <f t="shared" si="31"/>
        <v>#REF!</v>
      </c>
    </row>
    <row r="483" spans="1:11" ht="15" customHeight="1" x14ac:dyDescent="0.2">
      <c r="A483" s="104" t="s">
        <v>205</v>
      </c>
      <c r="B483" s="104" t="s">
        <v>210</v>
      </c>
      <c r="C483" s="104" t="s">
        <v>70</v>
      </c>
      <c r="D483" s="104">
        <v>2030</v>
      </c>
      <c r="E483" s="105" t="e">
        <f>SUMIFS(#REF!,#REF!,$A483,#REF!,$B483,#REF!,$C483,#REF!,"Storage Demand")</f>
        <v>#REF!</v>
      </c>
      <c r="F483" s="105" t="e">
        <f>SUMIFS(#REF!,#REF!,$A483,#REF!,$B483,#REF!,$C483,#REF!,"&lt;&gt;Other Sector Demand")</f>
        <v>#REF!</v>
      </c>
      <c r="G483" s="106" t="e">
        <f t="shared" si="28"/>
        <v>#REF!</v>
      </c>
      <c r="H483" s="105" t="e">
        <f>SUMIFS(#REF!,#REF!,$A483,#REF!,$B483,#REF!,$C483,#REF!,"Other Sector Demand")</f>
        <v>#REF!</v>
      </c>
      <c r="I483" s="105" t="e">
        <f t="shared" si="29"/>
        <v>#REF!</v>
      </c>
      <c r="J483" s="106" t="e">
        <f t="shared" si="30"/>
        <v>#REF!</v>
      </c>
      <c r="K483" s="107" t="e">
        <f t="shared" si="31"/>
        <v>#REF!</v>
      </c>
    </row>
    <row r="484" spans="1:11" ht="15" customHeight="1" x14ac:dyDescent="0.2">
      <c r="A484" s="104" t="s">
        <v>205</v>
      </c>
      <c r="B484" s="104" t="s">
        <v>210</v>
      </c>
      <c r="C484" s="104" t="s">
        <v>70</v>
      </c>
      <c r="D484" s="104">
        <v>2040</v>
      </c>
      <c r="E484" s="105" t="e">
        <f>SUMIFS(#REF!,#REF!,$A484,#REF!,$B484,#REF!,$C484,#REF!,"Storage Demand")</f>
        <v>#REF!</v>
      </c>
      <c r="F484" s="105" t="e">
        <f>SUMIFS(#REF!,#REF!,$A484,#REF!,$B484,#REF!,$C484,#REF!,"&lt;&gt;Other Sector Demand")</f>
        <v>#REF!</v>
      </c>
      <c r="G484" s="106" t="e">
        <f t="shared" si="28"/>
        <v>#REF!</v>
      </c>
      <c r="H484" s="105" t="e">
        <f>SUMIFS(#REF!,#REF!,$A484,#REF!,$B484,#REF!,$C484,#REF!,"Other Sector Demand")</f>
        <v>#REF!</v>
      </c>
      <c r="I484" s="105" t="e">
        <f t="shared" si="29"/>
        <v>#REF!</v>
      </c>
      <c r="J484" s="106" t="e">
        <f t="shared" si="30"/>
        <v>#REF!</v>
      </c>
      <c r="K484" s="107" t="e">
        <f t="shared" si="31"/>
        <v>#REF!</v>
      </c>
    </row>
    <row r="485" spans="1:11" ht="15" customHeight="1" x14ac:dyDescent="0.2">
      <c r="A485" s="104" t="s">
        <v>205</v>
      </c>
      <c r="B485" s="104" t="s">
        <v>210</v>
      </c>
      <c r="C485" s="104" t="s">
        <v>70</v>
      </c>
      <c r="D485" s="104">
        <v>2050</v>
      </c>
      <c r="E485" s="105" t="e">
        <f>SUMIFS(#REF!,#REF!,$A485,#REF!,$B485,#REF!,$C485,#REF!,"Storage Demand")</f>
        <v>#REF!</v>
      </c>
      <c r="F485" s="105" t="e">
        <f>SUMIFS(#REF!,#REF!,$A485,#REF!,$B485,#REF!,$C485,#REF!,"&lt;&gt;Other Sector Demand")</f>
        <v>#REF!</v>
      </c>
      <c r="G485" s="106" t="e">
        <f t="shared" si="28"/>
        <v>#REF!</v>
      </c>
      <c r="H485" s="105" t="e">
        <f>SUMIFS(#REF!,#REF!,$A485,#REF!,$B485,#REF!,$C485,#REF!,"Other Sector Demand")</f>
        <v>#REF!</v>
      </c>
      <c r="I485" s="105" t="e">
        <f t="shared" si="29"/>
        <v>#REF!</v>
      </c>
      <c r="J485" s="106" t="e">
        <f t="shared" si="30"/>
        <v>#REF!</v>
      </c>
      <c r="K485" s="107" t="e">
        <f t="shared" si="31"/>
        <v>#REF!</v>
      </c>
    </row>
    <row r="486" spans="1:11" ht="15" customHeight="1" x14ac:dyDescent="0.2">
      <c r="A486" s="104" t="s">
        <v>205</v>
      </c>
      <c r="B486" s="104" t="s">
        <v>210</v>
      </c>
      <c r="C486" s="104" t="s">
        <v>71</v>
      </c>
      <c r="D486" s="104">
        <v>2020</v>
      </c>
      <c r="E486" s="105" t="e">
        <f>SUMIFS(#REF!,#REF!,$A486,#REF!,$B486,#REF!,$C486,#REF!,"Storage Demand")</f>
        <v>#REF!</v>
      </c>
      <c r="F486" s="105" t="e">
        <f>SUMIFS(#REF!,#REF!,$A486,#REF!,$B486,#REF!,$C486,#REF!,"&lt;&gt;Other Sector Demand")</f>
        <v>#REF!</v>
      </c>
      <c r="G486" s="106" t="e">
        <f t="shared" si="28"/>
        <v>#REF!</v>
      </c>
      <c r="H486" s="105" t="e">
        <f>SUMIFS(#REF!,#REF!,$A486,#REF!,$B486,#REF!,$C486,#REF!,"Other Sector Demand")</f>
        <v>#REF!</v>
      </c>
      <c r="I486" s="105" t="e">
        <f t="shared" si="29"/>
        <v>#REF!</v>
      </c>
      <c r="J486" s="106" t="e">
        <f t="shared" si="30"/>
        <v>#REF!</v>
      </c>
      <c r="K486" s="107" t="e">
        <f t="shared" si="31"/>
        <v>#REF!</v>
      </c>
    </row>
    <row r="487" spans="1:11" ht="15" customHeight="1" x14ac:dyDescent="0.2">
      <c r="A487" s="104" t="s">
        <v>205</v>
      </c>
      <c r="B487" s="104" t="s">
        <v>210</v>
      </c>
      <c r="C487" s="104" t="s">
        <v>71</v>
      </c>
      <c r="D487" s="104">
        <v>2030</v>
      </c>
      <c r="E487" s="105" t="e">
        <f>SUMIFS(#REF!,#REF!,$A487,#REF!,$B487,#REF!,$C487,#REF!,"Storage Demand")</f>
        <v>#REF!</v>
      </c>
      <c r="F487" s="105" t="e">
        <f>SUMIFS(#REF!,#REF!,$A487,#REF!,$B487,#REF!,$C487,#REF!,"&lt;&gt;Other Sector Demand")</f>
        <v>#REF!</v>
      </c>
      <c r="G487" s="106" t="e">
        <f t="shared" si="28"/>
        <v>#REF!</v>
      </c>
      <c r="H487" s="105" t="e">
        <f>SUMIFS(#REF!,#REF!,$A487,#REF!,$B487,#REF!,$C487,#REF!,"Other Sector Demand")</f>
        <v>#REF!</v>
      </c>
      <c r="I487" s="105" t="e">
        <f t="shared" si="29"/>
        <v>#REF!</v>
      </c>
      <c r="J487" s="106" t="e">
        <f t="shared" si="30"/>
        <v>#REF!</v>
      </c>
      <c r="K487" s="107" t="e">
        <f t="shared" si="31"/>
        <v>#REF!</v>
      </c>
    </row>
    <row r="488" spans="1:11" ht="15" customHeight="1" x14ac:dyDescent="0.2">
      <c r="A488" s="104" t="s">
        <v>205</v>
      </c>
      <c r="B488" s="104" t="s">
        <v>210</v>
      </c>
      <c r="C488" s="104" t="s">
        <v>71</v>
      </c>
      <c r="D488" s="104">
        <v>2040</v>
      </c>
      <c r="E488" s="105" t="e">
        <f>SUMIFS(#REF!,#REF!,$A488,#REF!,$B488,#REF!,$C488,#REF!,"Storage Demand")</f>
        <v>#REF!</v>
      </c>
      <c r="F488" s="105" t="e">
        <f>SUMIFS(#REF!,#REF!,$A488,#REF!,$B488,#REF!,$C488,#REF!,"&lt;&gt;Other Sector Demand")</f>
        <v>#REF!</v>
      </c>
      <c r="G488" s="106" t="e">
        <f t="shared" si="28"/>
        <v>#REF!</v>
      </c>
      <c r="H488" s="105" t="e">
        <f>SUMIFS(#REF!,#REF!,$A488,#REF!,$B488,#REF!,$C488,#REF!,"Other Sector Demand")</f>
        <v>#REF!</v>
      </c>
      <c r="I488" s="105" t="e">
        <f t="shared" si="29"/>
        <v>#REF!</v>
      </c>
      <c r="J488" s="106" t="e">
        <f t="shared" si="30"/>
        <v>#REF!</v>
      </c>
      <c r="K488" s="107" t="e">
        <f t="shared" si="31"/>
        <v>#REF!</v>
      </c>
    </row>
    <row r="489" spans="1:11" ht="15" customHeight="1" x14ac:dyDescent="0.2">
      <c r="A489" s="104" t="s">
        <v>205</v>
      </c>
      <c r="B489" s="104" t="s">
        <v>210</v>
      </c>
      <c r="C489" s="104" t="s">
        <v>71</v>
      </c>
      <c r="D489" s="104">
        <v>2050</v>
      </c>
      <c r="E489" s="105" t="e">
        <f>SUMIFS(#REF!,#REF!,$A489,#REF!,$B489,#REF!,$C489,#REF!,"Storage Demand")</f>
        <v>#REF!</v>
      </c>
      <c r="F489" s="105" t="e">
        <f>SUMIFS(#REF!,#REF!,$A489,#REF!,$B489,#REF!,$C489,#REF!,"&lt;&gt;Other Sector Demand")</f>
        <v>#REF!</v>
      </c>
      <c r="G489" s="106" t="e">
        <f t="shared" si="28"/>
        <v>#REF!</v>
      </c>
      <c r="H489" s="105" t="e">
        <f>SUMIFS(#REF!,#REF!,$A489,#REF!,$B489,#REF!,$C489,#REF!,"Other Sector Demand")</f>
        <v>#REF!</v>
      </c>
      <c r="I489" s="105" t="e">
        <f t="shared" si="29"/>
        <v>#REF!</v>
      </c>
      <c r="J489" s="106" t="e">
        <f t="shared" si="30"/>
        <v>#REF!</v>
      </c>
      <c r="K489" s="107" t="e">
        <f t="shared" si="31"/>
        <v>#REF!</v>
      </c>
    </row>
    <row r="490" spans="1:11" ht="15" customHeight="1" x14ac:dyDescent="0.2">
      <c r="A490" s="104" t="s">
        <v>205</v>
      </c>
      <c r="B490" s="104" t="s">
        <v>210</v>
      </c>
      <c r="C490" s="104" t="s">
        <v>73</v>
      </c>
      <c r="D490" s="104">
        <v>2020</v>
      </c>
      <c r="E490" s="105" t="e">
        <f>SUMIFS(#REF!,#REF!,$A490,#REF!,$B490,#REF!,$C490,#REF!,"Storage Demand")</f>
        <v>#REF!</v>
      </c>
      <c r="F490" s="105" t="e">
        <f>SUMIFS(#REF!,#REF!,$A490,#REF!,$B490,#REF!,$C490,#REF!,"&lt;&gt;Other Sector Demand")</f>
        <v>#REF!</v>
      </c>
      <c r="G490" s="106" t="e">
        <f t="shared" si="28"/>
        <v>#REF!</v>
      </c>
      <c r="H490" s="105" t="e">
        <f>SUMIFS(#REF!,#REF!,$A490,#REF!,$B490,#REF!,$C490,#REF!,"Other Sector Demand")</f>
        <v>#REF!</v>
      </c>
      <c r="I490" s="105" t="e">
        <f t="shared" si="29"/>
        <v>#REF!</v>
      </c>
      <c r="J490" s="106" t="e">
        <f t="shared" si="30"/>
        <v>#REF!</v>
      </c>
      <c r="K490" s="107" t="e">
        <f t="shared" si="31"/>
        <v>#REF!</v>
      </c>
    </row>
    <row r="491" spans="1:11" ht="15" customHeight="1" x14ac:dyDescent="0.2">
      <c r="A491" s="104" t="s">
        <v>205</v>
      </c>
      <c r="B491" s="104" t="s">
        <v>210</v>
      </c>
      <c r="C491" s="104" t="s">
        <v>73</v>
      </c>
      <c r="D491" s="104">
        <v>2030</v>
      </c>
      <c r="E491" s="105" t="e">
        <f>SUMIFS(#REF!,#REF!,$A491,#REF!,$B491,#REF!,$C491,#REF!,"Storage Demand")</f>
        <v>#REF!</v>
      </c>
      <c r="F491" s="105" t="e">
        <f>SUMIFS(#REF!,#REF!,$A491,#REF!,$B491,#REF!,$C491,#REF!,"&lt;&gt;Other Sector Demand")</f>
        <v>#REF!</v>
      </c>
      <c r="G491" s="106" t="e">
        <f t="shared" si="28"/>
        <v>#REF!</v>
      </c>
      <c r="H491" s="105" t="e">
        <f>SUMIFS(#REF!,#REF!,$A491,#REF!,$B491,#REF!,$C491,#REF!,"Other Sector Demand")</f>
        <v>#REF!</v>
      </c>
      <c r="I491" s="105" t="e">
        <f t="shared" si="29"/>
        <v>#REF!</v>
      </c>
      <c r="J491" s="106" t="e">
        <f t="shared" si="30"/>
        <v>#REF!</v>
      </c>
      <c r="K491" s="107" t="e">
        <f t="shared" si="31"/>
        <v>#REF!</v>
      </c>
    </row>
    <row r="492" spans="1:11" ht="15" customHeight="1" x14ac:dyDescent="0.2">
      <c r="A492" s="104" t="s">
        <v>205</v>
      </c>
      <c r="B492" s="104" t="s">
        <v>210</v>
      </c>
      <c r="C492" s="104" t="s">
        <v>73</v>
      </c>
      <c r="D492" s="104">
        <v>2040</v>
      </c>
      <c r="E492" s="105" t="e">
        <f>SUMIFS(#REF!,#REF!,$A492,#REF!,$B492,#REF!,$C492,#REF!,"Storage Demand")</f>
        <v>#REF!</v>
      </c>
      <c r="F492" s="105" t="e">
        <f>SUMIFS(#REF!,#REF!,$A492,#REF!,$B492,#REF!,$C492,#REF!,"&lt;&gt;Other Sector Demand")</f>
        <v>#REF!</v>
      </c>
      <c r="G492" s="106" t="e">
        <f t="shared" si="28"/>
        <v>#REF!</v>
      </c>
      <c r="H492" s="105" t="e">
        <f>SUMIFS(#REF!,#REF!,$A492,#REF!,$B492,#REF!,$C492,#REF!,"Other Sector Demand")</f>
        <v>#REF!</v>
      </c>
      <c r="I492" s="105" t="e">
        <f t="shared" si="29"/>
        <v>#REF!</v>
      </c>
      <c r="J492" s="106" t="e">
        <f t="shared" si="30"/>
        <v>#REF!</v>
      </c>
      <c r="K492" s="107" t="e">
        <f t="shared" si="31"/>
        <v>#REF!</v>
      </c>
    </row>
    <row r="493" spans="1:11" ht="15" customHeight="1" x14ac:dyDescent="0.2">
      <c r="A493" s="104" t="s">
        <v>205</v>
      </c>
      <c r="B493" s="104" t="s">
        <v>210</v>
      </c>
      <c r="C493" s="104" t="s">
        <v>73</v>
      </c>
      <c r="D493" s="104">
        <v>2050</v>
      </c>
      <c r="E493" s="105" t="e">
        <f>SUMIFS(#REF!,#REF!,$A493,#REF!,$B493,#REF!,$C493,#REF!,"Storage Demand")</f>
        <v>#REF!</v>
      </c>
      <c r="F493" s="105" t="e">
        <f>SUMIFS(#REF!,#REF!,$A493,#REF!,$B493,#REF!,$C493,#REF!,"&lt;&gt;Other Sector Demand")</f>
        <v>#REF!</v>
      </c>
      <c r="G493" s="106" t="e">
        <f t="shared" si="28"/>
        <v>#REF!</v>
      </c>
      <c r="H493" s="105" t="e">
        <f>SUMIFS(#REF!,#REF!,$A493,#REF!,$B493,#REF!,$C493,#REF!,"Other Sector Demand")</f>
        <v>#REF!</v>
      </c>
      <c r="I493" s="105" t="e">
        <f t="shared" si="29"/>
        <v>#REF!</v>
      </c>
      <c r="J493" s="106" t="e">
        <f t="shared" si="30"/>
        <v>#REF!</v>
      </c>
      <c r="K493" s="107" t="e">
        <f t="shared" si="31"/>
        <v>#REF!</v>
      </c>
    </row>
    <row r="494" spans="1:11" ht="15" customHeight="1" x14ac:dyDescent="0.2">
      <c r="A494" s="104" t="s">
        <v>205</v>
      </c>
      <c r="B494" s="104" t="s">
        <v>210</v>
      </c>
      <c r="C494" s="104" t="s">
        <v>74</v>
      </c>
      <c r="D494" s="104">
        <v>2020</v>
      </c>
      <c r="E494" s="105" t="e">
        <f>SUMIFS(#REF!,#REF!,$A494,#REF!,$B494,#REF!,$C494,#REF!,"Storage Demand")</f>
        <v>#REF!</v>
      </c>
      <c r="F494" s="105" t="e">
        <f>SUMIFS(#REF!,#REF!,$A494,#REF!,$B494,#REF!,$C494,#REF!,"&lt;&gt;Other Sector Demand")</f>
        <v>#REF!</v>
      </c>
      <c r="G494" s="106" t="e">
        <f t="shared" si="28"/>
        <v>#REF!</v>
      </c>
      <c r="H494" s="105" t="e">
        <f>SUMIFS(#REF!,#REF!,$A494,#REF!,$B494,#REF!,$C494,#REF!,"Other Sector Demand")</f>
        <v>#REF!</v>
      </c>
      <c r="I494" s="105" t="e">
        <f t="shared" si="29"/>
        <v>#REF!</v>
      </c>
      <c r="J494" s="106" t="e">
        <f t="shared" si="30"/>
        <v>#REF!</v>
      </c>
      <c r="K494" s="107" t="e">
        <f t="shared" si="31"/>
        <v>#REF!</v>
      </c>
    </row>
    <row r="495" spans="1:11" ht="15" customHeight="1" x14ac:dyDescent="0.2">
      <c r="A495" s="104" t="s">
        <v>205</v>
      </c>
      <c r="B495" s="104" t="s">
        <v>210</v>
      </c>
      <c r="C495" s="104" t="s">
        <v>74</v>
      </c>
      <c r="D495" s="104">
        <v>2030</v>
      </c>
      <c r="E495" s="105" t="e">
        <f>SUMIFS(#REF!,#REF!,$A495,#REF!,$B495,#REF!,$C495,#REF!,"Storage Demand")</f>
        <v>#REF!</v>
      </c>
      <c r="F495" s="105" t="e">
        <f>SUMIFS(#REF!,#REF!,$A495,#REF!,$B495,#REF!,$C495,#REF!,"&lt;&gt;Other Sector Demand")</f>
        <v>#REF!</v>
      </c>
      <c r="G495" s="106" t="e">
        <f t="shared" si="28"/>
        <v>#REF!</v>
      </c>
      <c r="H495" s="105" t="e">
        <f>SUMIFS(#REF!,#REF!,$A495,#REF!,$B495,#REF!,$C495,#REF!,"Other Sector Demand")</f>
        <v>#REF!</v>
      </c>
      <c r="I495" s="105" t="e">
        <f t="shared" si="29"/>
        <v>#REF!</v>
      </c>
      <c r="J495" s="106" t="e">
        <f t="shared" si="30"/>
        <v>#REF!</v>
      </c>
      <c r="K495" s="107" t="e">
        <f t="shared" si="31"/>
        <v>#REF!</v>
      </c>
    </row>
    <row r="496" spans="1:11" ht="15" customHeight="1" x14ac:dyDescent="0.2">
      <c r="A496" s="104" t="s">
        <v>205</v>
      </c>
      <c r="B496" s="104" t="s">
        <v>210</v>
      </c>
      <c r="C496" s="104" t="s">
        <v>74</v>
      </c>
      <c r="D496" s="104">
        <v>2040</v>
      </c>
      <c r="E496" s="105" t="e">
        <f>SUMIFS(#REF!,#REF!,$A496,#REF!,$B496,#REF!,$C496,#REF!,"Storage Demand")</f>
        <v>#REF!</v>
      </c>
      <c r="F496" s="105" t="e">
        <f>SUMIFS(#REF!,#REF!,$A496,#REF!,$B496,#REF!,$C496,#REF!,"&lt;&gt;Other Sector Demand")</f>
        <v>#REF!</v>
      </c>
      <c r="G496" s="106" t="e">
        <f t="shared" si="28"/>
        <v>#REF!</v>
      </c>
      <c r="H496" s="105" t="e">
        <f>SUMIFS(#REF!,#REF!,$A496,#REF!,$B496,#REF!,$C496,#REF!,"Other Sector Demand")</f>
        <v>#REF!</v>
      </c>
      <c r="I496" s="105" t="e">
        <f t="shared" si="29"/>
        <v>#REF!</v>
      </c>
      <c r="J496" s="106" t="e">
        <f t="shared" si="30"/>
        <v>#REF!</v>
      </c>
      <c r="K496" s="107" t="e">
        <f t="shared" si="31"/>
        <v>#REF!</v>
      </c>
    </row>
    <row r="497" spans="1:11" ht="15" customHeight="1" x14ac:dyDescent="0.2">
      <c r="A497" s="104" t="s">
        <v>205</v>
      </c>
      <c r="B497" s="104" t="s">
        <v>210</v>
      </c>
      <c r="C497" s="104" t="s">
        <v>74</v>
      </c>
      <c r="D497" s="104">
        <v>2050</v>
      </c>
      <c r="E497" s="105" t="e">
        <f>SUMIFS(#REF!,#REF!,$A497,#REF!,$B497,#REF!,$C497,#REF!,"Storage Demand")</f>
        <v>#REF!</v>
      </c>
      <c r="F497" s="105" t="e">
        <f>SUMIFS(#REF!,#REF!,$A497,#REF!,$B497,#REF!,$C497,#REF!,"&lt;&gt;Other Sector Demand")</f>
        <v>#REF!</v>
      </c>
      <c r="G497" s="106" t="e">
        <f t="shared" si="28"/>
        <v>#REF!</v>
      </c>
      <c r="H497" s="105" t="e">
        <f>SUMIFS(#REF!,#REF!,$A497,#REF!,$B497,#REF!,$C497,#REF!,"Other Sector Demand")</f>
        <v>#REF!</v>
      </c>
      <c r="I497" s="105" t="e">
        <f t="shared" si="29"/>
        <v>#REF!</v>
      </c>
      <c r="J497" s="106" t="e">
        <f t="shared" si="30"/>
        <v>#REF!</v>
      </c>
      <c r="K497" s="107" t="e">
        <f t="shared" si="31"/>
        <v>#REF!</v>
      </c>
    </row>
    <row r="498" spans="1:11" ht="15" customHeight="1" x14ac:dyDescent="0.2">
      <c r="A498" s="104" t="s">
        <v>205</v>
      </c>
      <c r="B498" s="104" t="s">
        <v>210</v>
      </c>
      <c r="C498" s="104" t="s">
        <v>75</v>
      </c>
      <c r="D498" s="104">
        <v>2020</v>
      </c>
      <c r="E498" s="105" t="e">
        <f>SUMIFS(#REF!,#REF!,$A498,#REF!,$B498,#REF!,$C498,#REF!,"Storage Demand")</f>
        <v>#REF!</v>
      </c>
      <c r="F498" s="105" t="e">
        <f>SUMIFS(#REF!,#REF!,$A498,#REF!,$B498,#REF!,$C498,#REF!,"&lt;&gt;Other Sector Demand")</f>
        <v>#REF!</v>
      </c>
      <c r="G498" s="106" t="e">
        <f t="shared" si="28"/>
        <v>#REF!</v>
      </c>
      <c r="H498" s="105" t="e">
        <f>SUMIFS(#REF!,#REF!,$A498,#REF!,$B498,#REF!,$C498,#REF!,"Other Sector Demand")</f>
        <v>#REF!</v>
      </c>
      <c r="I498" s="105" t="e">
        <f t="shared" si="29"/>
        <v>#REF!</v>
      </c>
      <c r="J498" s="106" t="e">
        <f t="shared" si="30"/>
        <v>#REF!</v>
      </c>
      <c r="K498" s="107" t="e">
        <f t="shared" si="31"/>
        <v>#REF!</v>
      </c>
    </row>
    <row r="499" spans="1:11" ht="15" customHeight="1" x14ac:dyDescent="0.2">
      <c r="A499" s="104" t="s">
        <v>205</v>
      </c>
      <c r="B499" s="104" t="s">
        <v>210</v>
      </c>
      <c r="C499" s="104" t="s">
        <v>75</v>
      </c>
      <c r="D499" s="104">
        <v>2030</v>
      </c>
      <c r="E499" s="105" t="e">
        <f>SUMIFS(#REF!,#REF!,$A499,#REF!,$B499,#REF!,$C499,#REF!,"Storage Demand")</f>
        <v>#REF!</v>
      </c>
      <c r="F499" s="105" t="e">
        <f>SUMIFS(#REF!,#REF!,$A499,#REF!,$B499,#REF!,$C499,#REF!,"&lt;&gt;Other Sector Demand")</f>
        <v>#REF!</v>
      </c>
      <c r="G499" s="106" t="e">
        <f t="shared" si="28"/>
        <v>#REF!</v>
      </c>
      <c r="H499" s="105" t="e">
        <f>SUMIFS(#REF!,#REF!,$A499,#REF!,$B499,#REF!,$C499,#REF!,"Other Sector Demand")</f>
        <v>#REF!</v>
      </c>
      <c r="I499" s="105" t="e">
        <f t="shared" si="29"/>
        <v>#REF!</v>
      </c>
      <c r="J499" s="106" t="e">
        <f t="shared" si="30"/>
        <v>#REF!</v>
      </c>
      <c r="K499" s="107" t="e">
        <f t="shared" si="31"/>
        <v>#REF!</v>
      </c>
    </row>
    <row r="500" spans="1:11" ht="15" customHeight="1" x14ac:dyDescent="0.2">
      <c r="A500" s="104" t="s">
        <v>205</v>
      </c>
      <c r="B500" s="104" t="s">
        <v>210</v>
      </c>
      <c r="C500" s="104" t="s">
        <v>75</v>
      </c>
      <c r="D500" s="104">
        <v>2040</v>
      </c>
      <c r="E500" s="105" t="e">
        <f>SUMIFS(#REF!,#REF!,$A500,#REF!,$B500,#REF!,$C500,#REF!,"Storage Demand")</f>
        <v>#REF!</v>
      </c>
      <c r="F500" s="105" t="e">
        <f>SUMIFS(#REF!,#REF!,$A500,#REF!,$B500,#REF!,$C500,#REF!,"&lt;&gt;Other Sector Demand")</f>
        <v>#REF!</v>
      </c>
      <c r="G500" s="106" t="e">
        <f t="shared" si="28"/>
        <v>#REF!</v>
      </c>
      <c r="H500" s="105" t="e">
        <f>SUMIFS(#REF!,#REF!,$A500,#REF!,$B500,#REF!,$C500,#REF!,"Other Sector Demand")</f>
        <v>#REF!</v>
      </c>
      <c r="I500" s="105" t="e">
        <f t="shared" si="29"/>
        <v>#REF!</v>
      </c>
      <c r="J500" s="106" t="e">
        <f t="shared" si="30"/>
        <v>#REF!</v>
      </c>
      <c r="K500" s="107" t="e">
        <f t="shared" si="31"/>
        <v>#REF!</v>
      </c>
    </row>
    <row r="501" spans="1:11" ht="15" customHeight="1" x14ac:dyDescent="0.2">
      <c r="A501" s="104" t="s">
        <v>205</v>
      </c>
      <c r="B501" s="104" t="s">
        <v>210</v>
      </c>
      <c r="C501" s="104" t="s">
        <v>75</v>
      </c>
      <c r="D501" s="104">
        <v>2050</v>
      </c>
      <c r="E501" s="105" t="e">
        <f>SUMIFS(#REF!,#REF!,$A501,#REF!,$B501,#REF!,$C501,#REF!,"Storage Demand")</f>
        <v>#REF!</v>
      </c>
      <c r="F501" s="105" t="e">
        <f>SUMIFS(#REF!,#REF!,$A501,#REF!,$B501,#REF!,$C501,#REF!,"&lt;&gt;Other Sector Demand")</f>
        <v>#REF!</v>
      </c>
      <c r="G501" s="106" t="e">
        <f t="shared" si="28"/>
        <v>#REF!</v>
      </c>
      <c r="H501" s="105" t="e">
        <f>SUMIFS(#REF!,#REF!,$A501,#REF!,$B501,#REF!,$C501,#REF!,"Other Sector Demand")</f>
        <v>#REF!</v>
      </c>
      <c r="I501" s="105" t="e">
        <f t="shared" si="29"/>
        <v>#REF!</v>
      </c>
      <c r="J501" s="106" t="e">
        <f t="shared" si="30"/>
        <v>#REF!</v>
      </c>
      <c r="K501" s="107" t="e">
        <f t="shared" si="31"/>
        <v>#REF!</v>
      </c>
    </row>
    <row r="502" spans="1:11" ht="15" customHeight="1" x14ac:dyDescent="0.2">
      <c r="A502" s="104" t="s">
        <v>205</v>
      </c>
      <c r="B502" s="104" t="s">
        <v>210</v>
      </c>
      <c r="C502" s="104" t="s">
        <v>76</v>
      </c>
      <c r="D502" s="104">
        <v>2020</v>
      </c>
      <c r="E502" s="105" t="e">
        <f>SUMIFS(#REF!,#REF!,$A502,#REF!,$B502,#REF!,$C502,#REF!,"Storage Demand")</f>
        <v>#REF!</v>
      </c>
      <c r="F502" s="105" t="e">
        <f>SUMIFS(#REF!,#REF!,$A502,#REF!,$B502,#REF!,$C502,#REF!,"&lt;&gt;Other Sector Demand")</f>
        <v>#REF!</v>
      </c>
      <c r="G502" s="106" t="e">
        <f t="shared" si="28"/>
        <v>#REF!</v>
      </c>
      <c r="H502" s="105" t="e">
        <f>SUMIFS(#REF!,#REF!,$A502,#REF!,$B502,#REF!,$C502,#REF!,"Other Sector Demand")</f>
        <v>#REF!</v>
      </c>
      <c r="I502" s="105" t="e">
        <f t="shared" si="29"/>
        <v>#REF!</v>
      </c>
      <c r="J502" s="106" t="e">
        <f t="shared" si="30"/>
        <v>#REF!</v>
      </c>
      <c r="K502" s="107" t="e">
        <f t="shared" si="31"/>
        <v>#REF!</v>
      </c>
    </row>
    <row r="503" spans="1:11" ht="15" customHeight="1" x14ac:dyDescent="0.2">
      <c r="A503" s="104" t="s">
        <v>205</v>
      </c>
      <c r="B503" s="104" t="s">
        <v>210</v>
      </c>
      <c r="C503" s="104" t="s">
        <v>76</v>
      </c>
      <c r="D503" s="104">
        <v>2030</v>
      </c>
      <c r="E503" s="105" t="e">
        <f>SUMIFS(#REF!,#REF!,$A503,#REF!,$B503,#REF!,$C503,#REF!,"Storage Demand")</f>
        <v>#REF!</v>
      </c>
      <c r="F503" s="105" t="e">
        <f>SUMIFS(#REF!,#REF!,$A503,#REF!,$B503,#REF!,$C503,#REF!,"&lt;&gt;Other Sector Demand")</f>
        <v>#REF!</v>
      </c>
      <c r="G503" s="106" t="e">
        <f t="shared" si="28"/>
        <v>#REF!</v>
      </c>
      <c r="H503" s="105" t="e">
        <f>SUMIFS(#REF!,#REF!,$A503,#REF!,$B503,#REF!,$C503,#REF!,"Other Sector Demand")</f>
        <v>#REF!</v>
      </c>
      <c r="I503" s="105" t="e">
        <f t="shared" si="29"/>
        <v>#REF!</v>
      </c>
      <c r="J503" s="106" t="e">
        <f t="shared" si="30"/>
        <v>#REF!</v>
      </c>
      <c r="K503" s="107" t="e">
        <f t="shared" si="31"/>
        <v>#REF!</v>
      </c>
    </row>
    <row r="504" spans="1:11" ht="15" customHeight="1" x14ac:dyDescent="0.2">
      <c r="A504" s="104" t="s">
        <v>205</v>
      </c>
      <c r="B504" s="104" t="s">
        <v>210</v>
      </c>
      <c r="C504" s="104" t="s">
        <v>76</v>
      </c>
      <c r="D504" s="104">
        <v>2040</v>
      </c>
      <c r="E504" s="105" t="e">
        <f>SUMIFS(#REF!,#REF!,$A504,#REF!,$B504,#REF!,$C504,#REF!,"Storage Demand")</f>
        <v>#REF!</v>
      </c>
      <c r="F504" s="105" t="e">
        <f>SUMIFS(#REF!,#REF!,$A504,#REF!,$B504,#REF!,$C504,#REF!,"&lt;&gt;Other Sector Demand")</f>
        <v>#REF!</v>
      </c>
      <c r="G504" s="106" t="e">
        <f t="shared" si="28"/>
        <v>#REF!</v>
      </c>
      <c r="H504" s="105" t="e">
        <f>SUMIFS(#REF!,#REF!,$A504,#REF!,$B504,#REF!,$C504,#REF!,"Other Sector Demand")</f>
        <v>#REF!</v>
      </c>
      <c r="I504" s="105" t="e">
        <f t="shared" si="29"/>
        <v>#REF!</v>
      </c>
      <c r="J504" s="106" t="e">
        <f t="shared" si="30"/>
        <v>#REF!</v>
      </c>
      <c r="K504" s="107" t="e">
        <f t="shared" si="31"/>
        <v>#REF!</v>
      </c>
    </row>
    <row r="505" spans="1:11" ht="15" customHeight="1" x14ac:dyDescent="0.2">
      <c r="A505" s="104" t="s">
        <v>205</v>
      </c>
      <c r="B505" s="104" t="s">
        <v>210</v>
      </c>
      <c r="C505" s="104" t="s">
        <v>76</v>
      </c>
      <c r="D505" s="104">
        <v>2050</v>
      </c>
      <c r="E505" s="105" t="e">
        <f>SUMIFS(#REF!,#REF!,$A505,#REF!,$B505,#REF!,$C505,#REF!,"Storage Demand")</f>
        <v>#REF!</v>
      </c>
      <c r="F505" s="105" t="e">
        <f>SUMIFS(#REF!,#REF!,$A505,#REF!,$B505,#REF!,$C505,#REF!,"&lt;&gt;Other Sector Demand")</f>
        <v>#REF!</v>
      </c>
      <c r="G505" s="106" t="e">
        <f t="shared" si="28"/>
        <v>#REF!</v>
      </c>
      <c r="H505" s="105" t="e">
        <f>SUMIFS(#REF!,#REF!,$A505,#REF!,$B505,#REF!,$C505,#REF!,"Other Sector Demand")</f>
        <v>#REF!</v>
      </c>
      <c r="I505" s="105" t="e">
        <f t="shared" si="29"/>
        <v>#REF!</v>
      </c>
      <c r="J505" s="106" t="e">
        <f t="shared" si="30"/>
        <v>#REF!</v>
      </c>
      <c r="K505" s="107" t="e">
        <f t="shared" si="31"/>
        <v>#REF!</v>
      </c>
    </row>
    <row r="506" spans="1:11" ht="15" customHeight="1" x14ac:dyDescent="0.2">
      <c r="A506" s="104" t="s">
        <v>205</v>
      </c>
      <c r="B506" s="104" t="s">
        <v>210</v>
      </c>
      <c r="C506" s="104" t="s">
        <v>77</v>
      </c>
      <c r="D506" s="104">
        <v>2020</v>
      </c>
      <c r="E506" s="105" t="e">
        <f>SUMIFS(#REF!,#REF!,$A506,#REF!,$B506,#REF!,$C506,#REF!,"Storage Demand")</f>
        <v>#REF!</v>
      </c>
      <c r="F506" s="105" t="e">
        <f>SUMIFS(#REF!,#REF!,$A506,#REF!,$B506,#REF!,$C506,#REF!,"&lt;&gt;Other Sector Demand")</f>
        <v>#REF!</v>
      </c>
      <c r="G506" s="106" t="e">
        <f t="shared" si="28"/>
        <v>#REF!</v>
      </c>
      <c r="H506" s="105" t="e">
        <f>SUMIFS(#REF!,#REF!,$A506,#REF!,$B506,#REF!,$C506,#REF!,"Other Sector Demand")</f>
        <v>#REF!</v>
      </c>
      <c r="I506" s="105" t="e">
        <f t="shared" si="29"/>
        <v>#REF!</v>
      </c>
      <c r="J506" s="106" t="e">
        <f t="shared" si="30"/>
        <v>#REF!</v>
      </c>
      <c r="K506" s="107" t="e">
        <f t="shared" si="31"/>
        <v>#REF!</v>
      </c>
    </row>
    <row r="507" spans="1:11" ht="15" customHeight="1" x14ac:dyDescent="0.2">
      <c r="A507" s="104" t="s">
        <v>205</v>
      </c>
      <c r="B507" s="104" t="s">
        <v>210</v>
      </c>
      <c r="C507" s="104" t="s">
        <v>77</v>
      </c>
      <c r="D507" s="104">
        <v>2030</v>
      </c>
      <c r="E507" s="105" t="e">
        <f>SUMIFS(#REF!,#REF!,$A507,#REF!,$B507,#REF!,$C507,#REF!,"Storage Demand")</f>
        <v>#REF!</v>
      </c>
      <c r="F507" s="105" t="e">
        <f>SUMIFS(#REF!,#REF!,$A507,#REF!,$B507,#REF!,$C507,#REF!,"&lt;&gt;Other Sector Demand")</f>
        <v>#REF!</v>
      </c>
      <c r="G507" s="106" t="e">
        <f t="shared" si="28"/>
        <v>#REF!</v>
      </c>
      <c r="H507" s="105" t="e">
        <f>SUMIFS(#REF!,#REF!,$A507,#REF!,$B507,#REF!,$C507,#REF!,"Other Sector Demand")</f>
        <v>#REF!</v>
      </c>
      <c r="I507" s="105" t="e">
        <f t="shared" si="29"/>
        <v>#REF!</v>
      </c>
      <c r="J507" s="106" t="e">
        <f t="shared" si="30"/>
        <v>#REF!</v>
      </c>
      <c r="K507" s="107" t="e">
        <f t="shared" si="31"/>
        <v>#REF!</v>
      </c>
    </row>
    <row r="508" spans="1:11" ht="15" customHeight="1" x14ac:dyDescent="0.2">
      <c r="A508" s="104" t="s">
        <v>205</v>
      </c>
      <c r="B508" s="104" t="s">
        <v>210</v>
      </c>
      <c r="C508" s="104" t="s">
        <v>77</v>
      </c>
      <c r="D508" s="104">
        <v>2040</v>
      </c>
      <c r="E508" s="105" t="e">
        <f>SUMIFS(#REF!,#REF!,$A508,#REF!,$B508,#REF!,$C508,#REF!,"Storage Demand")</f>
        <v>#REF!</v>
      </c>
      <c r="F508" s="105" t="e">
        <f>SUMIFS(#REF!,#REF!,$A508,#REF!,$B508,#REF!,$C508,#REF!,"&lt;&gt;Other Sector Demand")</f>
        <v>#REF!</v>
      </c>
      <c r="G508" s="106" t="e">
        <f t="shared" si="28"/>
        <v>#REF!</v>
      </c>
      <c r="H508" s="105" t="e">
        <f>SUMIFS(#REF!,#REF!,$A508,#REF!,$B508,#REF!,$C508,#REF!,"Other Sector Demand")</f>
        <v>#REF!</v>
      </c>
      <c r="I508" s="105" t="e">
        <f t="shared" si="29"/>
        <v>#REF!</v>
      </c>
      <c r="J508" s="106" t="e">
        <f t="shared" si="30"/>
        <v>#REF!</v>
      </c>
      <c r="K508" s="107" t="e">
        <f t="shared" si="31"/>
        <v>#REF!</v>
      </c>
    </row>
    <row r="509" spans="1:11" ht="15" customHeight="1" x14ac:dyDescent="0.2">
      <c r="A509" s="104" t="s">
        <v>205</v>
      </c>
      <c r="B509" s="104" t="s">
        <v>210</v>
      </c>
      <c r="C509" s="104" t="s">
        <v>77</v>
      </c>
      <c r="D509" s="104">
        <v>2050</v>
      </c>
      <c r="E509" s="105" t="e">
        <f>SUMIFS(#REF!,#REF!,$A509,#REF!,$B509,#REF!,$C509,#REF!,"Storage Demand")</f>
        <v>#REF!</v>
      </c>
      <c r="F509" s="105" t="e">
        <f>SUMIFS(#REF!,#REF!,$A509,#REF!,$B509,#REF!,$C509,#REF!,"&lt;&gt;Other Sector Demand")</f>
        <v>#REF!</v>
      </c>
      <c r="G509" s="106" t="e">
        <f t="shared" si="28"/>
        <v>#REF!</v>
      </c>
      <c r="H509" s="105" t="e">
        <f>SUMIFS(#REF!,#REF!,$A509,#REF!,$B509,#REF!,$C509,#REF!,"Other Sector Demand")</f>
        <v>#REF!</v>
      </c>
      <c r="I509" s="105" t="e">
        <f t="shared" si="29"/>
        <v>#REF!</v>
      </c>
      <c r="J509" s="106" t="e">
        <f t="shared" si="30"/>
        <v>#REF!</v>
      </c>
      <c r="K509" s="107" t="e">
        <f t="shared" si="31"/>
        <v>#REF!</v>
      </c>
    </row>
    <row r="510" spans="1:11" ht="15" customHeight="1" x14ac:dyDescent="0.2">
      <c r="A510" s="104" t="s">
        <v>205</v>
      </c>
      <c r="B510" s="104" t="s">
        <v>210</v>
      </c>
      <c r="C510" s="104" t="s">
        <v>78</v>
      </c>
      <c r="D510" s="104">
        <v>2020</v>
      </c>
      <c r="E510" s="105" t="e">
        <f>SUMIFS(#REF!,#REF!,$A510,#REF!,$B510,#REF!,$C510,#REF!,"Storage Demand")</f>
        <v>#REF!</v>
      </c>
      <c r="F510" s="105" t="e">
        <f>SUMIFS(#REF!,#REF!,$A510,#REF!,$B510,#REF!,$C510,#REF!,"&lt;&gt;Other Sector Demand")</f>
        <v>#REF!</v>
      </c>
      <c r="G510" s="106" t="e">
        <f t="shared" si="28"/>
        <v>#REF!</v>
      </c>
      <c r="H510" s="105" t="e">
        <f>SUMIFS(#REF!,#REF!,$A510,#REF!,$B510,#REF!,$C510,#REF!,"Other Sector Demand")</f>
        <v>#REF!</v>
      </c>
      <c r="I510" s="105" t="e">
        <f t="shared" si="29"/>
        <v>#REF!</v>
      </c>
      <c r="J510" s="106" t="e">
        <f t="shared" si="30"/>
        <v>#REF!</v>
      </c>
      <c r="K510" s="107" t="e">
        <f t="shared" si="31"/>
        <v>#REF!</v>
      </c>
    </row>
    <row r="511" spans="1:11" ht="15" customHeight="1" x14ac:dyDescent="0.2">
      <c r="A511" s="104" t="s">
        <v>205</v>
      </c>
      <c r="B511" s="104" t="s">
        <v>210</v>
      </c>
      <c r="C511" s="104" t="s">
        <v>78</v>
      </c>
      <c r="D511" s="104">
        <v>2030</v>
      </c>
      <c r="E511" s="105" t="e">
        <f>SUMIFS(#REF!,#REF!,$A511,#REF!,$B511,#REF!,$C511,#REF!,"Storage Demand")</f>
        <v>#REF!</v>
      </c>
      <c r="F511" s="105" t="e">
        <f>SUMIFS(#REF!,#REF!,$A511,#REF!,$B511,#REF!,$C511,#REF!,"&lt;&gt;Other Sector Demand")</f>
        <v>#REF!</v>
      </c>
      <c r="G511" s="106" t="e">
        <f t="shared" si="28"/>
        <v>#REF!</v>
      </c>
      <c r="H511" s="105" t="e">
        <f>SUMIFS(#REF!,#REF!,$A511,#REF!,$B511,#REF!,$C511,#REF!,"Other Sector Demand")</f>
        <v>#REF!</v>
      </c>
      <c r="I511" s="105" t="e">
        <f t="shared" si="29"/>
        <v>#REF!</v>
      </c>
      <c r="J511" s="106" t="e">
        <f t="shared" si="30"/>
        <v>#REF!</v>
      </c>
      <c r="K511" s="107" t="e">
        <f t="shared" si="31"/>
        <v>#REF!</v>
      </c>
    </row>
    <row r="512" spans="1:11" ht="15" customHeight="1" x14ac:dyDescent="0.2">
      <c r="A512" s="104" t="s">
        <v>205</v>
      </c>
      <c r="B512" s="104" t="s">
        <v>210</v>
      </c>
      <c r="C512" s="104" t="s">
        <v>78</v>
      </c>
      <c r="D512" s="104">
        <v>2040</v>
      </c>
      <c r="E512" s="105" t="e">
        <f>SUMIFS(#REF!,#REF!,$A512,#REF!,$B512,#REF!,$C512,#REF!,"Storage Demand")</f>
        <v>#REF!</v>
      </c>
      <c r="F512" s="105" t="e">
        <f>SUMIFS(#REF!,#REF!,$A512,#REF!,$B512,#REF!,$C512,#REF!,"&lt;&gt;Other Sector Demand")</f>
        <v>#REF!</v>
      </c>
      <c r="G512" s="106" t="e">
        <f t="shared" si="28"/>
        <v>#REF!</v>
      </c>
      <c r="H512" s="105" t="e">
        <f>SUMIFS(#REF!,#REF!,$A512,#REF!,$B512,#REF!,$C512,#REF!,"Other Sector Demand")</f>
        <v>#REF!</v>
      </c>
      <c r="I512" s="105" t="e">
        <f t="shared" si="29"/>
        <v>#REF!</v>
      </c>
      <c r="J512" s="106" t="e">
        <f t="shared" si="30"/>
        <v>#REF!</v>
      </c>
      <c r="K512" s="107" t="e">
        <f t="shared" si="31"/>
        <v>#REF!</v>
      </c>
    </row>
    <row r="513" spans="1:11" ht="15" customHeight="1" x14ac:dyDescent="0.2">
      <c r="A513" s="104" t="s">
        <v>205</v>
      </c>
      <c r="B513" s="104" t="s">
        <v>210</v>
      </c>
      <c r="C513" s="104" t="s">
        <v>78</v>
      </c>
      <c r="D513" s="104">
        <v>2050</v>
      </c>
      <c r="E513" s="105" t="e">
        <f>SUMIFS(#REF!,#REF!,$A513,#REF!,$B513,#REF!,$C513,#REF!,"Storage Demand")</f>
        <v>#REF!</v>
      </c>
      <c r="F513" s="105" t="e">
        <f>SUMIFS(#REF!,#REF!,$A513,#REF!,$B513,#REF!,$C513,#REF!,"&lt;&gt;Other Sector Demand")</f>
        <v>#REF!</v>
      </c>
      <c r="G513" s="106" t="e">
        <f t="shared" si="28"/>
        <v>#REF!</v>
      </c>
      <c r="H513" s="105" t="e">
        <f>SUMIFS(#REF!,#REF!,$A513,#REF!,$B513,#REF!,$C513,#REF!,"Other Sector Demand")</f>
        <v>#REF!</v>
      </c>
      <c r="I513" s="105" t="e">
        <f t="shared" si="29"/>
        <v>#REF!</v>
      </c>
      <c r="J513" s="106" t="e">
        <f t="shared" si="30"/>
        <v>#REF!</v>
      </c>
      <c r="K513" s="107" t="e">
        <f t="shared" si="31"/>
        <v>#REF!</v>
      </c>
    </row>
    <row r="514" spans="1:11" ht="15" customHeight="1" x14ac:dyDescent="0.2">
      <c r="A514" s="104" t="s">
        <v>207</v>
      </c>
      <c r="B514" s="104" t="s">
        <v>206</v>
      </c>
      <c r="C514" s="104" t="s">
        <v>38</v>
      </c>
      <c r="D514" s="104">
        <v>2020</v>
      </c>
      <c r="E514" s="105" t="e">
        <f>SUMIFS(#REF!,#REF!,$A514,#REF!,$B514,#REF!,$C514,#REF!,"Storage Demand")</f>
        <v>#REF!</v>
      </c>
      <c r="F514" s="105" t="e">
        <f>SUMIFS(#REF!,#REF!,$A514,#REF!,$B514,#REF!,$C514,#REF!,"&lt;&gt;Other Sector Demand")</f>
        <v>#REF!</v>
      </c>
      <c r="G514" s="106" t="e">
        <f t="shared" ref="G514:G577" si="32">IF($F514=0,0,$E514/$F514)</f>
        <v>#REF!</v>
      </c>
      <c r="H514" s="105" t="e">
        <f>SUMIFS(#REF!,#REF!,$A514,#REF!,$B514,#REF!,$C514,#REF!,"Other Sector Demand")</f>
        <v>#REF!</v>
      </c>
      <c r="I514" s="105" t="e">
        <f t="shared" ref="I514:I577" si="33">$F514+$H514</f>
        <v>#REF!</v>
      </c>
      <c r="J514" s="106" t="e">
        <f t="shared" ref="J514:J577" si="34">IF($I514=0,0,$E514/$I514)</f>
        <v>#REF!</v>
      </c>
      <c r="K514" s="107" t="e">
        <f t="shared" ref="K514:K577" si="35">IF(SUMIFS($F$2:$F$1025,$A$2:$A$1025,$A514,$B$2:$B$1025,$B514,$C$2:$C$1025,$C514)=0,0,SUMIFS($E$2:$E$1025,$A$2:$A$1025,$A514,$B$2:$B$1025,$B514,$C$2:$C$1025,$C514)/SUMIFS($F$2:$F$1025,$A$2:$A$1025,$A514,$B$2:$B$1025,$B514,$C$2:$C$1025,$C514))</f>
        <v>#REF!</v>
      </c>
    </row>
    <row r="515" spans="1:11" ht="15" customHeight="1" x14ac:dyDescent="0.2">
      <c r="A515" s="104" t="s">
        <v>207</v>
      </c>
      <c r="B515" s="104" t="s">
        <v>206</v>
      </c>
      <c r="C515" s="104" t="s">
        <v>38</v>
      </c>
      <c r="D515" s="104">
        <v>2030</v>
      </c>
      <c r="E515" s="105" t="e">
        <f>SUMIFS(#REF!,#REF!,$A515,#REF!,$B515,#REF!,$C515,#REF!,"Storage Demand")</f>
        <v>#REF!</v>
      </c>
      <c r="F515" s="105" t="e">
        <f>SUMIFS(#REF!,#REF!,$A515,#REF!,$B515,#REF!,$C515,#REF!,"&lt;&gt;Other Sector Demand")</f>
        <v>#REF!</v>
      </c>
      <c r="G515" s="106" t="e">
        <f t="shared" si="32"/>
        <v>#REF!</v>
      </c>
      <c r="H515" s="105" t="e">
        <f>SUMIFS(#REF!,#REF!,$A515,#REF!,$B515,#REF!,$C515,#REF!,"Other Sector Demand")</f>
        <v>#REF!</v>
      </c>
      <c r="I515" s="105" t="e">
        <f t="shared" si="33"/>
        <v>#REF!</v>
      </c>
      <c r="J515" s="106" t="e">
        <f t="shared" si="34"/>
        <v>#REF!</v>
      </c>
      <c r="K515" s="107" t="e">
        <f t="shared" si="35"/>
        <v>#REF!</v>
      </c>
    </row>
    <row r="516" spans="1:11" ht="15" customHeight="1" x14ac:dyDescent="0.2">
      <c r="A516" s="104" t="s">
        <v>207</v>
      </c>
      <c r="B516" s="104" t="s">
        <v>206</v>
      </c>
      <c r="C516" s="104" t="s">
        <v>38</v>
      </c>
      <c r="D516" s="104">
        <v>2040</v>
      </c>
      <c r="E516" s="105" t="e">
        <f>SUMIFS(#REF!,#REF!,$A516,#REF!,$B516,#REF!,$C516,#REF!,"Storage Demand")</f>
        <v>#REF!</v>
      </c>
      <c r="F516" s="105" t="e">
        <f>SUMIFS(#REF!,#REF!,$A516,#REF!,$B516,#REF!,$C516,#REF!,"&lt;&gt;Other Sector Demand")</f>
        <v>#REF!</v>
      </c>
      <c r="G516" s="106" t="e">
        <f t="shared" si="32"/>
        <v>#REF!</v>
      </c>
      <c r="H516" s="105" t="e">
        <f>SUMIFS(#REF!,#REF!,$A516,#REF!,$B516,#REF!,$C516,#REF!,"Other Sector Demand")</f>
        <v>#REF!</v>
      </c>
      <c r="I516" s="105" t="e">
        <f t="shared" si="33"/>
        <v>#REF!</v>
      </c>
      <c r="J516" s="106" t="e">
        <f t="shared" si="34"/>
        <v>#REF!</v>
      </c>
      <c r="K516" s="107" t="e">
        <f t="shared" si="35"/>
        <v>#REF!</v>
      </c>
    </row>
    <row r="517" spans="1:11" ht="15" customHeight="1" x14ac:dyDescent="0.2">
      <c r="A517" s="104" t="s">
        <v>207</v>
      </c>
      <c r="B517" s="104" t="s">
        <v>206</v>
      </c>
      <c r="C517" s="104" t="s">
        <v>38</v>
      </c>
      <c r="D517" s="104">
        <v>2050</v>
      </c>
      <c r="E517" s="105" t="e">
        <f>SUMIFS(#REF!,#REF!,$A517,#REF!,$B517,#REF!,$C517,#REF!,"Storage Demand")</f>
        <v>#REF!</v>
      </c>
      <c r="F517" s="105" t="e">
        <f>SUMIFS(#REF!,#REF!,$A517,#REF!,$B517,#REF!,$C517,#REF!,"&lt;&gt;Other Sector Demand")</f>
        <v>#REF!</v>
      </c>
      <c r="G517" s="106" t="e">
        <f t="shared" si="32"/>
        <v>#REF!</v>
      </c>
      <c r="H517" s="105" t="e">
        <f>SUMIFS(#REF!,#REF!,$A517,#REF!,$B517,#REF!,$C517,#REF!,"Other Sector Demand")</f>
        <v>#REF!</v>
      </c>
      <c r="I517" s="105" t="e">
        <f t="shared" si="33"/>
        <v>#REF!</v>
      </c>
      <c r="J517" s="106" t="e">
        <f t="shared" si="34"/>
        <v>#REF!</v>
      </c>
      <c r="K517" s="107" t="e">
        <f t="shared" si="35"/>
        <v>#REF!</v>
      </c>
    </row>
    <row r="518" spans="1:11" ht="15" customHeight="1" x14ac:dyDescent="0.2">
      <c r="A518" s="104" t="s">
        <v>207</v>
      </c>
      <c r="B518" s="104" t="s">
        <v>206</v>
      </c>
      <c r="C518" s="104" t="s">
        <v>39</v>
      </c>
      <c r="D518" s="104">
        <v>2020</v>
      </c>
      <c r="E518" s="105" t="e">
        <f>SUMIFS(#REF!,#REF!,$A518,#REF!,$B518,#REF!,$C518,#REF!,"Storage Demand")</f>
        <v>#REF!</v>
      </c>
      <c r="F518" s="105" t="e">
        <f>SUMIFS(#REF!,#REF!,$A518,#REF!,$B518,#REF!,$C518,#REF!,"&lt;&gt;Other Sector Demand")</f>
        <v>#REF!</v>
      </c>
      <c r="G518" s="106" t="e">
        <f t="shared" si="32"/>
        <v>#REF!</v>
      </c>
      <c r="H518" s="105" t="e">
        <f>SUMIFS(#REF!,#REF!,$A518,#REF!,$B518,#REF!,$C518,#REF!,"Other Sector Demand")</f>
        <v>#REF!</v>
      </c>
      <c r="I518" s="105" t="e">
        <f t="shared" si="33"/>
        <v>#REF!</v>
      </c>
      <c r="J518" s="106" t="e">
        <f t="shared" si="34"/>
        <v>#REF!</v>
      </c>
      <c r="K518" s="107" t="e">
        <f t="shared" si="35"/>
        <v>#REF!</v>
      </c>
    </row>
    <row r="519" spans="1:11" ht="15" customHeight="1" x14ac:dyDescent="0.2">
      <c r="A519" s="104" t="s">
        <v>207</v>
      </c>
      <c r="B519" s="104" t="s">
        <v>206</v>
      </c>
      <c r="C519" s="104" t="s">
        <v>39</v>
      </c>
      <c r="D519" s="104">
        <v>2030</v>
      </c>
      <c r="E519" s="105" t="e">
        <f>SUMIFS(#REF!,#REF!,$A519,#REF!,$B519,#REF!,$C519,#REF!,"Storage Demand")</f>
        <v>#REF!</v>
      </c>
      <c r="F519" s="105" t="e">
        <f>SUMIFS(#REF!,#REF!,$A519,#REF!,$B519,#REF!,$C519,#REF!,"&lt;&gt;Other Sector Demand")</f>
        <v>#REF!</v>
      </c>
      <c r="G519" s="106" t="e">
        <f t="shared" si="32"/>
        <v>#REF!</v>
      </c>
      <c r="H519" s="105" t="e">
        <f>SUMIFS(#REF!,#REF!,$A519,#REF!,$B519,#REF!,$C519,#REF!,"Other Sector Demand")</f>
        <v>#REF!</v>
      </c>
      <c r="I519" s="105" t="e">
        <f t="shared" si="33"/>
        <v>#REF!</v>
      </c>
      <c r="J519" s="106" t="e">
        <f t="shared" si="34"/>
        <v>#REF!</v>
      </c>
      <c r="K519" s="107" t="e">
        <f t="shared" si="35"/>
        <v>#REF!</v>
      </c>
    </row>
    <row r="520" spans="1:11" ht="15" customHeight="1" x14ac:dyDescent="0.2">
      <c r="A520" s="104" t="s">
        <v>207</v>
      </c>
      <c r="B520" s="104" t="s">
        <v>206</v>
      </c>
      <c r="C520" s="104" t="s">
        <v>39</v>
      </c>
      <c r="D520" s="104">
        <v>2040</v>
      </c>
      <c r="E520" s="105" t="e">
        <f>SUMIFS(#REF!,#REF!,$A520,#REF!,$B520,#REF!,$C520,#REF!,"Storage Demand")</f>
        <v>#REF!</v>
      </c>
      <c r="F520" s="105" t="e">
        <f>SUMIFS(#REF!,#REF!,$A520,#REF!,$B520,#REF!,$C520,#REF!,"&lt;&gt;Other Sector Demand")</f>
        <v>#REF!</v>
      </c>
      <c r="G520" s="106" t="e">
        <f t="shared" si="32"/>
        <v>#REF!</v>
      </c>
      <c r="H520" s="105" t="e">
        <f>SUMIFS(#REF!,#REF!,$A520,#REF!,$B520,#REF!,$C520,#REF!,"Other Sector Demand")</f>
        <v>#REF!</v>
      </c>
      <c r="I520" s="105" t="e">
        <f t="shared" si="33"/>
        <v>#REF!</v>
      </c>
      <c r="J520" s="106" t="e">
        <f t="shared" si="34"/>
        <v>#REF!</v>
      </c>
      <c r="K520" s="107" t="e">
        <f t="shared" si="35"/>
        <v>#REF!</v>
      </c>
    </row>
    <row r="521" spans="1:11" ht="15" customHeight="1" x14ac:dyDescent="0.2">
      <c r="A521" s="104" t="s">
        <v>207</v>
      </c>
      <c r="B521" s="104" t="s">
        <v>206</v>
      </c>
      <c r="C521" s="104" t="s">
        <v>39</v>
      </c>
      <c r="D521" s="104">
        <v>2050</v>
      </c>
      <c r="E521" s="105" t="e">
        <f>SUMIFS(#REF!,#REF!,$A521,#REF!,$B521,#REF!,$C521,#REF!,"Storage Demand")</f>
        <v>#REF!</v>
      </c>
      <c r="F521" s="105" t="e">
        <f>SUMIFS(#REF!,#REF!,$A521,#REF!,$B521,#REF!,$C521,#REF!,"&lt;&gt;Other Sector Demand")</f>
        <v>#REF!</v>
      </c>
      <c r="G521" s="106" t="e">
        <f t="shared" si="32"/>
        <v>#REF!</v>
      </c>
      <c r="H521" s="105" t="e">
        <f>SUMIFS(#REF!,#REF!,$A521,#REF!,$B521,#REF!,$C521,#REF!,"Other Sector Demand")</f>
        <v>#REF!</v>
      </c>
      <c r="I521" s="105" t="e">
        <f t="shared" si="33"/>
        <v>#REF!</v>
      </c>
      <c r="J521" s="106" t="e">
        <f t="shared" si="34"/>
        <v>#REF!</v>
      </c>
      <c r="K521" s="107" t="e">
        <f t="shared" si="35"/>
        <v>#REF!</v>
      </c>
    </row>
    <row r="522" spans="1:11" ht="15" customHeight="1" x14ac:dyDescent="0.2">
      <c r="A522" s="104" t="s">
        <v>207</v>
      </c>
      <c r="B522" s="104" t="s">
        <v>206</v>
      </c>
      <c r="C522" s="104" t="s">
        <v>40</v>
      </c>
      <c r="D522" s="104">
        <v>2020</v>
      </c>
      <c r="E522" s="105" t="e">
        <f>SUMIFS(#REF!,#REF!,$A522,#REF!,$B522,#REF!,$C522,#REF!,"Storage Demand")</f>
        <v>#REF!</v>
      </c>
      <c r="F522" s="105" t="e">
        <f>SUMIFS(#REF!,#REF!,$A522,#REF!,$B522,#REF!,$C522,#REF!,"&lt;&gt;Other Sector Demand")</f>
        <v>#REF!</v>
      </c>
      <c r="G522" s="106" t="e">
        <f t="shared" si="32"/>
        <v>#REF!</v>
      </c>
      <c r="H522" s="105" t="e">
        <f>SUMIFS(#REF!,#REF!,$A522,#REF!,$B522,#REF!,$C522,#REF!,"Other Sector Demand")</f>
        <v>#REF!</v>
      </c>
      <c r="I522" s="105" t="e">
        <f t="shared" si="33"/>
        <v>#REF!</v>
      </c>
      <c r="J522" s="106" t="e">
        <f t="shared" si="34"/>
        <v>#REF!</v>
      </c>
      <c r="K522" s="107" t="e">
        <f t="shared" si="35"/>
        <v>#REF!</v>
      </c>
    </row>
    <row r="523" spans="1:11" ht="15" customHeight="1" x14ac:dyDescent="0.2">
      <c r="A523" s="104" t="s">
        <v>207</v>
      </c>
      <c r="B523" s="104" t="s">
        <v>206</v>
      </c>
      <c r="C523" s="104" t="s">
        <v>40</v>
      </c>
      <c r="D523" s="104">
        <v>2030</v>
      </c>
      <c r="E523" s="105" t="e">
        <f>SUMIFS(#REF!,#REF!,$A523,#REF!,$B523,#REF!,$C523,#REF!,"Storage Demand")</f>
        <v>#REF!</v>
      </c>
      <c r="F523" s="105" t="e">
        <f>SUMIFS(#REF!,#REF!,$A523,#REF!,$B523,#REF!,$C523,#REF!,"&lt;&gt;Other Sector Demand")</f>
        <v>#REF!</v>
      </c>
      <c r="G523" s="106" t="e">
        <f t="shared" si="32"/>
        <v>#REF!</v>
      </c>
      <c r="H523" s="105" t="e">
        <f>SUMIFS(#REF!,#REF!,$A523,#REF!,$B523,#REF!,$C523,#REF!,"Other Sector Demand")</f>
        <v>#REF!</v>
      </c>
      <c r="I523" s="105" t="e">
        <f t="shared" si="33"/>
        <v>#REF!</v>
      </c>
      <c r="J523" s="106" t="e">
        <f t="shared" si="34"/>
        <v>#REF!</v>
      </c>
      <c r="K523" s="107" t="e">
        <f t="shared" si="35"/>
        <v>#REF!</v>
      </c>
    </row>
    <row r="524" spans="1:11" ht="15" customHeight="1" x14ac:dyDescent="0.2">
      <c r="A524" s="104" t="s">
        <v>207</v>
      </c>
      <c r="B524" s="104" t="s">
        <v>206</v>
      </c>
      <c r="C524" s="104" t="s">
        <v>40</v>
      </c>
      <c r="D524" s="104">
        <v>2040</v>
      </c>
      <c r="E524" s="105" t="e">
        <f>SUMIFS(#REF!,#REF!,$A524,#REF!,$B524,#REF!,$C524,#REF!,"Storage Demand")</f>
        <v>#REF!</v>
      </c>
      <c r="F524" s="105" t="e">
        <f>SUMIFS(#REF!,#REF!,$A524,#REF!,$B524,#REF!,$C524,#REF!,"&lt;&gt;Other Sector Demand")</f>
        <v>#REF!</v>
      </c>
      <c r="G524" s="106" t="e">
        <f t="shared" si="32"/>
        <v>#REF!</v>
      </c>
      <c r="H524" s="105" t="e">
        <f>SUMIFS(#REF!,#REF!,$A524,#REF!,$B524,#REF!,$C524,#REF!,"Other Sector Demand")</f>
        <v>#REF!</v>
      </c>
      <c r="I524" s="105" t="e">
        <f t="shared" si="33"/>
        <v>#REF!</v>
      </c>
      <c r="J524" s="106" t="e">
        <f t="shared" si="34"/>
        <v>#REF!</v>
      </c>
      <c r="K524" s="107" t="e">
        <f t="shared" si="35"/>
        <v>#REF!</v>
      </c>
    </row>
    <row r="525" spans="1:11" ht="15" customHeight="1" x14ac:dyDescent="0.2">
      <c r="A525" s="104" t="s">
        <v>207</v>
      </c>
      <c r="B525" s="104" t="s">
        <v>206</v>
      </c>
      <c r="C525" s="104" t="s">
        <v>40</v>
      </c>
      <c r="D525" s="104">
        <v>2050</v>
      </c>
      <c r="E525" s="105" t="e">
        <f>SUMIFS(#REF!,#REF!,$A525,#REF!,$B525,#REF!,$C525,#REF!,"Storage Demand")</f>
        <v>#REF!</v>
      </c>
      <c r="F525" s="105" t="e">
        <f>SUMIFS(#REF!,#REF!,$A525,#REF!,$B525,#REF!,$C525,#REF!,"&lt;&gt;Other Sector Demand")</f>
        <v>#REF!</v>
      </c>
      <c r="G525" s="106" t="e">
        <f t="shared" si="32"/>
        <v>#REF!</v>
      </c>
      <c r="H525" s="105" t="e">
        <f>SUMIFS(#REF!,#REF!,$A525,#REF!,$B525,#REF!,$C525,#REF!,"Other Sector Demand")</f>
        <v>#REF!</v>
      </c>
      <c r="I525" s="105" t="e">
        <f t="shared" si="33"/>
        <v>#REF!</v>
      </c>
      <c r="J525" s="106" t="e">
        <f t="shared" si="34"/>
        <v>#REF!</v>
      </c>
      <c r="K525" s="107" t="e">
        <f t="shared" si="35"/>
        <v>#REF!</v>
      </c>
    </row>
    <row r="526" spans="1:11" ht="15" customHeight="1" x14ac:dyDescent="0.2">
      <c r="A526" s="104" t="s">
        <v>207</v>
      </c>
      <c r="B526" s="104" t="s">
        <v>206</v>
      </c>
      <c r="C526" s="104" t="s">
        <v>41</v>
      </c>
      <c r="D526" s="104">
        <v>2020</v>
      </c>
      <c r="E526" s="105" t="e">
        <f>SUMIFS(#REF!,#REF!,$A526,#REF!,$B526,#REF!,$C526,#REF!,"Storage Demand")</f>
        <v>#REF!</v>
      </c>
      <c r="F526" s="105" t="e">
        <f>SUMIFS(#REF!,#REF!,$A526,#REF!,$B526,#REF!,$C526,#REF!,"&lt;&gt;Other Sector Demand")</f>
        <v>#REF!</v>
      </c>
      <c r="G526" s="106" t="e">
        <f t="shared" si="32"/>
        <v>#REF!</v>
      </c>
      <c r="H526" s="105" t="e">
        <f>SUMIFS(#REF!,#REF!,$A526,#REF!,$B526,#REF!,$C526,#REF!,"Other Sector Demand")</f>
        <v>#REF!</v>
      </c>
      <c r="I526" s="105" t="e">
        <f t="shared" si="33"/>
        <v>#REF!</v>
      </c>
      <c r="J526" s="106" t="e">
        <f t="shared" si="34"/>
        <v>#REF!</v>
      </c>
      <c r="K526" s="107" t="e">
        <f t="shared" si="35"/>
        <v>#REF!</v>
      </c>
    </row>
    <row r="527" spans="1:11" ht="15" customHeight="1" x14ac:dyDescent="0.2">
      <c r="A527" s="104" t="s">
        <v>207</v>
      </c>
      <c r="B527" s="104" t="s">
        <v>206</v>
      </c>
      <c r="C527" s="104" t="s">
        <v>41</v>
      </c>
      <c r="D527" s="104">
        <v>2030</v>
      </c>
      <c r="E527" s="105" t="e">
        <f>SUMIFS(#REF!,#REF!,$A527,#REF!,$B527,#REF!,$C527,#REF!,"Storage Demand")</f>
        <v>#REF!</v>
      </c>
      <c r="F527" s="105" t="e">
        <f>SUMIFS(#REF!,#REF!,$A527,#REF!,$B527,#REF!,$C527,#REF!,"&lt;&gt;Other Sector Demand")</f>
        <v>#REF!</v>
      </c>
      <c r="G527" s="106" t="e">
        <f t="shared" si="32"/>
        <v>#REF!</v>
      </c>
      <c r="H527" s="105" t="e">
        <f>SUMIFS(#REF!,#REF!,$A527,#REF!,$B527,#REF!,$C527,#REF!,"Other Sector Demand")</f>
        <v>#REF!</v>
      </c>
      <c r="I527" s="105" t="e">
        <f t="shared" si="33"/>
        <v>#REF!</v>
      </c>
      <c r="J527" s="106" t="e">
        <f t="shared" si="34"/>
        <v>#REF!</v>
      </c>
      <c r="K527" s="107" t="e">
        <f t="shared" si="35"/>
        <v>#REF!</v>
      </c>
    </row>
    <row r="528" spans="1:11" ht="15" customHeight="1" x14ac:dyDescent="0.2">
      <c r="A528" s="104" t="s">
        <v>207</v>
      </c>
      <c r="B528" s="104" t="s">
        <v>206</v>
      </c>
      <c r="C528" s="104" t="s">
        <v>41</v>
      </c>
      <c r="D528" s="104">
        <v>2040</v>
      </c>
      <c r="E528" s="105" t="e">
        <f>SUMIFS(#REF!,#REF!,$A528,#REF!,$B528,#REF!,$C528,#REF!,"Storage Demand")</f>
        <v>#REF!</v>
      </c>
      <c r="F528" s="105" t="e">
        <f>SUMIFS(#REF!,#REF!,$A528,#REF!,$B528,#REF!,$C528,#REF!,"&lt;&gt;Other Sector Demand")</f>
        <v>#REF!</v>
      </c>
      <c r="G528" s="106" t="e">
        <f t="shared" si="32"/>
        <v>#REF!</v>
      </c>
      <c r="H528" s="105" t="e">
        <f>SUMIFS(#REF!,#REF!,$A528,#REF!,$B528,#REF!,$C528,#REF!,"Other Sector Demand")</f>
        <v>#REF!</v>
      </c>
      <c r="I528" s="105" t="e">
        <f t="shared" si="33"/>
        <v>#REF!</v>
      </c>
      <c r="J528" s="106" t="e">
        <f t="shared" si="34"/>
        <v>#REF!</v>
      </c>
      <c r="K528" s="107" t="e">
        <f t="shared" si="35"/>
        <v>#REF!</v>
      </c>
    </row>
    <row r="529" spans="1:11" ht="15" customHeight="1" x14ac:dyDescent="0.2">
      <c r="A529" s="104" t="s">
        <v>207</v>
      </c>
      <c r="B529" s="104" t="s">
        <v>206</v>
      </c>
      <c r="C529" s="104" t="s">
        <v>41</v>
      </c>
      <c r="D529" s="104">
        <v>2050</v>
      </c>
      <c r="E529" s="105" t="e">
        <f>SUMIFS(#REF!,#REF!,$A529,#REF!,$B529,#REF!,$C529,#REF!,"Storage Demand")</f>
        <v>#REF!</v>
      </c>
      <c r="F529" s="105" t="e">
        <f>SUMIFS(#REF!,#REF!,$A529,#REF!,$B529,#REF!,$C529,#REF!,"&lt;&gt;Other Sector Demand")</f>
        <v>#REF!</v>
      </c>
      <c r="G529" s="106" t="e">
        <f t="shared" si="32"/>
        <v>#REF!</v>
      </c>
      <c r="H529" s="105" t="e">
        <f>SUMIFS(#REF!,#REF!,$A529,#REF!,$B529,#REF!,$C529,#REF!,"Other Sector Demand")</f>
        <v>#REF!</v>
      </c>
      <c r="I529" s="105" t="e">
        <f t="shared" si="33"/>
        <v>#REF!</v>
      </c>
      <c r="J529" s="106" t="e">
        <f t="shared" si="34"/>
        <v>#REF!</v>
      </c>
      <c r="K529" s="107" t="e">
        <f t="shared" si="35"/>
        <v>#REF!</v>
      </c>
    </row>
    <row r="530" spans="1:11" ht="15" customHeight="1" x14ac:dyDescent="0.2">
      <c r="A530" s="104" t="s">
        <v>207</v>
      </c>
      <c r="B530" s="104" t="s">
        <v>206</v>
      </c>
      <c r="C530" s="104" t="s">
        <v>42</v>
      </c>
      <c r="D530" s="104">
        <v>2020</v>
      </c>
      <c r="E530" s="105" t="e">
        <f>SUMIFS(#REF!,#REF!,$A530,#REF!,$B530,#REF!,$C530,#REF!,"Storage Demand")</f>
        <v>#REF!</v>
      </c>
      <c r="F530" s="105" t="e">
        <f>SUMIFS(#REF!,#REF!,$A530,#REF!,$B530,#REF!,$C530,#REF!,"&lt;&gt;Other Sector Demand")</f>
        <v>#REF!</v>
      </c>
      <c r="G530" s="106" t="e">
        <f t="shared" si="32"/>
        <v>#REF!</v>
      </c>
      <c r="H530" s="105" t="e">
        <f>SUMIFS(#REF!,#REF!,$A530,#REF!,$B530,#REF!,$C530,#REF!,"Other Sector Demand")</f>
        <v>#REF!</v>
      </c>
      <c r="I530" s="105" t="e">
        <f t="shared" si="33"/>
        <v>#REF!</v>
      </c>
      <c r="J530" s="106" t="e">
        <f t="shared" si="34"/>
        <v>#REF!</v>
      </c>
      <c r="K530" s="107" t="e">
        <f t="shared" si="35"/>
        <v>#REF!</v>
      </c>
    </row>
    <row r="531" spans="1:11" ht="15" customHeight="1" x14ac:dyDescent="0.2">
      <c r="A531" s="104" t="s">
        <v>207</v>
      </c>
      <c r="B531" s="104" t="s">
        <v>206</v>
      </c>
      <c r="C531" s="104" t="s">
        <v>42</v>
      </c>
      <c r="D531" s="104">
        <v>2030</v>
      </c>
      <c r="E531" s="105" t="e">
        <f>SUMIFS(#REF!,#REF!,$A531,#REF!,$B531,#REF!,$C531,#REF!,"Storage Demand")</f>
        <v>#REF!</v>
      </c>
      <c r="F531" s="105" t="e">
        <f>SUMIFS(#REF!,#REF!,$A531,#REF!,$B531,#REF!,$C531,#REF!,"&lt;&gt;Other Sector Demand")</f>
        <v>#REF!</v>
      </c>
      <c r="G531" s="106" t="e">
        <f t="shared" si="32"/>
        <v>#REF!</v>
      </c>
      <c r="H531" s="105" t="e">
        <f>SUMIFS(#REF!,#REF!,$A531,#REF!,$B531,#REF!,$C531,#REF!,"Other Sector Demand")</f>
        <v>#REF!</v>
      </c>
      <c r="I531" s="105" t="e">
        <f t="shared" si="33"/>
        <v>#REF!</v>
      </c>
      <c r="J531" s="106" t="e">
        <f t="shared" si="34"/>
        <v>#REF!</v>
      </c>
      <c r="K531" s="107" t="e">
        <f t="shared" si="35"/>
        <v>#REF!</v>
      </c>
    </row>
    <row r="532" spans="1:11" ht="15" customHeight="1" x14ac:dyDescent="0.2">
      <c r="A532" s="104" t="s">
        <v>207</v>
      </c>
      <c r="B532" s="104" t="s">
        <v>206</v>
      </c>
      <c r="C532" s="104" t="s">
        <v>42</v>
      </c>
      <c r="D532" s="104">
        <v>2040</v>
      </c>
      <c r="E532" s="105" t="e">
        <f>SUMIFS(#REF!,#REF!,$A532,#REF!,$B532,#REF!,$C532,#REF!,"Storage Demand")</f>
        <v>#REF!</v>
      </c>
      <c r="F532" s="105" t="e">
        <f>SUMIFS(#REF!,#REF!,$A532,#REF!,$B532,#REF!,$C532,#REF!,"&lt;&gt;Other Sector Demand")</f>
        <v>#REF!</v>
      </c>
      <c r="G532" s="106" t="e">
        <f t="shared" si="32"/>
        <v>#REF!</v>
      </c>
      <c r="H532" s="105" t="e">
        <f>SUMIFS(#REF!,#REF!,$A532,#REF!,$B532,#REF!,$C532,#REF!,"Other Sector Demand")</f>
        <v>#REF!</v>
      </c>
      <c r="I532" s="105" t="e">
        <f t="shared" si="33"/>
        <v>#REF!</v>
      </c>
      <c r="J532" s="106" t="e">
        <f t="shared" si="34"/>
        <v>#REF!</v>
      </c>
      <c r="K532" s="107" t="e">
        <f t="shared" si="35"/>
        <v>#REF!</v>
      </c>
    </row>
    <row r="533" spans="1:11" ht="15" customHeight="1" x14ac:dyDescent="0.2">
      <c r="A533" s="104" t="s">
        <v>207</v>
      </c>
      <c r="B533" s="104" t="s">
        <v>206</v>
      </c>
      <c r="C533" s="104" t="s">
        <v>42</v>
      </c>
      <c r="D533" s="104">
        <v>2050</v>
      </c>
      <c r="E533" s="105" t="e">
        <f>SUMIFS(#REF!,#REF!,$A533,#REF!,$B533,#REF!,$C533,#REF!,"Storage Demand")</f>
        <v>#REF!</v>
      </c>
      <c r="F533" s="105" t="e">
        <f>SUMIFS(#REF!,#REF!,$A533,#REF!,$B533,#REF!,$C533,#REF!,"&lt;&gt;Other Sector Demand")</f>
        <v>#REF!</v>
      </c>
      <c r="G533" s="106" t="e">
        <f t="shared" si="32"/>
        <v>#REF!</v>
      </c>
      <c r="H533" s="105" t="e">
        <f>SUMIFS(#REF!,#REF!,$A533,#REF!,$B533,#REF!,$C533,#REF!,"Other Sector Demand")</f>
        <v>#REF!</v>
      </c>
      <c r="I533" s="105" t="e">
        <f t="shared" si="33"/>
        <v>#REF!</v>
      </c>
      <c r="J533" s="106" t="e">
        <f t="shared" si="34"/>
        <v>#REF!</v>
      </c>
      <c r="K533" s="107" t="e">
        <f t="shared" si="35"/>
        <v>#REF!</v>
      </c>
    </row>
    <row r="534" spans="1:11" ht="15" customHeight="1" x14ac:dyDescent="0.2">
      <c r="A534" s="104" t="s">
        <v>207</v>
      </c>
      <c r="B534" s="104" t="s">
        <v>206</v>
      </c>
      <c r="C534" s="104" t="s">
        <v>44</v>
      </c>
      <c r="D534" s="104">
        <v>2020</v>
      </c>
      <c r="E534" s="105" t="e">
        <f>SUMIFS(#REF!,#REF!,$A534,#REF!,$B534,#REF!,$C534,#REF!,"Storage Demand")</f>
        <v>#REF!</v>
      </c>
      <c r="F534" s="105" t="e">
        <f>SUMIFS(#REF!,#REF!,$A534,#REF!,$B534,#REF!,$C534,#REF!,"&lt;&gt;Other Sector Demand")</f>
        <v>#REF!</v>
      </c>
      <c r="G534" s="106" t="e">
        <f t="shared" si="32"/>
        <v>#REF!</v>
      </c>
      <c r="H534" s="105" t="e">
        <f>SUMIFS(#REF!,#REF!,$A534,#REF!,$B534,#REF!,$C534,#REF!,"Other Sector Demand")</f>
        <v>#REF!</v>
      </c>
      <c r="I534" s="105" t="e">
        <f t="shared" si="33"/>
        <v>#REF!</v>
      </c>
      <c r="J534" s="106" t="e">
        <f t="shared" si="34"/>
        <v>#REF!</v>
      </c>
      <c r="K534" s="107" t="e">
        <f t="shared" si="35"/>
        <v>#REF!</v>
      </c>
    </row>
    <row r="535" spans="1:11" ht="15" customHeight="1" x14ac:dyDescent="0.2">
      <c r="A535" s="104" t="s">
        <v>207</v>
      </c>
      <c r="B535" s="104" t="s">
        <v>206</v>
      </c>
      <c r="C535" s="104" t="s">
        <v>44</v>
      </c>
      <c r="D535" s="104">
        <v>2030</v>
      </c>
      <c r="E535" s="105" t="e">
        <f>SUMIFS(#REF!,#REF!,$A535,#REF!,$B535,#REF!,$C535,#REF!,"Storage Demand")</f>
        <v>#REF!</v>
      </c>
      <c r="F535" s="105" t="e">
        <f>SUMIFS(#REF!,#REF!,$A535,#REF!,$B535,#REF!,$C535,#REF!,"&lt;&gt;Other Sector Demand")</f>
        <v>#REF!</v>
      </c>
      <c r="G535" s="106" t="e">
        <f t="shared" si="32"/>
        <v>#REF!</v>
      </c>
      <c r="H535" s="105" t="e">
        <f>SUMIFS(#REF!,#REF!,$A535,#REF!,$B535,#REF!,$C535,#REF!,"Other Sector Demand")</f>
        <v>#REF!</v>
      </c>
      <c r="I535" s="105" t="e">
        <f t="shared" si="33"/>
        <v>#REF!</v>
      </c>
      <c r="J535" s="106" t="e">
        <f t="shared" si="34"/>
        <v>#REF!</v>
      </c>
      <c r="K535" s="107" t="e">
        <f t="shared" si="35"/>
        <v>#REF!</v>
      </c>
    </row>
    <row r="536" spans="1:11" ht="15" customHeight="1" x14ac:dyDescent="0.2">
      <c r="A536" s="104" t="s">
        <v>207</v>
      </c>
      <c r="B536" s="104" t="s">
        <v>206</v>
      </c>
      <c r="C536" s="104" t="s">
        <v>44</v>
      </c>
      <c r="D536" s="104">
        <v>2040</v>
      </c>
      <c r="E536" s="105" t="e">
        <f>SUMIFS(#REF!,#REF!,$A536,#REF!,$B536,#REF!,$C536,#REF!,"Storage Demand")</f>
        <v>#REF!</v>
      </c>
      <c r="F536" s="105" t="e">
        <f>SUMIFS(#REF!,#REF!,$A536,#REF!,$B536,#REF!,$C536,#REF!,"&lt;&gt;Other Sector Demand")</f>
        <v>#REF!</v>
      </c>
      <c r="G536" s="106" t="e">
        <f t="shared" si="32"/>
        <v>#REF!</v>
      </c>
      <c r="H536" s="105" t="e">
        <f>SUMIFS(#REF!,#REF!,$A536,#REF!,$B536,#REF!,$C536,#REF!,"Other Sector Demand")</f>
        <v>#REF!</v>
      </c>
      <c r="I536" s="105" t="e">
        <f t="shared" si="33"/>
        <v>#REF!</v>
      </c>
      <c r="J536" s="106" t="e">
        <f t="shared" si="34"/>
        <v>#REF!</v>
      </c>
      <c r="K536" s="107" t="e">
        <f t="shared" si="35"/>
        <v>#REF!</v>
      </c>
    </row>
    <row r="537" spans="1:11" ht="15" customHeight="1" x14ac:dyDescent="0.2">
      <c r="A537" s="104" t="s">
        <v>207</v>
      </c>
      <c r="B537" s="104" t="s">
        <v>206</v>
      </c>
      <c r="C537" s="104" t="s">
        <v>44</v>
      </c>
      <c r="D537" s="104">
        <v>2050</v>
      </c>
      <c r="E537" s="105" t="e">
        <f>SUMIFS(#REF!,#REF!,$A537,#REF!,$B537,#REF!,$C537,#REF!,"Storage Demand")</f>
        <v>#REF!</v>
      </c>
      <c r="F537" s="105" t="e">
        <f>SUMIFS(#REF!,#REF!,$A537,#REF!,$B537,#REF!,$C537,#REF!,"&lt;&gt;Other Sector Demand")</f>
        <v>#REF!</v>
      </c>
      <c r="G537" s="106" t="e">
        <f t="shared" si="32"/>
        <v>#REF!</v>
      </c>
      <c r="H537" s="105" t="e">
        <f>SUMIFS(#REF!,#REF!,$A537,#REF!,$B537,#REF!,$C537,#REF!,"Other Sector Demand")</f>
        <v>#REF!</v>
      </c>
      <c r="I537" s="105" t="e">
        <f t="shared" si="33"/>
        <v>#REF!</v>
      </c>
      <c r="J537" s="106" t="e">
        <f t="shared" si="34"/>
        <v>#REF!</v>
      </c>
      <c r="K537" s="107" t="e">
        <f t="shared" si="35"/>
        <v>#REF!</v>
      </c>
    </row>
    <row r="538" spans="1:11" ht="15" customHeight="1" x14ac:dyDescent="0.2">
      <c r="A538" s="104" t="s">
        <v>207</v>
      </c>
      <c r="B538" s="104" t="s">
        <v>206</v>
      </c>
      <c r="C538" s="104" t="s">
        <v>45</v>
      </c>
      <c r="D538" s="104">
        <v>2020</v>
      </c>
      <c r="E538" s="105" t="e">
        <f>SUMIFS(#REF!,#REF!,$A538,#REF!,$B538,#REF!,$C538,#REF!,"Storage Demand")</f>
        <v>#REF!</v>
      </c>
      <c r="F538" s="105" t="e">
        <f>SUMIFS(#REF!,#REF!,$A538,#REF!,$B538,#REF!,$C538,#REF!,"&lt;&gt;Other Sector Demand")</f>
        <v>#REF!</v>
      </c>
      <c r="G538" s="106" t="e">
        <f t="shared" si="32"/>
        <v>#REF!</v>
      </c>
      <c r="H538" s="105" t="e">
        <f>SUMIFS(#REF!,#REF!,$A538,#REF!,$B538,#REF!,$C538,#REF!,"Other Sector Demand")</f>
        <v>#REF!</v>
      </c>
      <c r="I538" s="105" t="e">
        <f t="shared" si="33"/>
        <v>#REF!</v>
      </c>
      <c r="J538" s="106" t="e">
        <f t="shared" si="34"/>
        <v>#REF!</v>
      </c>
      <c r="K538" s="107" t="e">
        <f t="shared" si="35"/>
        <v>#REF!</v>
      </c>
    </row>
    <row r="539" spans="1:11" ht="15" customHeight="1" x14ac:dyDescent="0.2">
      <c r="A539" s="104" t="s">
        <v>207</v>
      </c>
      <c r="B539" s="104" t="s">
        <v>206</v>
      </c>
      <c r="C539" s="104" t="s">
        <v>45</v>
      </c>
      <c r="D539" s="104">
        <v>2030</v>
      </c>
      <c r="E539" s="105" t="e">
        <f>SUMIFS(#REF!,#REF!,$A539,#REF!,$B539,#REF!,$C539,#REF!,"Storage Demand")</f>
        <v>#REF!</v>
      </c>
      <c r="F539" s="105" t="e">
        <f>SUMIFS(#REF!,#REF!,$A539,#REF!,$B539,#REF!,$C539,#REF!,"&lt;&gt;Other Sector Demand")</f>
        <v>#REF!</v>
      </c>
      <c r="G539" s="106" t="e">
        <f t="shared" si="32"/>
        <v>#REF!</v>
      </c>
      <c r="H539" s="105" t="e">
        <f>SUMIFS(#REF!,#REF!,$A539,#REF!,$B539,#REF!,$C539,#REF!,"Other Sector Demand")</f>
        <v>#REF!</v>
      </c>
      <c r="I539" s="105" t="e">
        <f t="shared" si="33"/>
        <v>#REF!</v>
      </c>
      <c r="J539" s="106" t="e">
        <f t="shared" si="34"/>
        <v>#REF!</v>
      </c>
      <c r="K539" s="107" t="e">
        <f t="shared" si="35"/>
        <v>#REF!</v>
      </c>
    </row>
    <row r="540" spans="1:11" ht="15" customHeight="1" x14ac:dyDescent="0.2">
      <c r="A540" s="104" t="s">
        <v>207</v>
      </c>
      <c r="B540" s="104" t="s">
        <v>206</v>
      </c>
      <c r="C540" s="104" t="s">
        <v>45</v>
      </c>
      <c r="D540" s="104">
        <v>2040</v>
      </c>
      <c r="E540" s="105" t="e">
        <f>SUMIFS(#REF!,#REF!,$A540,#REF!,$B540,#REF!,$C540,#REF!,"Storage Demand")</f>
        <v>#REF!</v>
      </c>
      <c r="F540" s="105" t="e">
        <f>SUMIFS(#REF!,#REF!,$A540,#REF!,$B540,#REF!,$C540,#REF!,"&lt;&gt;Other Sector Demand")</f>
        <v>#REF!</v>
      </c>
      <c r="G540" s="106" t="e">
        <f t="shared" si="32"/>
        <v>#REF!</v>
      </c>
      <c r="H540" s="105" t="e">
        <f>SUMIFS(#REF!,#REF!,$A540,#REF!,$B540,#REF!,$C540,#REF!,"Other Sector Demand")</f>
        <v>#REF!</v>
      </c>
      <c r="I540" s="105" t="e">
        <f t="shared" si="33"/>
        <v>#REF!</v>
      </c>
      <c r="J540" s="106" t="e">
        <f t="shared" si="34"/>
        <v>#REF!</v>
      </c>
      <c r="K540" s="107" t="e">
        <f t="shared" si="35"/>
        <v>#REF!</v>
      </c>
    </row>
    <row r="541" spans="1:11" ht="15" customHeight="1" x14ac:dyDescent="0.2">
      <c r="A541" s="104" t="s">
        <v>207</v>
      </c>
      <c r="B541" s="104" t="s">
        <v>206</v>
      </c>
      <c r="C541" s="104" t="s">
        <v>45</v>
      </c>
      <c r="D541" s="104">
        <v>2050</v>
      </c>
      <c r="E541" s="105" t="e">
        <f>SUMIFS(#REF!,#REF!,$A541,#REF!,$B541,#REF!,$C541,#REF!,"Storage Demand")</f>
        <v>#REF!</v>
      </c>
      <c r="F541" s="105" t="e">
        <f>SUMIFS(#REF!,#REF!,$A541,#REF!,$B541,#REF!,$C541,#REF!,"&lt;&gt;Other Sector Demand")</f>
        <v>#REF!</v>
      </c>
      <c r="G541" s="106" t="e">
        <f t="shared" si="32"/>
        <v>#REF!</v>
      </c>
      <c r="H541" s="105" t="e">
        <f>SUMIFS(#REF!,#REF!,$A541,#REF!,$B541,#REF!,$C541,#REF!,"Other Sector Demand")</f>
        <v>#REF!</v>
      </c>
      <c r="I541" s="105" t="e">
        <f t="shared" si="33"/>
        <v>#REF!</v>
      </c>
      <c r="J541" s="106" t="e">
        <f t="shared" si="34"/>
        <v>#REF!</v>
      </c>
      <c r="K541" s="107" t="e">
        <f t="shared" si="35"/>
        <v>#REF!</v>
      </c>
    </row>
    <row r="542" spans="1:11" ht="15" customHeight="1" x14ac:dyDescent="0.2">
      <c r="A542" s="104" t="s">
        <v>207</v>
      </c>
      <c r="B542" s="104" t="s">
        <v>206</v>
      </c>
      <c r="C542" s="104" t="s">
        <v>46</v>
      </c>
      <c r="D542" s="104">
        <v>2020</v>
      </c>
      <c r="E542" s="105" t="e">
        <f>SUMIFS(#REF!,#REF!,$A542,#REF!,$B542,#REF!,$C542,#REF!,"Storage Demand")</f>
        <v>#REF!</v>
      </c>
      <c r="F542" s="105" t="e">
        <f>SUMIFS(#REF!,#REF!,$A542,#REF!,$B542,#REF!,$C542,#REF!,"&lt;&gt;Other Sector Demand")</f>
        <v>#REF!</v>
      </c>
      <c r="G542" s="106" t="e">
        <f t="shared" si="32"/>
        <v>#REF!</v>
      </c>
      <c r="H542" s="105" t="e">
        <f>SUMIFS(#REF!,#REF!,$A542,#REF!,$B542,#REF!,$C542,#REF!,"Other Sector Demand")</f>
        <v>#REF!</v>
      </c>
      <c r="I542" s="105" t="e">
        <f t="shared" si="33"/>
        <v>#REF!</v>
      </c>
      <c r="J542" s="106" t="e">
        <f t="shared" si="34"/>
        <v>#REF!</v>
      </c>
      <c r="K542" s="107" t="e">
        <f t="shared" si="35"/>
        <v>#REF!</v>
      </c>
    </row>
    <row r="543" spans="1:11" ht="15" customHeight="1" x14ac:dyDescent="0.2">
      <c r="A543" s="104" t="s">
        <v>207</v>
      </c>
      <c r="B543" s="104" t="s">
        <v>206</v>
      </c>
      <c r="C543" s="104" t="s">
        <v>46</v>
      </c>
      <c r="D543" s="104">
        <v>2030</v>
      </c>
      <c r="E543" s="105" t="e">
        <f>SUMIFS(#REF!,#REF!,$A543,#REF!,$B543,#REF!,$C543,#REF!,"Storage Demand")</f>
        <v>#REF!</v>
      </c>
      <c r="F543" s="105" t="e">
        <f>SUMIFS(#REF!,#REF!,$A543,#REF!,$B543,#REF!,$C543,#REF!,"&lt;&gt;Other Sector Demand")</f>
        <v>#REF!</v>
      </c>
      <c r="G543" s="106" t="e">
        <f t="shared" si="32"/>
        <v>#REF!</v>
      </c>
      <c r="H543" s="105" t="e">
        <f>SUMIFS(#REF!,#REF!,$A543,#REF!,$B543,#REF!,$C543,#REF!,"Other Sector Demand")</f>
        <v>#REF!</v>
      </c>
      <c r="I543" s="105" t="e">
        <f t="shared" si="33"/>
        <v>#REF!</v>
      </c>
      <c r="J543" s="106" t="e">
        <f t="shared" si="34"/>
        <v>#REF!</v>
      </c>
      <c r="K543" s="107" t="e">
        <f t="shared" si="35"/>
        <v>#REF!</v>
      </c>
    </row>
    <row r="544" spans="1:11" ht="15" customHeight="1" x14ac:dyDescent="0.2">
      <c r="A544" s="104" t="s">
        <v>207</v>
      </c>
      <c r="B544" s="104" t="s">
        <v>206</v>
      </c>
      <c r="C544" s="104" t="s">
        <v>46</v>
      </c>
      <c r="D544" s="104">
        <v>2040</v>
      </c>
      <c r="E544" s="105" t="e">
        <f>SUMIFS(#REF!,#REF!,$A544,#REF!,$B544,#REF!,$C544,#REF!,"Storage Demand")</f>
        <v>#REF!</v>
      </c>
      <c r="F544" s="105" t="e">
        <f>SUMIFS(#REF!,#REF!,$A544,#REF!,$B544,#REF!,$C544,#REF!,"&lt;&gt;Other Sector Demand")</f>
        <v>#REF!</v>
      </c>
      <c r="G544" s="106" t="e">
        <f t="shared" si="32"/>
        <v>#REF!</v>
      </c>
      <c r="H544" s="105" t="e">
        <f>SUMIFS(#REF!,#REF!,$A544,#REF!,$B544,#REF!,$C544,#REF!,"Other Sector Demand")</f>
        <v>#REF!</v>
      </c>
      <c r="I544" s="105" t="e">
        <f t="shared" si="33"/>
        <v>#REF!</v>
      </c>
      <c r="J544" s="106" t="e">
        <f t="shared" si="34"/>
        <v>#REF!</v>
      </c>
      <c r="K544" s="107" t="e">
        <f t="shared" si="35"/>
        <v>#REF!</v>
      </c>
    </row>
    <row r="545" spans="1:11" ht="15" customHeight="1" x14ac:dyDescent="0.2">
      <c r="A545" s="104" t="s">
        <v>207</v>
      </c>
      <c r="B545" s="104" t="s">
        <v>206</v>
      </c>
      <c r="C545" s="104" t="s">
        <v>46</v>
      </c>
      <c r="D545" s="104">
        <v>2050</v>
      </c>
      <c r="E545" s="105" t="e">
        <f>SUMIFS(#REF!,#REF!,$A545,#REF!,$B545,#REF!,$C545,#REF!,"Storage Demand")</f>
        <v>#REF!</v>
      </c>
      <c r="F545" s="105" t="e">
        <f>SUMIFS(#REF!,#REF!,$A545,#REF!,$B545,#REF!,$C545,#REF!,"&lt;&gt;Other Sector Demand")</f>
        <v>#REF!</v>
      </c>
      <c r="G545" s="106" t="e">
        <f t="shared" si="32"/>
        <v>#REF!</v>
      </c>
      <c r="H545" s="105" t="e">
        <f>SUMIFS(#REF!,#REF!,$A545,#REF!,$B545,#REF!,$C545,#REF!,"Other Sector Demand")</f>
        <v>#REF!</v>
      </c>
      <c r="I545" s="105" t="e">
        <f t="shared" si="33"/>
        <v>#REF!</v>
      </c>
      <c r="J545" s="106" t="e">
        <f t="shared" si="34"/>
        <v>#REF!</v>
      </c>
      <c r="K545" s="107" t="e">
        <f t="shared" si="35"/>
        <v>#REF!</v>
      </c>
    </row>
    <row r="546" spans="1:11" ht="15" customHeight="1" x14ac:dyDescent="0.2">
      <c r="A546" s="104" t="s">
        <v>207</v>
      </c>
      <c r="B546" s="104" t="s">
        <v>206</v>
      </c>
      <c r="C546" s="104" t="s">
        <v>47</v>
      </c>
      <c r="D546" s="104">
        <v>2020</v>
      </c>
      <c r="E546" s="105" t="e">
        <f>SUMIFS(#REF!,#REF!,$A546,#REF!,$B546,#REF!,$C546,#REF!,"Storage Demand")</f>
        <v>#REF!</v>
      </c>
      <c r="F546" s="105" t="e">
        <f>SUMIFS(#REF!,#REF!,$A546,#REF!,$B546,#REF!,$C546,#REF!,"&lt;&gt;Other Sector Demand")</f>
        <v>#REF!</v>
      </c>
      <c r="G546" s="106" t="e">
        <f t="shared" si="32"/>
        <v>#REF!</v>
      </c>
      <c r="H546" s="105" t="e">
        <f>SUMIFS(#REF!,#REF!,$A546,#REF!,$B546,#REF!,$C546,#REF!,"Other Sector Demand")</f>
        <v>#REF!</v>
      </c>
      <c r="I546" s="105" t="e">
        <f t="shared" si="33"/>
        <v>#REF!</v>
      </c>
      <c r="J546" s="106" t="e">
        <f t="shared" si="34"/>
        <v>#REF!</v>
      </c>
      <c r="K546" s="107" t="e">
        <f t="shared" si="35"/>
        <v>#REF!</v>
      </c>
    </row>
    <row r="547" spans="1:11" ht="15" customHeight="1" x14ac:dyDescent="0.2">
      <c r="A547" s="104" t="s">
        <v>207</v>
      </c>
      <c r="B547" s="104" t="s">
        <v>206</v>
      </c>
      <c r="C547" s="104" t="s">
        <v>47</v>
      </c>
      <c r="D547" s="104">
        <v>2030</v>
      </c>
      <c r="E547" s="105" t="e">
        <f>SUMIFS(#REF!,#REF!,$A547,#REF!,$B547,#REF!,$C547,#REF!,"Storage Demand")</f>
        <v>#REF!</v>
      </c>
      <c r="F547" s="105" t="e">
        <f>SUMIFS(#REF!,#REF!,$A547,#REF!,$B547,#REF!,$C547,#REF!,"&lt;&gt;Other Sector Demand")</f>
        <v>#REF!</v>
      </c>
      <c r="G547" s="106" t="e">
        <f t="shared" si="32"/>
        <v>#REF!</v>
      </c>
      <c r="H547" s="105" t="e">
        <f>SUMIFS(#REF!,#REF!,$A547,#REF!,$B547,#REF!,$C547,#REF!,"Other Sector Demand")</f>
        <v>#REF!</v>
      </c>
      <c r="I547" s="105" t="e">
        <f t="shared" si="33"/>
        <v>#REF!</v>
      </c>
      <c r="J547" s="106" t="e">
        <f t="shared" si="34"/>
        <v>#REF!</v>
      </c>
      <c r="K547" s="107" t="e">
        <f t="shared" si="35"/>
        <v>#REF!</v>
      </c>
    </row>
    <row r="548" spans="1:11" ht="15" customHeight="1" x14ac:dyDescent="0.2">
      <c r="A548" s="104" t="s">
        <v>207</v>
      </c>
      <c r="B548" s="104" t="s">
        <v>206</v>
      </c>
      <c r="C548" s="104" t="s">
        <v>47</v>
      </c>
      <c r="D548" s="104">
        <v>2040</v>
      </c>
      <c r="E548" s="105" t="e">
        <f>SUMIFS(#REF!,#REF!,$A548,#REF!,$B548,#REF!,$C548,#REF!,"Storage Demand")</f>
        <v>#REF!</v>
      </c>
      <c r="F548" s="105" t="e">
        <f>SUMIFS(#REF!,#REF!,$A548,#REF!,$B548,#REF!,$C548,#REF!,"&lt;&gt;Other Sector Demand")</f>
        <v>#REF!</v>
      </c>
      <c r="G548" s="106" t="e">
        <f t="shared" si="32"/>
        <v>#REF!</v>
      </c>
      <c r="H548" s="105" t="e">
        <f>SUMIFS(#REF!,#REF!,$A548,#REF!,$B548,#REF!,$C548,#REF!,"Other Sector Demand")</f>
        <v>#REF!</v>
      </c>
      <c r="I548" s="105" t="e">
        <f t="shared" si="33"/>
        <v>#REF!</v>
      </c>
      <c r="J548" s="106" t="e">
        <f t="shared" si="34"/>
        <v>#REF!</v>
      </c>
      <c r="K548" s="107" t="e">
        <f t="shared" si="35"/>
        <v>#REF!</v>
      </c>
    </row>
    <row r="549" spans="1:11" ht="15" customHeight="1" x14ac:dyDescent="0.2">
      <c r="A549" s="104" t="s">
        <v>207</v>
      </c>
      <c r="B549" s="104" t="s">
        <v>206</v>
      </c>
      <c r="C549" s="104" t="s">
        <v>47</v>
      </c>
      <c r="D549" s="104">
        <v>2050</v>
      </c>
      <c r="E549" s="105" t="e">
        <f>SUMIFS(#REF!,#REF!,$A549,#REF!,$B549,#REF!,$C549,#REF!,"Storage Demand")</f>
        <v>#REF!</v>
      </c>
      <c r="F549" s="105" t="e">
        <f>SUMIFS(#REF!,#REF!,$A549,#REF!,$B549,#REF!,$C549,#REF!,"&lt;&gt;Other Sector Demand")</f>
        <v>#REF!</v>
      </c>
      <c r="G549" s="106" t="e">
        <f t="shared" si="32"/>
        <v>#REF!</v>
      </c>
      <c r="H549" s="105" t="e">
        <f>SUMIFS(#REF!,#REF!,$A549,#REF!,$B549,#REF!,$C549,#REF!,"Other Sector Demand")</f>
        <v>#REF!</v>
      </c>
      <c r="I549" s="105" t="e">
        <f t="shared" si="33"/>
        <v>#REF!</v>
      </c>
      <c r="J549" s="106" t="e">
        <f t="shared" si="34"/>
        <v>#REF!</v>
      </c>
      <c r="K549" s="107" t="e">
        <f t="shared" si="35"/>
        <v>#REF!</v>
      </c>
    </row>
    <row r="550" spans="1:11" ht="15" customHeight="1" x14ac:dyDescent="0.2">
      <c r="A550" s="104" t="s">
        <v>207</v>
      </c>
      <c r="B550" s="104" t="s">
        <v>206</v>
      </c>
      <c r="C550" s="104" t="s">
        <v>49</v>
      </c>
      <c r="D550" s="104">
        <v>2020</v>
      </c>
      <c r="E550" s="105" t="e">
        <f>SUMIFS(#REF!,#REF!,$A550,#REF!,$B550,#REF!,$C550,#REF!,"Storage Demand")</f>
        <v>#REF!</v>
      </c>
      <c r="F550" s="105" t="e">
        <f>SUMIFS(#REF!,#REF!,$A550,#REF!,$B550,#REF!,$C550,#REF!,"&lt;&gt;Other Sector Demand")</f>
        <v>#REF!</v>
      </c>
      <c r="G550" s="106" t="e">
        <f t="shared" si="32"/>
        <v>#REF!</v>
      </c>
      <c r="H550" s="105" t="e">
        <f>SUMIFS(#REF!,#REF!,$A550,#REF!,$B550,#REF!,$C550,#REF!,"Other Sector Demand")</f>
        <v>#REF!</v>
      </c>
      <c r="I550" s="105" t="e">
        <f t="shared" si="33"/>
        <v>#REF!</v>
      </c>
      <c r="J550" s="106" t="e">
        <f t="shared" si="34"/>
        <v>#REF!</v>
      </c>
      <c r="K550" s="107" t="e">
        <f t="shared" si="35"/>
        <v>#REF!</v>
      </c>
    </row>
    <row r="551" spans="1:11" ht="15" customHeight="1" x14ac:dyDescent="0.2">
      <c r="A551" s="104" t="s">
        <v>207</v>
      </c>
      <c r="B551" s="104" t="s">
        <v>206</v>
      </c>
      <c r="C551" s="104" t="s">
        <v>49</v>
      </c>
      <c r="D551" s="104">
        <v>2030</v>
      </c>
      <c r="E551" s="105" t="e">
        <f>SUMIFS(#REF!,#REF!,$A551,#REF!,$B551,#REF!,$C551,#REF!,"Storage Demand")</f>
        <v>#REF!</v>
      </c>
      <c r="F551" s="105" t="e">
        <f>SUMIFS(#REF!,#REF!,$A551,#REF!,$B551,#REF!,$C551,#REF!,"&lt;&gt;Other Sector Demand")</f>
        <v>#REF!</v>
      </c>
      <c r="G551" s="106" t="e">
        <f t="shared" si="32"/>
        <v>#REF!</v>
      </c>
      <c r="H551" s="105" t="e">
        <f>SUMIFS(#REF!,#REF!,$A551,#REF!,$B551,#REF!,$C551,#REF!,"Other Sector Demand")</f>
        <v>#REF!</v>
      </c>
      <c r="I551" s="105" t="e">
        <f t="shared" si="33"/>
        <v>#REF!</v>
      </c>
      <c r="J551" s="106" t="e">
        <f t="shared" si="34"/>
        <v>#REF!</v>
      </c>
      <c r="K551" s="107" t="e">
        <f t="shared" si="35"/>
        <v>#REF!</v>
      </c>
    </row>
    <row r="552" spans="1:11" ht="15" customHeight="1" x14ac:dyDescent="0.2">
      <c r="A552" s="104" t="s">
        <v>207</v>
      </c>
      <c r="B552" s="104" t="s">
        <v>206</v>
      </c>
      <c r="C552" s="104" t="s">
        <v>49</v>
      </c>
      <c r="D552" s="104">
        <v>2040</v>
      </c>
      <c r="E552" s="105" t="e">
        <f>SUMIFS(#REF!,#REF!,$A552,#REF!,$B552,#REF!,$C552,#REF!,"Storage Demand")</f>
        <v>#REF!</v>
      </c>
      <c r="F552" s="105" t="e">
        <f>SUMIFS(#REF!,#REF!,$A552,#REF!,$B552,#REF!,$C552,#REF!,"&lt;&gt;Other Sector Demand")</f>
        <v>#REF!</v>
      </c>
      <c r="G552" s="106" t="e">
        <f t="shared" si="32"/>
        <v>#REF!</v>
      </c>
      <c r="H552" s="105" t="e">
        <f>SUMIFS(#REF!,#REF!,$A552,#REF!,$B552,#REF!,$C552,#REF!,"Other Sector Demand")</f>
        <v>#REF!</v>
      </c>
      <c r="I552" s="105" t="e">
        <f t="shared" si="33"/>
        <v>#REF!</v>
      </c>
      <c r="J552" s="106" t="e">
        <f t="shared" si="34"/>
        <v>#REF!</v>
      </c>
      <c r="K552" s="107" t="e">
        <f t="shared" si="35"/>
        <v>#REF!</v>
      </c>
    </row>
    <row r="553" spans="1:11" ht="15" customHeight="1" x14ac:dyDescent="0.2">
      <c r="A553" s="104" t="s">
        <v>207</v>
      </c>
      <c r="B553" s="104" t="s">
        <v>206</v>
      </c>
      <c r="C553" s="104" t="s">
        <v>49</v>
      </c>
      <c r="D553" s="104">
        <v>2050</v>
      </c>
      <c r="E553" s="105" t="e">
        <f>SUMIFS(#REF!,#REF!,$A553,#REF!,$B553,#REF!,$C553,#REF!,"Storage Demand")</f>
        <v>#REF!</v>
      </c>
      <c r="F553" s="105" t="e">
        <f>SUMIFS(#REF!,#REF!,$A553,#REF!,$B553,#REF!,$C553,#REF!,"&lt;&gt;Other Sector Demand")</f>
        <v>#REF!</v>
      </c>
      <c r="G553" s="106" t="e">
        <f t="shared" si="32"/>
        <v>#REF!</v>
      </c>
      <c r="H553" s="105" t="e">
        <f>SUMIFS(#REF!,#REF!,$A553,#REF!,$B553,#REF!,$C553,#REF!,"Other Sector Demand")</f>
        <v>#REF!</v>
      </c>
      <c r="I553" s="105" t="e">
        <f t="shared" si="33"/>
        <v>#REF!</v>
      </c>
      <c r="J553" s="106" t="e">
        <f t="shared" si="34"/>
        <v>#REF!</v>
      </c>
      <c r="K553" s="107" t="e">
        <f t="shared" si="35"/>
        <v>#REF!</v>
      </c>
    </row>
    <row r="554" spans="1:11" ht="15" customHeight="1" x14ac:dyDescent="0.2">
      <c r="A554" s="104" t="s">
        <v>207</v>
      </c>
      <c r="B554" s="104" t="s">
        <v>206</v>
      </c>
      <c r="C554" s="104" t="s">
        <v>50</v>
      </c>
      <c r="D554" s="104">
        <v>2020</v>
      </c>
      <c r="E554" s="105" t="e">
        <f>SUMIFS(#REF!,#REF!,$A554,#REF!,$B554,#REF!,$C554,#REF!,"Storage Demand")</f>
        <v>#REF!</v>
      </c>
      <c r="F554" s="105" t="e">
        <f>SUMIFS(#REF!,#REF!,$A554,#REF!,$B554,#REF!,$C554,#REF!,"&lt;&gt;Other Sector Demand")</f>
        <v>#REF!</v>
      </c>
      <c r="G554" s="106" t="e">
        <f t="shared" si="32"/>
        <v>#REF!</v>
      </c>
      <c r="H554" s="105" t="e">
        <f>SUMIFS(#REF!,#REF!,$A554,#REF!,$B554,#REF!,$C554,#REF!,"Other Sector Demand")</f>
        <v>#REF!</v>
      </c>
      <c r="I554" s="105" t="e">
        <f t="shared" si="33"/>
        <v>#REF!</v>
      </c>
      <c r="J554" s="106" t="e">
        <f t="shared" si="34"/>
        <v>#REF!</v>
      </c>
      <c r="K554" s="107" t="e">
        <f t="shared" si="35"/>
        <v>#REF!</v>
      </c>
    </row>
    <row r="555" spans="1:11" ht="15" customHeight="1" x14ac:dyDescent="0.2">
      <c r="A555" s="104" t="s">
        <v>207</v>
      </c>
      <c r="B555" s="104" t="s">
        <v>206</v>
      </c>
      <c r="C555" s="104" t="s">
        <v>50</v>
      </c>
      <c r="D555" s="104">
        <v>2030</v>
      </c>
      <c r="E555" s="105" t="e">
        <f>SUMIFS(#REF!,#REF!,$A555,#REF!,$B555,#REF!,$C555,#REF!,"Storage Demand")</f>
        <v>#REF!</v>
      </c>
      <c r="F555" s="105" t="e">
        <f>SUMIFS(#REF!,#REF!,$A555,#REF!,$B555,#REF!,$C555,#REF!,"&lt;&gt;Other Sector Demand")</f>
        <v>#REF!</v>
      </c>
      <c r="G555" s="106" t="e">
        <f t="shared" si="32"/>
        <v>#REF!</v>
      </c>
      <c r="H555" s="105" t="e">
        <f>SUMIFS(#REF!,#REF!,$A555,#REF!,$B555,#REF!,$C555,#REF!,"Other Sector Demand")</f>
        <v>#REF!</v>
      </c>
      <c r="I555" s="105" t="e">
        <f t="shared" si="33"/>
        <v>#REF!</v>
      </c>
      <c r="J555" s="106" t="e">
        <f t="shared" si="34"/>
        <v>#REF!</v>
      </c>
      <c r="K555" s="107" t="e">
        <f t="shared" si="35"/>
        <v>#REF!</v>
      </c>
    </row>
    <row r="556" spans="1:11" ht="15" customHeight="1" x14ac:dyDescent="0.2">
      <c r="A556" s="104" t="s">
        <v>207</v>
      </c>
      <c r="B556" s="104" t="s">
        <v>206</v>
      </c>
      <c r="C556" s="104" t="s">
        <v>50</v>
      </c>
      <c r="D556" s="104">
        <v>2040</v>
      </c>
      <c r="E556" s="105" t="e">
        <f>SUMIFS(#REF!,#REF!,$A556,#REF!,$B556,#REF!,$C556,#REF!,"Storage Demand")</f>
        <v>#REF!</v>
      </c>
      <c r="F556" s="105" t="e">
        <f>SUMIFS(#REF!,#REF!,$A556,#REF!,$B556,#REF!,$C556,#REF!,"&lt;&gt;Other Sector Demand")</f>
        <v>#REF!</v>
      </c>
      <c r="G556" s="106" t="e">
        <f t="shared" si="32"/>
        <v>#REF!</v>
      </c>
      <c r="H556" s="105" t="e">
        <f>SUMIFS(#REF!,#REF!,$A556,#REF!,$B556,#REF!,$C556,#REF!,"Other Sector Demand")</f>
        <v>#REF!</v>
      </c>
      <c r="I556" s="105" t="e">
        <f t="shared" si="33"/>
        <v>#REF!</v>
      </c>
      <c r="J556" s="106" t="e">
        <f t="shared" si="34"/>
        <v>#REF!</v>
      </c>
      <c r="K556" s="107" t="e">
        <f t="shared" si="35"/>
        <v>#REF!</v>
      </c>
    </row>
    <row r="557" spans="1:11" ht="15" customHeight="1" x14ac:dyDescent="0.2">
      <c r="A557" s="104" t="s">
        <v>207</v>
      </c>
      <c r="B557" s="104" t="s">
        <v>206</v>
      </c>
      <c r="C557" s="104" t="s">
        <v>50</v>
      </c>
      <c r="D557" s="104">
        <v>2050</v>
      </c>
      <c r="E557" s="105" t="e">
        <f>SUMIFS(#REF!,#REF!,$A557,#REF!,$B557,#REF!,$C557,#REF!,"Storage Demand")</f>
        <v>#REF!</v>
      </c>
      <c r="F557" s="105" t="e">
        <f>SUMIFS(#REF!,#REF!,$A557,#REF!,$B557,#REF!,$C557,#REF!,"&lt;&gt;Other Sector Demand")</f>
        <v>#REF!</v>
      </c>
      <c r="G557" s="106" t="e">
        <f t="shared" si="32"/>
        <v>#REF!</v>
      </c>
      <c r="H557" s="105" t="e">
        <f>SUMIFS(#REF!,#REF!,$A557,#REF!,$B557,#REF!,$C557,#REF!,"Other Sector Demand")</f>
        <v>#REF!</v>
      </c>
      <c r="I557" s="105" t="e">
        <f t="shared" si="33"/>
        <v>#REF!</v>
      </c>
      <c r="J557" s="106" t="e">
        <f t="shared" si="34"/>
        <v>#REF!</v>
      </c>
      <c r="K557" s="107" t="e">
        <f t="shared" si="35"/>
        <v>#REF!</v>
      </c>
    </row>
    <row r="558" spans="1:11" ht="15" customHeight="1" x14ac:dyDescent="0.2">
      <c r="A558" s="104" t="s">
        <v>207</v>
      </c>
      <c r="B558" s="104" t="s">
        <v>206</v>
      </c>
      <c r="C558" s="104" t="s">
        <v>52</v>
      </c>
      <c r="D558" s="104">
        <v>2020</v>
      </c>
      <c r="E558" s="105" t="e">
        <f>SUMIFS(#REF!,#REF!,$A558,#REF!,$B558,#REF!,$C558,#REF!,"Storage Demand")</f>
        <v>#REF!</v>
      </c>
      <c r="F558" s="105" t="e">
        <f>SUMIFS(#REF!,#REF!,$A558,#REF!,$B558,#REF!,$C558,#REF!,"&lt;&gt;Other Sector Demand")</f>
        <v>#REF!</v>
      </c>
      <c r="G558" s="106" t="e">
        <f t="shared" si="32"/>
        <v>#REF!</v>
      </c>
      <c r="H558" s="105" t="e">
        <f>SUMIFS(#REF!,#REF!,$A558,#REF!,$B558,#REF!,$C558,#REF!,"Other Sector Demand")</f>
        <v>#REF!</v>
      </c>
      <c r="I558" s="105" t="e">
        <f t="shared" si="33"/>
        <v>#REF!</v>
      </c>
      <c r="J558" s="106" t="e">
        <f t="shared" si="34"/>
        <v>#REF!</v>
      </c>
      <c r="K558" s="107" t="e">
        <f t="shared" si="35"/>
        <v>#REF!</v>
      </c>
    </row>
    <row r="559" spans="1:11" ht="15" customHeight="1" x14ac:dyDescent="0.2">
      <c r="A559" s="104" t="s">
        <v>207</v>
      </c>
      <c r="B559" s="104" t="s">
        <v>206</v>
      </c>
      <c r="C559" s="104" t="s">
        <v>52</v>
      </c>
      <c r="D559" s="104">
        <v>2030</v>
      </c>
      <c r="E559" s="105" t="e">
        <f>SUMIFS(#REF!,#REF!,$A559,#REF!,$B559,#REF!,$C559,#REF!,"Storage Demand")</f>
        <v>#REF!</v>
      </c>
      <c r="F559" s="105" t="e">
        <f>SUMIFS(#REF!,#REF!,$A559,#REF!,$B559,#REF!,$C559,#REF!,"&lt;&gt;Other Sector Demand")</f>
        <v>#REF!</v>
      </c>
      <c r="G559" s="106" t="e">
        <f t="shared" si="32"/>
        <v>#REF!</v>
      </c>
      <c r="H559" s="105" t="e">
        <f>SUMIFS(#REF!,#REF!,$A559,#REF!,$B559,#REF!,$C559,#REF!,"Other Sector Demand")</f>
        <v>#REF!</v>
      </c>
      <c r="I559" s="105" t="e">
        <f t="shared" si="33"/>
        <v>#REF!</v>
      </c>
      <c r="J559" s="106" t="e">
        <f t="shared" si="34"/>
        <v>#REF!</v>
      </c>
      <c r="K559" s="107" t="e">
        <f t="shared" si="35"/>
        <v>#REF!</v>
      </c>
    </row>
    <row r="560" spans="1:11" ht="15" customHeight="1" x14ac:dyDescent="0.2">
      <c r="A560" s="104" t="s">
        <v>207</v>
      </c>
      <c r="B560" s="104" t="s">
        <v>206</v>
      </c>
      <c r="C560" s="104" t="s">
        <v>52</v>
      </c>
      <c r="D560" s="104">
        <v>2040</v>
      </c>
      <c r="E560" s="105" t="e">
        <f>SUMIFS(#REF!,#REF!,$A560,#REF!,$B560,#REF!,$C560,#REF!,"Storage Demand")</f>
        <v>#REF!</v>
      </c>
      <c r="F560" s="105" t="e">
        <f>SUMIFS(#REF!,#REF!,$A560,#REF!,$B560,#REF!,$C560,#REF!,"&lt;&gt;Other Sector Demand")</f>
        <v>#REF!</v>
      </c>
      <c r="G560" s="106" t="e">
        <f t="shared" si="32"/>
        <v>#REF!</v>
      </c>
      <c r="H560" s="105" t="e">
        <f>SUMIFS(#REF!,#REF!,$A560,#REF!,$B560,#REF!,$C560,#REF!,"Other Sector Demand")</f>
        <v>#REF!</v>
      </c>
      <c r="I560" s="105" t="e">
        <f t="shared" si="33"/>
        <v>#REF!</v>
      </c>
      <c r="J560" s="106" t="e">
        <f t="shared" si="34"/>
        <v>#REF!</v>
      </c>
      <c r="K560" s="107" t="e">
        <f t="shared" si="35"/>
        <v>#REF!</v>
      </c>
    </row>
    <row r="561" spans="1:11" ht="15" customHeight="1" x14ac:dyDescent="0.2">
      <c r="A561" s="104" t="s">
        <v>207</v>
      </c>
      <c r="B561" s="104" t="s">
        <v>206</v>
      </c>
      <c r="C561" s="104" t="s">
        <v>52</v>
      </c>
      <c r="D561" s="104">
        <v>2050</v>
      </c>
      <c r="E561" s="105" t="e">
        <f>SUMIFS(#REF!,#REF!,$A561,#REF!,$B561,#REF!,$C561,#REF!,"Storage Demand")</f>
        <v>#REF!</v>
      </c>
      <c r="F561" s="105" t="e">
        <f>SUMIFS(#REF!,#REF!,$A561,#REF!,$B561,#REF!,$C561,#REF!,"&lt;&gt;Other Sector Demand")</f>
        <v>#REF!</v>
      </c>
      <c r="G561" s="106" t="e">
        <f t="shared" si="32"/>
        <v>#REF!</v>
      </c>
      <c r="H561" s="105" t="e">
        <f>SUMIFS(#REF!,#REF!,$A561,#REF!,$B561,#REF!,$C561,#REF!,"Other Sector Demand")</f>
        <v>#REF!</v>
      </c>
      <c r="I561" s="105" t="e">
        <f t="shared" si="33"/>
        <v>#REF!</v>
      </c>
      <c r="J561" s="106" t="e">
        <f t="shared" si="34"/>
        <v>#REF!</v>
      </c>
      <c r="K561" s="107" t="e">
        <f t="shared" si="35"/>
        <v>#REF!</v>
      </c>
    </row>
    <row r="562" spans="1:11" ht="15" customHeight="1" x14ac:dyDescent="0.2">
      <c r="A562" s="104" t="s">
        <v>207</v>
      </c>
      <c r="B562" s="104" t="s">
        <v>206</v>
      </c>
      <c r="C562" s="104" t="s">
        <v>53</v>
      </c>
      <c r="D562" s="104">
        <v>2020</v>
      </c>
      <c r="E562" s="105" t="e">
        <f>SUMIFS(#REF!,#REF!,$A562,#REF!,$B562,#REF!,$C562,#REF!,"Storage Demand")</f>
        <v>#REF!</v>
      </c>
      <c r="F562" s="105" t="e">
        <f>SUMIFS(#REF!,#REF!,$A562,#REF!,$B562,#REF!,$C562,#REF!,"&lt;&gt;Other Sector Demand")</f>
        <v>#REF!</v>
      </c>
      <c r="G562" s="106" t="e">
        <f t="shared" si="32"/>
        <v>#REF!</v>
      </c>
      <c r="H562" s="105" t="e">
        <f>SUMIFS(#REF!,#REF!,$A562,#REF!,$B562,#REF!,$C562,#REF!,"Other Sector Demand")</f>
        <v>#REF!</v>
      </c>
      <c r="I562" s="105" t="e">
        <f t="shared" si="33"/>
        <v>#REF!</v>
      </c>
      <c r="J562" s="106" t="e">
        <f t="shared" si="34"/>
        <v>#REF!</v>
      </c>
      <c r="K562" s="107" t="e">
        <f t="shared" si="35"/>
        <v>#REF!</v>
      </c>
    </row>
    <row r="563" spans="1:11" ht="15" customHeight="1" x14ac:dyDescent="0.2">
      <c r="A563" s="104" t="s">
        <v>207</v>
      </c>
      <c r="B563" s="104" t="s">
        <v>206</v>
      </c>
      <c r="C563" s="104" t="s">
        <v>53</v>
      </c>
      <c r="D563" s="104">
        <v>2030</v>
      </c>
      <c r="E563" s="105" t="e">
        <f>SUMIFS(#REF!,#REF!,$A563,#REF!,$B563,#REF!,$C563,#REF!,"Storage Demand")</f>
        <v>#REF!</v>
      </c>
      <c r="F563" s="105" t="e">
        <f>SUMIFS(#REF!,#REF!,$A563,#REF!,$B563,#REF!,$C563,#REF!,"&lt;&gt;Other Sector Demand")</f>
        <v>#REF!</v>
      </c>
      <c r="G563" s="106" t="e">
        <f t="shared" si="32"/>
        <v>#REF!</v>
      </c>
      <c r="H563" s="105" t="e">
        <f>SUMIFS(#REF!,#REF!,$A563,#REF!,$B563,#REF!,$C563,#REF!,"Other Sector Demand")</f>
        <v>#REF!</v>
      </c>
      <c r="I563" s="105" t="e">
        <f t="shared" si="33"/>
        <v>#REF!</v>
      </c>
      <c r="J563" s="106" t="e">
        <f t="shared" si="34"/>
        <v>#REF!</v>
      </c>
      <c r="K563" s="107" t="e">
        <f t="shared" si="35"/>
        <v>#REF!</v>
      </c>
    </row>
    <row r="564" spans="1:11" ht="15" customHeight="1" x14ac:dyDescent="0.2">
      <c r="A564" s="104" t="s">
        <v>207</v>
      </c>
      <c r="B564" s="104" t="s">
        <v>206</v>
      </c>
      <c r="C564" s="104" t="s">
        <v>53</v>
      </c>
      <c r="D564" s="104">
        <v>2040</v>
      </c>
      <c r="E564" s="105" t="e">
        <f>SUMIFS(#REF!,#REF!,$A564,#REF!,$B564,#REF!,$C564,#REF!,"Storage Demand")</f>
        <v>#REF!</v>
      </c>
      <c r="F564" s="105" t="e">
        <f>SUMIFS(#REF!,#REF!,$A564,#REF!,$B564,#REF!,$C564,#REF!,"&lt;&gt;Other Sector Demand")</f>
        <v>#REF!</v>
      </c>
      <c r="G564" s="106" t="e">
        <f t="shared" si="32"/>
        <v>#REF!</v>
      </c>
      <c r="H564" s="105" t="e">
        <f>SUMIFS(#REF!,#REF!,$A564,#REF!,$B564,#REF!,$C564,#REF!,"Other Sector Demand")</f>
        <v>#REF!</v>
      </c>
      <c r="I564" s="105" t="e">
        <f t="shared" si="33"/>
        <v>#REF!</v>
      </c>
      <c r="J564" s="106" t="e">
        <f t="shared" si="34"/>
        <v>#REF!</v>
      </c>
      <c r="K564" s="107" t="e">
        <f t="shared" si="35"/>
        <v>#REF!</v>
      </c>
    </row>
    <row r="565" spans="1:11" ht="15" customHeight="1" x14ac:dyDescent="0.2">
      <c r="A565" s="104" t="s">
        <v>207</v>
      </c>
      <c r="B565" s="104" t="s">
        <v>206</v>
      </c>
      <c r="C565" s="104" t="s">
        <v>53</v>
      </c>
      <c r="D565" s="104">
        <v>2050</v>
      </c>
      <c r="E565" s="105" t="e">
        <f>SUMIFS(#REF!,#REF!,$A565,#REF!,$B565,#REF!,$C565,#REF!,"Storage Demand")</f>
        <v>#REF!</v>
      </c>
      <c r="F565" s="105" t="e">
        <f>SUMIFS(#REF!,#REF!,$A565,#REF!,$B565,#REF!,$C565,#REF!,"&lt;&gt;Other Sector Demand")</f>
        <v>#REF!</v>
      </c>
      <c r="G565" s="106" t="e">
        <f t="shared" si="32"/>
        <v>#REF!</v>
      </c>
      <c r="H565" s="105" t="e">
        <f>SUMIFS(#REF!,#REF!,$A565,#REF!,$B565,#REF!,$C565,#REF!,"Other Sector Demand")</f>
        <v>#REF!</v>
      </c>
      <c r="I565" s="105" t="e">
        <f t="shared" si="33"/>
        <v>#REF!</v>
      </c>
      <c r="J565" s="106" t="e">
        <f t="shared" si="34"/>
        <v>#REF!</v>
      </c>
      <c r="K565" s="107" t="e">
        <f t="shared" si="35"/>
        <v>#REF!</v>
      </c>
    </row>
    <row r="566" spans="1:11" ht="15" customHeight="1" x14ac:dyDescent="0.2">
      <c r="A566" s="104" t="s">
        <v>207</v>
      </c>
      <c r="B566" s="104" t="s">
        <v>206</v>
      </c>
      <c r="C566" s="104" t="s">
        <v>55</v>
      </c>
      <c r="D566" s="104">
        <v>2020</v>
      </c>
      <c r="E566" s="105" t="e">
        <f>SUMIFS(#REF!,#REF!,$A566,#REF!,$B566,#REF!,$C566,#REF!,"Storage Demand")</f>
        <v>#REF!</v>
      </c>
      <c r="F566" s="105" t="e">
        <f>SUMIFS(#REF!,#REF!,$A566,#REF!,$B566,#REF!,$C566,#REF!,"&lt;&gt;Other Sector Demand")</f>
        <v>#REF!</v>
      </c>
      <c r="G566" s="106" t="e">
        <f t="shared" si="32"/>
        <v>#REF!</v>
      </c>
      <c r="H566" s="105" t="e">
        <f>SUMIFS(#REF!,#REF!,$A566,#REF!,$B566,#REF!,$C566,#REF!,"Other Sector Demand")</f>
        <v>#REF!</v>
      </c>
      <c r="I566" s="105" t="e">
        <f t="shared" si="33"/>
        <v>#REF!</v>
      </c>
      <c r="J566" s="106" t="e">
        <f t="shared" si="34"/>
        <v>#REF!</v>
      </c>
      <c r="K566" s="107" t="e">
        <f t="shared" si="35"/>
        <v>#REF!</v>
      </c>
    </row>
    <row r="567" spans="1:11" ht="15" customHeight="1" x14ac:dyDescent="0.2">
      <c r="A567" s="104" t="s">
        <v>207</v>
      </c>
      <c r="B567" s="104" t="s">
        <v>206</v>
      </c>
      <c r="C567" s="104" t="s">
        <v>55</v>
      </c>
      <c r="D567" s="104">
        <v>2030</v>
      </c>
      <c r="E567" s="105" t="e">
        <f>SUMIFS(#REF!,#REF!,$A567,#REF!,$B567,#REF!,$C567,#REF!,"Storage Demand")</f>
        <v>#REF!</v>
      </c>
      <c r="F567" s="105" t="e">
        <f>SUMIFS(#REF!,#REF!,$A567,#REF!,$B567,#REF!,$C567,#REF!,"&lt;&gt;Other Sector Demand")</f>
        <v>#REF!</v>
      </c>
      <c r="G567" s="106" t="e">
        <f t="shared" si="32"/>
        <v>#REF!</v>
      </c>
      <c r="H567" s="105" t="e">
        <f>SUMIFS(#REF!,#REF!,$A567,#REF!,$B567,#REF!,$C567,#REF!,"Other Sector Demand")</f>
        <v>#REF!</v>
      </c>
      <c r="I567" s="105" t="e">
        <f t="shared" si="33"/>
        <v>#REF!</v>
      </c>
      <c r="J567" s="106" t="e">
        <f t="shared" si="34"/>
        <v>#REF!</v>
      </c>
      <c r="K567" s="107" t="e">
        <f t="shared" si="35"/>
        <v>#REF!</v>
      </c>
    </row>
    <row r="568" spans="1:11" ht="15" customHeight="1" x14ac:dyDescent="0.2">
      <c r="A568" s="104" t="s">
        <v>207</v>
      </c>
      <c r="B568" s="104" t="s">
        <v>206</v>
      </c>
      <c r="C568" s="104" t="s">
        <v>55</v>
      </c>
      <c r="D568" s="104">
        <v>2040</v>
      </c>
      <c r="E568" s="105" t="e">
        <f>SUMIFS(#REF!,#REF!,$A568,#REF!,$B568,#REF!,$C568,#REF!,"Storage Demand")</f>
        <v>#REF!</v>
      </c>
      <c r="F568" s="105" t="e">
        <f>SUMIFS(#REF!,#REF!,$A568,#REF!,$B568,#REF!,$C568,#REF!,"&lt;&gt;Other Sector Demand")</f>
        <v>#REF!</v>
      </c>
      <c r="G568" s="106" t="e">
        <f t="shared" si="32"/>
        <v>#REF!</v>
      </c>
      <c r="H568" s="105" t="e">
        <f>SUMIFS(#REF!,#REF!,$A568,#REF!,$B568,#REF!,$C568,#REF!,"Other Sector Demand")</f>
        <v>#REF!</v>
      </c>
      <c r="I568" s="105" t="e">
        <f t="shared" si="33"/>
        <v>#REF!</v>
      </c>
      <c r="J568" s="106" t="e">
        <f t="shared" si="34"/>
        <v>#REF!</v>
      </c>
      <c r="K568" s="107" t="e">
        <f t="shared" si="35"/>
        <v>#REF!</v>
      </c>
    </row>
    <row r="569" spans="1:11" ht="15" customHeight="1" x14ac:dyDescent="0.2">
      <c r="A569" s="104" t="s">
        <v>207</v>
      </c>
      <c r="B569" s="104" t="s">
        <v>206</v>
      </c>
      <c r="C569" s="104" t="s">
        <v>55</v>
      </c>
      <c r="D569" s="104">
        <v>2050</v>
      </c>
      <c r="E569" s="105" t="e">
        <f>SUMIFS(#REF!,#REF!,$A569,#REF!,$B569,#REF!,$C569,#REF!,"Storage Demand")</f>
        <v>#REF!</v>
      </c>
      <c r="F569" s="105" t="e">
        <f>SUMIFS(#REF!,#REF!,$A569,#REF!,$B569,#REF!,$C569,#REF!,"&lt;&gt;Other Sector Demand")</f>
        <v>#REF!</v>
      </c>
      <c r="G569" s="106" t="e">
        <f t="shared" si="32"/>
        <v>#REF!</v>
      </c>
      <c r="H569" s="105" t="e">
        <f>SUMIFS(#REF!,#REF!,$A569,#REF!,$B569,#REF!,$C569,#REF!,"Other Sector Demand")</f>
        <v>#REF!</v>
      </c>
      <c r="I569" s="105" t="e">
        <f t="shared" si="33"/>
        <v>#REF!</v>
      </c>
      <c r="J569" s="106" t="e">
        <f t="shared" si="34"/>
        <v>#REF!</v>
      </c>
      <c r="K569" s="107" t="e">
        <f t="shared" si="35"/>
        <v>#REF!</v>
      </c>
    </row>
    <row r="570" spans="1:11" ht="15" customHeight="1" x14ac:dyDescent="0.2">
      <c r="A570" s="104" t="s">
        <v>207</v>
      </c>
      <c r="B570" s="104" t="s">
        <v>206</v>
      </c>
      <c r="C570" s="104" t="s">
        <v>57</v>
      </c>
      <c r="D570" s="104">
        <v>2020</v>
      </c>
      <c r="E570" s="105" t="e">
        <f>SUMIFS(#REF!,#REF!,$A570,#REF!,$B570,#REF!,$C570,#REF!,"Storage Demand")</f>
        <v>#REF!</v>
      </c>
      <c r="F570" s="105" t="e">
        <f>SUMIFS(#REF!,#REF!,$A570,#REF!,$B570,#REF!,$C570,#REF!,"&lt;&gt;Other Sector Demand")</f>
        <v>#REF!</v>
      </c>
      <c r="G570" s="106" t="e">
        <f t="shared" si="32"/>
        <v>#REF!</v>
      </c>
      <c r="H570" s="105" t="e">
        <f>SUMIFS(#REF!,#REF!,$A570,#REF!,$B570,#REF!,$C570,#REF!,"Other Sector Demand")</f>
        <v>#REF!</v>
      </c>
      <c r="I570" s="105" t="e">
        <f t="shared" si="33"/>
        <v>#REF!</v>
      </c>
      <c r="J570" s="106" t="e">
        <f t="shared" si="34"/>
        <v>#REF!</v>
      </c>
      <c r="K570" s="107" t="e">
        <f t="shared" si="35"/>
        <v>#REF!</v>
      </c>
    </row>
    <row r="571" spans="1:11" ht="15" customHeight="1" x14ac:dyDescent="0.2">
      <c r="A571" s="104" t="s">
        <v>207</v>
      </c>
      <c r="B571" s="104" t="s">
        <v>206</v>
      </c>
      <c r="C571" s="104" t="s">
        <v>57</v>
      </c>
      <c r="D571" s="104">
        <v>2030</v>
      </c>
      <c r="E571" s="105" t="e">
        <f>SUMIFS(#REF!,#REF!,$A571,#REF!,$B571,#REF!,$C571,#REF!,"Storage Demand")</f>
        <v>#REF!</v>
      </c>
      <c r="F571" s="105" t="e">
        <f>SUMIFS(#REF!,#REF!,$A571,#REF!,$B571,#REF!,$C571,#REF!,"&lt;&gt;Other Sector Demand")</f>
        <v>#REF!</v>
      </c>
      <c r="G571" s="106" t="e">
        <f t="shared" si="32"/>
        <v>#REF!</v>
      </c>
      <c r="H571" s="105" t="e">
        <f>SUMIFS(#REF!,#REF!,$A571,#REF!,$B571,#REF!,$C571,#REF!,"Other Sector Demand")</f>
        <v>#REF!</v>
      </c>
      <c r="I571" s="105" t="e">
        <f t="shared" si="33"/>
        <v>#REF!</v>
      </c>
      <c r="J571" s="106" t="e">
        <f t="shared" si="34"/>
        <v>#REF!</v>
      </c>
      <c r="K571" s="107" t="e">
        <f t="shared" si="35"/>
        <v>#REF!</v>
      </c>
    </row>
    <row r="572" spans="1:11" ht="15" customHeight="1" x14ac:dyDescent="0.2">
      <c r="A572" s="104" t="s">
        <v>207</v>
      </c>
      <c r="B572" s="104" t="s">
        <v>206</v>
      </c>
      <c r="C572" s="104" t="s">
        <v>57</v>
      </c>
      <c r="D572" s="104">
        <v>2040</v>
      </c>
      <c r="E572" s="105" t="e">
        <f>SUMIFS(#REF!,#REF!,$A572,#REF!,$B572,#REF!,$C572,#REF!,"Storage Demand")</f>
        <v>#REF!</v>
      </c>
      <c r="F572" s="105" t="e">
        <f>SUMIFS(#REF!,#REF!,$A572,#REF!,$B572,#REF!,$C572,#REF!,"&lt;&gt;Other Sector Demand")</f>
        <v>#REF!</v>
      </c>
      <c r="G572" s="106" t="e">
        <f t="shared" si="32"/>
        <v>#REF!</v>
      </c>
      <c r="H572" s="105" t="e">
        <f>SUMIFS(#REF!,#REF!,$A572,#REF!,$B572,#REF!,$C572,#REF!,"Other Sector Demand")</f>
        <v>#REF!</v>
      </c>
      <c r="I572" s="105" t="e">
        <f t="shared" si="33"/>
        <v>#REF!</v>
      </c>
      <c r="J572" s="106" t="e">
        <f t="shared" si="34"/>
        <v>#REF!</v>
      </c>
      <c r="K572" s="107" t="e">
        <f t="shared" si="35"/>
        <v>#REF!</v>
      </c>
    </row>
    <row r="573" spans="1:11" ht="15" customHeight="1" x14ac:dyDescent="0.2">
      <c r="A573" s="104" t="s">
        <v>207</v>
      </c>
      <c r="B573" s="104" t="s">
        <v>206</v>
      </c>
      <c r="C573" s="104" t="s">
        <v>57</v>
      </c>
      <c r="D573" s="104">
        <v>2050</v>
      </c>
      <c r="E573" s="105" t="e">
        <f>SUMIFS(#REF!,#REF!,$A573,#REF!,$B573,#REF!,$C573,#REF!,"Storage Demand")</f>
        <v>#REF!</v>
      </c>
      <c r="F573" s="105" t="e">
        <f>SUMIFS(#REF!,#REF!,$A573,#REF!,$B573,#REF!,$C573,#REF!,"&lt;&gt;Other Sector Demand")</f>
        <v>#REF!</v>
      </c>
      <c r="G573" s="106" t="e">
        <f t="shared" si="32"/>
        <v>#REF!</v>
      </c>
      <c r="H573" s="105" t="e">
        <f>SUMIFS(#REF!,#REF!,$A573,#REF!,$B573,#REF!,$C573,#REF!,"Other Sector Demand")</f>
        <v>#REF!</v>
      </c>
      <c r="I573" s="105" t="e">
        <f t="shared" si="33"/>
        <v>#REF!</v>
      </c>
      <c r="J573" s="106" t="e">
        <f t="shared" si="34"/>
        <v>#REF!</v>
      </c>
      <c r="K573" s="107" t="e">
        <f t="shared" si="35"/>
        <v>#REF!</v>
      </c>
    </row>
    <row r="574" spans="1:11" ht="15" customHeight="1" x14ac:dyDescent="0.2">
      <c r="A574" s="104" t="s">
        <v>207</v>
      </c>
      <c r="B574" s="104" t="s">
        <v>206</v>
      </c>
      <c r="C574" s="104" t="s">
        <v>58</v>
      </c>
      <c r="D574" s="104">
        <v>2020</v>
      </c>
      <c r="E574" s="105" t="e">
        <f>SUMIFS(#REF!,#REF!,$A574,#REF!,$B574,#REF!,$C574,#REF!,"Storage Demand")</f>
        <v>#REF!</v>
      </c>
      <c r="F574" s="105" t="e">
        <f>SUMIFS(#REF!,#REF!,$A574,#REF!,$B574,#REF!,$C574,#REF!,"&lt;&gt;Other Sector Demand")</f>
        <v>#REF!</v>
      </c>
      <c r="G574" s="106" t="e">
        <f t="shared" si="32"/>
        <v>#REF!</v>
      </c>
      <c r="H574" s="105" t="e">
        <f>SUMIFS(#REF!,#REF!,$A574,#REF!,$B574,#REF!,$C574,#REF!,"Other Sector Demand")</f>
        <v>#REF!</v>
      </c>
      <c r="I574" s="105" t="e">
        <f t="shared" si="33"/>
        <v>#REF!</v>
      </c>
      <c r="J574" s="106" t="e">
        <f t="shared" si="34"/>
        <v>#REF!</v>
      </c>
      <c r="K574" s="107" t="e">
        <f t="shared" si="35"/>
        <v>#REF!</v>
      </c>
    </row>
    <row r="575" spans="1:11" ht="15" customHeight="1" x14ac:dyDescent="0.2">
      <c r="A575" s="104" t="s">
        <v>207</v>
      </c>
      <c r="B575" s="104" t="s">
        <v>206</v>
      </c>
      <c r="C575" s="104" t="s">
        <v>58</v>
      </c>
      <c r="D575" s="104">
        <v>2030</v>
      </c>
      <c r="E575" s="105" t="e">
        <f>SUMIFS(#REF!,#REF!,$A575,#REF!,$B575,#REF!,$C575,#REF!,"Storage Demand")</f>
        <v>#REF!</v>
      </c>
      <c r="F575" s="105" t="e">
        <f>SUMIFS(#REF!,#REF!,$A575,#REF!,$B575,#REF!,$C575,#REF!,"&lt;&gt;Other Sector Demand")</f>
        <v>#REF!</v>
      </c>
      <c r="G575" s="106" t="e">
        <f t="shared" si="32"/>
        <v>#REF!</v>
      </c>
      <c r="H575" s="105" t="e">
        <f>SUMIFS(#REF!,#REF!,$A575,#REF!,$B575,#REF!,$C575,#REF!,"Other Sector Demand")</f>
        <v>#REF!</v>
      </c>
      <c r="I575" s="105" t="e">
        <f t="shared" si="33"/>
        <v>#REF!</v>
      </c>
      <c r="J575" s="106" t="e">
        <f t="shared" si="34"/>
        <v>#REF!</v>
      </c>
      <c r="K575" s="107" t="e">
        <f t="shared" si="35"/>
        <v>#REF!</v>
      </c>
    </row>
    <row r="576" spans="1:11" ht="15" customHeight="1" x14ac:dyDescent="0.2">
      <c r="A576" s="104" t="s">
        <v>207</v>
      </c>
      <c r="B576" s="104" t="s">
        <v>206</v>
      </c>
      <c r="C576" s="104" t="s">
        <v>58</v>
      </c>
      <c r="D576" s="104">
        <v>2040</v>
      </c>
      <c r="E576" s="105" t="e">
        <f>SUMIFS(#REF!,#REF!,$A576,#REF!,$B576,#REF!,$C576,#REF!,"Storage Demand")</f>
        <v>#REF!</v>
      </c>
      <c r="F576" s="105" t="e">
        <f>SUMIFS(#REF!,#REF!,$A576,#REF!,$B576,#REF!,$C576,#REF!,"&lt;&gt;Other Sector Demand")</f>
        <v>#REF!</v>
      </c>
      <c r="G576" s="106" t="e">
        <f t="shared" si="32"/>
        <v>#REF!</v>
      </c>
      <c r="H576" s="105" t="e">
        <f>SUMIFS(#REF!,#REF!,$A576,#REF!,$B576,#REF!,$C576,#REF!,"Other Sector Demand")</f>
        <v>#REF!</v>
      </c>
      <c r="I576" s="105" t="e">
        <f t="shared" si="33"/>
        <v>#REF!</v>
      </c>
      <c r="J576" s="106" t="e">
        <f t="shared" si="34"/>
        <v>#REF!</v>
      </c>
      <c r="K576" s="107" t="e">
        <f t="shared" si="35"/>
        <v>#REF!</v>
      </c>
    </row>
    <row r="577" spans="1:11" ht="15" customHeight="1" x14ac:dyDescent="0.2">
      <c r="A577" s="104" t="s">
        <v>207</v>
      </c>
      <c r="B577" s="104" t="s">
        <v>206</v>
      </c>
      <c r="C577" s="104" t="s">
        <v>58</v>
      </c>
      <c r="D577" s="104">
        <v>2050</v>
      </c>
      <c r="E577" s="105" t="e">
        <f>SUMIFS(#REF!,#REF!,$A577,#REF!,$B577,#REF!,$C577,#REF!,"Storage Demand")</f>
        <v>#REF!</v>
      </c>
      <c r="F577" s="105" t="e">
        <f>SUMIFS(#REF!,#REF!,$A577,#REF!,$B577,#REF!,$C577,#REF!,"&lt;&gt;Other Sector Demand")</f>
        <v>#REF!</v>
      </c>
      <c r="G577" s="106" t="e">
        <f t="shared" si="32"/>
        <v>#REF!</v>
      </c>
      <c r="H577" s="105" t="e">
        <f>SUMIFS(#REF!,#REF!,$A577,#REF!,$B577,#REF!,$C577,#REF!,"Other Sector Demand")</f>
        <v>#REF!</v>
      </c>
      <c r="I577" s="105" t="e">
        <f t="shared" si="33"/>
        <v>#REF!</v>
      </c>
      <c r="J577" s="106" t="e">
        <f t="shared" si="34"/>
        <v>#REF!</v>
      </c>
      <c r="K577" s="107" t="e">
        <f t="shared" si="35"/>
        <v>#REF!</v>
      </c>
    </row>
    <row r="578" spans="1:11" ht="15" customHeight="1" x14ac:dyDescent="0.2">
      <c r="A578" s="104" t="s">
        <v>207</v>
      </c>
      <c r="B578" s="104" t="s">
        <v>206</v>
      </c>
      <c r="C578" s="104" t="s">
        <v>59</v>
      </c>
      <c r="D578" s="104">
        <v>2020</v>
      </c>
      <c r="E578" s="105" t="e">
        <f>SUMIFS(#REF!,#REF!,$A578,#REF!,$B578,#REF!,$C578,#REF!,"Storage Demand")</f>
        <v>#REF!</v>
      </c>
      <c r="F578" s="105" t="e">
        <f>SUMIFS(#REF!,#REF!,$A578,#REF!,$B578,#REF!,$C578,#REF!,"&lt;&gt;Other Sector Demand")</f>
        <v>#REF!</v>
      </c>
      <c r="G578" s="106" t="e">
        <f t="shared" ref="G578:G641" si="36">IF($F578=0,0,$E578/$F578)</f>
        <v>#REF!</v>
      </c>
      <c r="H578" s="105" t="e">
        <f>SUMIFS(#REF!,#REF!,$A578,#REF!,$B578,#REF!,$C578,#REF!,"Other Sector Demand")</f>
        <v>#REF!</v>
      </c>
      <c r="I578" s="105" t="e">
        <f t="shared" ref="I578:I641" si="37">$F578+$H578</f>
        <v>#REF!</v>
      </c>
      <c r="J578" s="106" t="e">
        <f t="shared" ref="J578:J641" si="38">IF($I578=0,0,$E578/$I578)</f>
        <v>#REF!</v>
      </c>
      <c r="K578" s="107" t="e">
        <f t="shared" ref="K578:K641" si="39">IF(SUMIFS($F$2:$F$1025,$A$2:$A$1025,$A578,$B$2:$B$1025,$B578,$C$2:$C$1025,$C578)=0,0,SUMIFS($E$2:$E$1025,$A$2:$A$1025,$A578,$B$2:$B$1025,$B578,$C$2:$C$1025,$C578)/SUMIFS($F$2:$F$1025,$A$2:$A$1025,$A578,$B$2:$B$1025,$B578,$C$2:$C$1025,$C578))</f>
        <v>#REF!</v>
      </c>
    </row>
    <row r="579" spans="1:11" ht="15" customHeight="1" x14ac:dyDescent="0.2">
      <c r="A579" s="104" t="s">
        <v>207</v>
      </c>
      <c r="B579" s="104" t="s">
        <v>206</v>
      </c>
      <c r="C579" s="104" t="s">
        <v>59</v>
      </c>
      <c r="D579" s="104">
        <v>2030</v>
      </c>
      <c r="E579" s="105" t="e">
        <f>SUMIFS(#REF!,#REF!,$A579,#REF!,$B579,#REF!,$C579,#REF!,"Storage Demand")</f>
        <v>#REF!</v>
      </c>
      <c r="F579" s="105" t="e">
        <f>SUMIFS(#REF!,#REF!,$A579,#REF!,$B579,#REF!,$C579,#REF!,"&lt;&gt;Other Sector Demand")</f>
        <v>#REF!</v>
      </c>
      <c r="G579" s="106" t="e">
        <f t="shared" si="36"/>
        <v>#REF!</v>
      </c>
      <c r="H579" s="105" t="e">
        <f>SUMIFS(#REF!,#REF!,$A579,#REF!,$B579,#REF!,$C579,#REF!,"Other Sector Demand")</f>
        <v>#REF!</v>
      </c>
      <c r="I579" s="105" t="e">
        <f t="shared" si="37"/>
        <v>#REF!</v>
      </c>
      <c r="J579" s="106" t="e">
        <f t="shared" si="38"/>
        <v>#REF!</v>
      </c>
      <c r="K579" s="107" t="e">
        <f t="shared" si="39"/>
        <v>#REF!</v>
      </c>
    </row>
    <row r="580" spans="1:11" ht="15" customHeight="1" x14ac:dyDescent="0.2">
      <c r="A580" s="104" t="s">
        <v>207</v>
      </c>
      <c r="B580" s="104" t="s">
        <v>206</v>
      </c>
      <c r="C580" s="104" t="s">
        <v>59</v>
      </c>
      <c r="D580" s="104">
        <v>2040</v>
      </c>
      <c r="E580" s="105" t="e">
        <f>SUMIFS(#REF!,#REF!,$A580,#REF!,$B580,#REF!,$C580,#REF!,"Storage Demand")</f>
        <v>#REF!</v>
      </c>
      <c r="F580" s="105" t="e">
        <f>SUMIFS(#REF!,#REF!,$A580,#REF!,$B580,#REF!,$C580,#REF!,"&lt;&gt;Other Sector Demand")</f>
        <v>#REF!</v>
      </c>
      <c r="G580" s="106" t="e">
        <f t="shared" si="36"/>
        <v>#REF!</v>
      </c>
      <c r="H580" s="105" t="e">
        <f>SUMIFS(#REF!,#REF!,$A580,#REF!,$B580,#REF!,$C580,#REF!,"Other Sector Demand")</f>
        <v>#REF!</v>
      </c>
      <c r="I580" s="105" t="e">
        <f t="shared" si="37"/>
        <v>#REF!</v>
      </c>
      <c r="J580" s="106" t="e">
        <f t="shared" si="38"/>
        <v>#REF!</v>
      </c>
      <c r="K580" s="107" t="e">
        <f t="shared" si="39"/>
        <v>#REF!</v>
      </c>
    </row>
    <row r="581" spans="1:11" ht="15" customHeight="1" x14ac:dyDescent="0.2">
      <c r="A581" s="104" t="s">
        <v>207</v>
      </c>
      <c r="B581" s="104" t="s">
        <v>206</v>
      </c>
      <c r="C581" s="104" t="s">
        <v>59</v>
      </c>
      <c r="D581" s="104">
        <v>2050</v>
      </c>
      <c r="E581" s="105" t="e">
        <f>SUMIFS(#REF!,#REF!,$A581,#REF!,$B581,#REF!,$C581,#REF!,"Storage Demand")</f>
        <v>#REF!</v>
      </c>
      <c r="F581" s="105" t="e">
        <f>SUMIFS(#REF!,#REF!,$A581,#REF!,$B581,#REF!,$C581,#REF!,"&lt;&gt;Other Sector Demand")</f>
        <v>#REF!</v>
      </c>
      <c r="G581" s="106" t="e">
        <f t="shared" si="36"/>
        <v>#REF!</v>
      </c>
      <c r="H581" s="105" t="e">
        <f>SUMIFS(#REF!,#REF!,$A581,#REF!,$B581,#REF!,$C581,#REF!,"Other Sector Demand")</f>
        <v>#REF!</v>
      </c>
      <c r="I581" s="105" t="e">
        <f t="shared" si="37"/>
        <v>#REF!</v>
      </c>
      <c r="J581" s="106" t="e">
        <f t="shared" si="38"/>
        <v>#REF!</v>
      </c>
      <c r="K581" s="107" t="e">
        <f t="shared" si="39"/>
        <v>#REF!</v>
      </c>
    </row>
    <row r="582" spans="1:11" ht="15" customHeight="1" x14ac:dyDescent="0.2">
      <c r="A582" s="104" t="s">
        <v>207</v>
      </c>
      <c r="B582" s="104" t="s">
        <v>206</v>
      </c>
      <c r="C582" s="104" t="s">
        <v>60</v>
      </c>
      <c r="D582" s="104">
        <v>2020</v>
      </c>
      <c r="E582" s="105" t="e">
        <f>SUMIFS(#REF!,#REF!,$A582,#REF!,$B582,#REF!,$C582,#REF!,"Storage Demand")</f>
        <v>#REF!</v>
      </c>
      <c r="F582" s="105" t="e">
        <f>SUMIFS(#REF!,#REF!,$A582,#REF!,$B582,#REF!,$C582,#REF!,"&lt;&gt;Other Sector Demand")</f>
        <v>#REF!</v>
      </c>
      <c r="G582" s="106" t="e">
        <f t="shared" si="36"/>
        <v>#REF!</v>
      </c>
      <c r="H582" s="105" t="e">
        <f>SUMIFS(#REF!,#REF!,$A582,#REF!,$B582,#REF!,$C582,#REF!,"Other Sector Demand")</f>
        <v>#REF!</v>
      </c>
      <c r="I582" s="105" t="e">
        <f t="shared" si="37"/>
        <v>#REF!</v>
      </c>
      <c r="J582" s="106" t="e">
        <f t="shared" si="38"/>
        <v>#REF!</v>
      </c>
      <c r="K582" s="107" t="e">
        <f t="shared" si="39"/>
        <v>#REF!</v>
      </c>
    </row>
    <row r="583" spans="1:11" ht="15" customHeight="1" x14ac:dyDescent="0.2">
      <c r="A583" s="104" t="s">
        <v>207</v>
      </c>
      <c r="B583" s="104" t="s">
        <v>206</v>
      </c>
      <c r="C583" s="104" t="s">
        <v>60</v>
      </c>
      <c r="D583" s="104">
        <v>2030</v>
      </c>
      <c r="E583" s="105" t="e">
        <f>SUMIFS(#REF!,#REF!,$A583,#REF!,$B583,#REF!,$C583,#REF!,"Storage Demand")</f>
        <v>#REF!</v>
      </c>
      <c r="F583" s="105" t="e">
        <f>SUMIFS(#REF!,#REF!,$A583,#REF!,$B583,#REF!,$C583,#REF!,"&lt;&gt;Other Sector Demand")</f>
        <v>#REF!</v>
      </c>
      <c r="G583" s="106" t="e">
        <f t="shared" si="36"/>
        <v>#REF!</v>
      </c>
      <c r="H583" s="105" t="e">
        <f>SUMIFS(#REF!,#REF!,$A583,#REF!,$B583,#REF!,$C583,#REF!,"Other Sector Demand")</f>
        <v>#REF!</v>
      </c>
      <c r="I583" s="105" t="e">
        <f t="shared" si="37"/>
        <v>#REF!</v>
      </c>
      <c r="J583" s="106" t="e">
        <f t="shared" si="38"/>
        <v>#REF!</v>
      </c>
      <c r="K583" s="107" t="e">
        <f t="shared" si="39"/>
        <v>#REF!</v>
      </c>
    </row>
    <row r="584" spans="1:11" ht="15" customHeight="1" x14ac:dyDescent="0.2">
      <c r="A584" s="104" t="s">
        <v>207</v>
      </c>
      <c r="B584" s="104" t="s">
        <v>206</v>
      </c>
      <c r="C584" s="104" t="s">
        <v>60</v>
      </c>
      <c r="D584" s="104">
        <v>2040</v>
      </c>
      <c r="E584" s="105" t="e">
        <f>SUMIFS(#REF!,#REF!,$A584,#REF!,$B584,#REF!,$C584,#REF!,"Storage Demand")</f>
        <v>#REF!</v>
      </c>
      <c r="F584" s="105" t="e">
        <f>SUMIFS(#REF!,#REF!,$A584,#REF!,$B584,#REF!,$C584,#REF!,"&lt;&gt;Other Sector Demand")</f>
        <v>#REF!</v>
      </c>
      <c r="G584" s="106" t="e">
        <f t="shared" si="36"/>
        <v>#REF!</v>
      </c>
      <c r="H584" s="105" t="e">
        <f>SUMIFS(#REF!,#REF!,$A584,#REF!,$B584,#REF!,$C584,#REF!,"Other Sector Demand")</f>
        <v>#REF!</v>
      </c>
      <c r="I584" s="105" t="e">
        <f t="shared" si="37"/>
        <v>#REF!</v>
      </c>
      <c r="J584" s="106" t="e">
        <f t="shared" si="38"/>
        <v>#REF!</v>
      </c>
      <c r="K584" s="107" t="e">
        <f t="shared" si="39"/>
        <v>#REF!</v>
      </c>
    </row>
    <row r="585" spans="1:11" ht="15" customHeight="1" x14ac:dyDescent="0.2">
      <c r="A585" s="104" t="s">
        <v>207</v>
      </c>
      <c r="B585" s="104" t="s">
        <v>206</v>
      </c>
      <c r="C585" s="104" t="s">
        <v>60</v>
      </c>
      <c r="D585" s="104">
        <v>2050</v>
      </c>
      <c r="E585" s="105" t="e">
        <f>SUMIFS(#REF!,#REF!,$A585,#REF!,$B585,#REF!,$C585,#REF!,"Storage Demand")</f>
        <v>#REF!</v>
      </c>
      <c r="F585" s="105" t="e">
        <f>SUMIFS(#REF!,#REF!,$A585,#REF!,$B585,#REF!,$C585,#REF!,"&lt;&gt;Other Sector Demand")</f>
        <v>#REF!</v>
      </c>
      <c r="G585" s="106" t="e">
        <f t="shared" si="36"/>
        <v>#REF!</v>
      </c>
      <c r="H585" s="105" t="e">
        <f>SUMIFS(#REF!,#REF!,$A585,#REF!,$B585,#REF!,$C585,#REF!,"Other Sector Demand")</f>
        <v>#REF!</v>
      </c>
      <c r="I585" s="105" t="e">
        <f t="shared" si="37"/>
        <v>#REF!</v>
      </c>
      <c r="J585" s="106" t="e">
        <f t="shared" si="38"/>
        <v>#REF!</v>
      </c>
      <c r="K585" s="107" t="e">
        <f t="shared" si="39"/>
        <v>#REF!</v>
      </c>
    </row>
    <row r="586" spans="1:11" ht="15" customHeight="1" x14ac:dyDescent="0.2">
      <c r="A586" s="104" t="s">
        <v>207</v>
      </c>
      <c r="B586" s="104" t="s">
        <v>206</v>
      </c>
      <c r="C586" s="104" t="s">
        <v>61</v>
      </c>
      <c r="D586" s="104">
        <v>2020</v>
      </c>
      <c r="E586" s="105" t="e">
        <f>SUMIFS(#REF!,#REF!,$A586,#REF!,$B586,#REF!,$C586,#REF!,"Storage Demand")</f>
        <v>#REF!</v>
      </c>
      <c r="F586" s="105" t="e">
        <f>SUMIFS(#REF!,#REF!,$A586,#REF!,$B586,#REF!,$C586,#REF!,"&lt;&gt;Other Sector Demand")</f>
        <v>#REF!</v>
      </c>
      <c r="G586" s="106" t="e">
        <f t="shared" si="36"/>
        <v>#REF!</v>
      </c>
      <c r="H586" s="105" t="e">
        <f>SUMIFS(#REF!,#REF!,$A586,#REF!,$B586,#REF!,$C586,#REF!,"Other Sector Demand")</f>
        <v>#REF!</v>
      </c>
      <c r="I586" s="105" t="e">
        <f t="shared" si="37"/>
        <v>#REF!</v>
      </c>
      <c r="J586" s="106" t="e">
        <f t="shared" si="38"/>
        <v>#REF!</v>
      </c>
      <c r="K586" s="107" t="e">
        <f t="shared" si="39"/>
        <v>#REF!</v>
      </c>
    </row>
    <row r="587" spans="1:11" ht="15" customHeight="1" x14ac:dyDescent="0.2">
      <c r="A587" s="104" t="s">
        <v>207</v>
      </c>
      <c r="B587" s="104" t="s">
        <v>206</v>
      </c>
      <c r="C587" s="104" t="s">
        <v>61</v>
      </c>
      <c r="D587" s="104">
        <v>2030</v>
      </c>
      <c r="E587" s="105" t="e">
        <f>SUMIFS(#REF!,#REF!,$A587,#REF!,$B587,#REF!,$C587,#REF!,"Storage Demand")</f>
        <v>#REF!</v>
      </c>
      <c r="F587" s="105" t="e">
        <f>SUMIFS(#REF!,#REF!,$A587,#REF!,$B587,#REF!,$C587,#REF!,"&lt;&gt;Other Sector Demand")</f>
        <v>#REF!</v>
      </c>
      <c r="G587" s="106" t="e">
        <f t="shared" si="36"/>
        <v>#REF!</v>
      </c>
      <c r="H587" s="105" t="e">
        <f>SUMIFS(#REF!,#REF!,$A587,#REF!,$B587,#REF!,$C587,#REF!,"Other Sector Demand")</f>
        <v>#REF!</v>
      </c>
      <c r="I587" s="105" t="e">
        <f t="shared" si="37"/>
        <v>#REF!</v>
      </c>
      <c r="J587" s="106" t="e">
        <f t="shared" si="38"/>
        <v>#REF!</v>
      </c>
      <c r="K587" s="107" t="e">
        <f t="shared" si="39"/>
        <v>#REF!</v>
      </c>
    </row>
    <row r="588" spans="1:11" ht="15" customHeight="1" x14ac:dyDescent="0.2">
      <c r="A588" s="104" t="s">
        <v>207</v>
      </c>
      <c r="B588" s="104" t="s">
        <v>206</v>
      </c>
      <c r="C588" s="104" t="s">
        <v>61</v>
      </c>
      <c r="D588" s="104">
        <v>2040</v>
      </c>
      <c r="E588" s="105" t="e">
        <f>SUMIFS(#REF!,#REF!,$A588,#REF!,$B588,#REF!,$C588,#REF!,"Storage Demand")</f>
        <v>#REF!</v>
      </c>
      <c r="F588" s="105" t="e">
        <f>SUMIFS(#REF!,#REF!,$A588,#REF!,$B588,#REF!,$C588,#REF!,"&lt;&gt;Other Sector Demand")</f>
        <v>#REF!</v>
      </c>
      <c r="G588" s="106" t="e">
        <f t="shared" si="36"/>
        <v>#REF!</v>
      </c>
      <c r="H588" s="105" t="e">
        <f>SUMIFS(#REF!,#REF!,$A588,#REF!,$B588,#REF!,$C588,#REF!,"Other Sector Demand")</f>
        <v>#REF!</v>
      </c>
      <c r="I588" s="105" t="e">
        <f t="shared" si="37"/>
        <v>#REF!</v>
      </c>
      <c r="J588" s="106" t="e">
        <f t="shared" si="38"/>
        <v>#REF!</v>
      </c>
      <c r="K588" s="107" t="e">
        <f t="shared" si="39"/>
        <v>#REF!</v>
      </c>
    </row>
    <row r="589" spans="1:11" ht="15" customHeight="1" x14ac:dyDescent="0.2">
      <c r="A589" s="104" t="s">
        <v>207</v>
      </c>
      <c r="B589" s="104" t="s">
        <v>206</v>
      </c>
      <c r="C589" s="104" t="s">
        <v>61</v>
      </c>
      <c r="D589" s="104">
        <v>2050</v>
      </c>
      <c r="E589" s="105" t="e">
        <f>SUMIFS(#REF!,#REF!,$A589,#REF!,$B589,#REF!,$C589,#REF!,"Storage Demand")</f>
        <v>#REF!</v>
      </c>
      <c r="F589" s="105" t="e">
        <f>SUMIFS(#REF!,#REF!,$A589,#REF!,$B589,#REF!,$C589,#REF!,"&lt;&gt;Other Sector Demand")</f>
        <v>#REF!</v>
      </c>
      <c r="G589" s="106" t="e">
        <f t="shared" si="36"/>
        <v>#REF!</v>
      </c>
      <c r="H589" s="105" t="e">
        <f>SUMIFS(#REF!,#REF!,$A589,#REF!,$B589,#REF!,$C589,#REF!,"Other Sector Demand")</f>
        <v>#REF!</v>
      </c>
      <c r="I589" s="105" t="e">
        <f t="shared" si="37"/>
        <v>#REF!</v>
      </c>
      <c r="J589" s="106" t="e">
        <f t="shared" si="38"/>
        <v>#REF!</v>
      </c>
      <c r="K589" s="107" t="e">
        <f t="shared" si="39"/>
        <v>#REF!</v>
      </c>
    </row>
    <row r="590" spans="1:11" ht="15" customHeight="1" x14ac:dyDescent="0.2">
      <c r="A590" s="104" t="s">
        <v>207</v>
      </c>
      <c r="B590" s="104" t="s">
        <v>206</v>
      </c>
      <c r="C590" s="104" t="s">
        <v>64</v>
      </c>
      <c r="D590" s="104">
        <v>2020</v>
      </c>
      <c r="E590" s="105" t="e">
        <f>SUMIFS(#REF!,#REF!,$A590,#REF!,$B590,#REF!,$C590,#REF!,"Storage Demand")</f>
        <v>#REF!</v>
      </c>
      <c r="F590" s="105" t="e">
        <f>SUMIFS(#REF!,#REF!,$A590,#REF!,$B590,#REF!,$C590,#REF!,"&lt;&gt;Other Sector Demand")</f>
        <v>#REF!</v>
      </c>
      <c r="G590" s="106" t="e">
        <f t="shared" si="36"/>
        <v>#REF!</v>
      </c>
      <c r="H590" s="105" t="e">
        <f>SUMIFS(#REF!,#REF!,$A590,#REF!,$B590,#REF!,$C590,#REF!,"Other Sector Demand")</f>
        <v>#REF!</v>
      </c>
      <c r="I590" s="105" t="e">
        <f t="shared" si="37"/>
        <v>#REF!</v>
      </c>
      <c r="J590" s="106" t="e">
        <f t="shared" si="38"/>
        <v>#REF!</v>
      </c>
      <c r="K590" s="107" t="e">
        <f t="shared" si="39"/>
        <v>#REF!</v>
      </c>
    </row>
    <row r="591" spans="1:11" ht="15" customHeight="1" x14ac:dyDescent="0.2">
      <c r="A591" s="104" t="s">
        <v>207</v>
      </c>
      <c r="B591" s="104" t="s">
        <v>206</v>
      </c>
      <c r="C591" s="104" t="s">
        <v>64</v>
      </c>
      <c r="D591" s="104">
        <v>2030</v>
      </c>
      <c r="E591" s="105" t="e">
        <f>SUMIFS(#REF!,#REF!,$A591,#REF!,$B591,#REF!,$C591,#REF!,"Storage Demand")</f>
        <v>#REF!</v>
      </c>
      <c r="F591" s="105" t="e">
        <f>SUMIFS(#REF!,#REF!,$A591,#REF!,$B591,#REF!,$C591,#REF!,"&lt;&gt;Other Sector Demand")</f>
        <v>#REF!</v>
      </c>
      <c r="G591" s="106" t="e">
        <f t="shared" si="36"/>
        <v>#REF!</v>
      </c>
      <c r="H591" s="105" t="e">
        <f>SUMIFS(#REF!,#REF!,$A591,#REF!,$B591,#REF!,$C591,#REF!,"Other Sector Demand")</f>
        <v>#REF!</v>
      </c>
      <c r="I591" s="105" t="e">
        <f t="shared" si="37"/>
        <v>#REF!</v>
      </c>
      <c r="J591" s="106" t="e">
        <f t="shared" si="38"/>
        <v>#REF!</v>
      </c>
      <c r="K591" s="107" t="e">
        <f t="shared" si="39"/>
        <v>#REF!</v>
      </c>
    </row>
    <row r="592" spans="1:11" ht="15" customHeight="1" x14ac:dyDescent="0.2">
      <c r="A592" s="104" t="s">
        <v>207</v>
      </c>
      <c r="B592" s="104" t="s">
        <v>206</v>
      </c>
      <c r="C592" s="104" t="s">
        <v>64</v>
      </c>
      <c r="D592" s="104">
        <v>2040</v>
      </c>
      <c r="E592" s="105" t="e">
        <f>SUMIFS(#REF!,#REF!,$A592,#REF!,$B592,#REF!,$C592,#REF!,"Storage Demand")</f>
        <v>#REF!</v>
      </c>
      <c r="F592" s="105" t="e">
        <f>SUMIFS(#REF!,#REF!,$A592,#REF!,$B592,#REF!,$C592,#REF!,"&lt;&gt;Other Sector Demand")</f>
        <v>#REF!</v>
      </c>
      <c r="G592" s="106" t="e">
        <f t="shared" si="36"/>
        <v>#REF!</v>
      </c>
      <c r="H592" s="105" t="e">
        <f>SUMIFS(#REF!,#REF!,$A592,#REF!,$B592,#REF!,$C592,#REF!,"Other Sector Demand")</f>
        <v>#REF!</v>
      </c>
      <c r="I592" s="105" t="e">
        <f t="shared" si="37"/>
        <v>#REF!</v>
      </c>
      <c r="J592" s="106" t="e">
        <f t="shared" si="38"/>
        <v>#REF!</v>
      </c>
      <c r="K592" s="107" t="e">
        <f t="shared" si="39"/>
        <v>#REF!</v>
      </c>
    </row>
    <row r="593" spans="1:11" ht="15" customHeight="1" x14ac:dyDescent="0.2">
      <c r="A593" s="104" t="s">
        <v>207</v>
      </c>
      <c r="B593" s="104" t="s">
        <v>206</v>
      </c>
      <c r="C593" s="104" t="s">
        <v>64</v>
      </c>
      <c r="D593" s="104">
        <v>2050</v>
      </c>
      <c r="E593" s="105" t="e">
        <f>SUMIFS(#REF!,#REF!,$A593,#REF!,$B593,#REF!,$C593,#REF!,"Storage Demand")</f>
        <v>#REF!</v>
      </c>
      <c r="F593" s="105" t="e">
        <f>SUMIFS(#REF!,#REF!,$A593,#REF!,$B593,#REF!,$C593,#REF!,"&lt;&gt;Other Sector Demand")</f>
        <v>#REF!</v>
      </c>
      <c r="G593" s="106" t="e">
        <f t="shared" si="36"/>
        <v>#REF!</v>
      </c>
      <c r="H593" s="105" t="e">
        <f>SUMIFS(#REF!,#REF!,$A593,#REF!,$B593,#REF!,$C593,#REF!,"Other Sector Demand")</f>
        <v>#REF!</v>
      </c>
      <c r="I593" s="105" t="e">
        <f t="shared" si="37"/>
        <v>#REF!</v>
      </c>
      <c r="J593" s="106" t="e">
        <f t="shared" si="38"/>
        <v>#REF!</v>
      </c>
      <c r="K593" s="107" t="e">
        <f t="shared" si="39"/>
        <v>#REF!</v>
      </c>
    </row>
    <row r="594" spans="1:11" ht="15" customHeight="1" x14ac:dyDescent="0.2">
      <c r="A594" s="104" t="s">
        <v>207</v>
      </c>
      <c r="B594" s="104" t="s">
        <v>206</v>
      </c>
      <c r="C594" s="104" t="s">
        <v>66</v>
      </c>
      <c r="D594" s="104">
        <v>2020</v>
      </c>
      <c r="E594" s="105" t="e">
        <f>SUMIFS(#REF!,#REF!,$A594,#REF!,$B594,#REF!,$C594,#REF!,"Storage Demand")</f>
        <v>#REF!</v>
      </c>
      <c r="F594" s="105" t="e">
        <f>SUMIFS(#REF!,#REF!,$A594,#REF!,$B594,#REF!,$C594,#REF!,"&lt;&gt;Other Sector Demand")</f>
        <v>#REF!</v>
      </c>
      <c r="G594" s="106" t="e">
        <f t="shared" si="36"/>
        <v>#REF!</v>
      </c>
      <c r="H594" s="105" t="e">
        <f>SUMIFS(#REF!,#REF!,$A594,#REF!,$B594,#REF!,$C594,#REF!,"Other Sector Demand")</f>
        <v>#REF!</v>
      </c>
      <c r="I594" s="105" t="e">
        <f t="shared" si="37"/>
        <v>#REF!</v>
      </c>
      <c r="J594" s="106" t="e">
        <f t="shared" si="38"/>
        <v>#REF!</v>
      </c>
      <c r="K594" s="107" t="e">
        <f t="shared" si="39"/>
        <v>#REF!</v>
      </c>
    </row>
    <row r="595" spans="1:11" ht="15" customHeight="1" x14ac:dyDescent="0.2">
      <c r="A595" s="104" t="s">
        <v>207</v>
      </c>
      <c r="B595" s="104" t="s">
        <v>206</v>
      </c>
      <c r="C595" s="104" t="s">
        <v>66</v>
      </c>
      <c r="D595" s="104">
        <v>2030</v>
      </c>
      <c r="E595" s="105" t="e">
        <f>SUMIFS(#REF!,#REF!,$A595,#REF!,$B595,#REF!,$C595,#REF!,"Storage Demand")</f>
        <v>#REF!</v>
      </c>
      <c r="F595" s="105" t="e">
        <f>SUMIFS(#REF!,#REF!,$A595,#REF!,$B595,#REF!,$C595,#REF!,"&lt;&gt;Other Sector Demand")</f>
        <v>#REF!</v>
      </c>
      <c r="G595" s="106" t="e">
        <f t="shared" si="36"/>
        <v>#REF!</v>
      </c>
      <c r="H595" s="105" t="e">
        <f>SUMIFS(#REF!,#REF!,$A595,#REF!,$B595,#REF!,$C595,#REF!,"Other Sector Demand")</f>
        <v>#REF!</v>
      </c>
      <c r="I595" s="105" t="e">
        <f t="shared" si="37"/>
        <v>#REF!</v>
      </c>
      <c r="J595" s="106" t="e">
        <f t="shared" si="38"/>
        <v>#REF!</v>
      </c>
      <c r="K595" s="107" t="e">
        <f t="shared" si="39"/>
        <v>#REF!</v>
      </c>
    </row>
    <row r="596" spans="1:11" ht="15" customHeight="1" x14ac:dyDescent="0.2">
      <c r="A596" s="104" t="s">
        <v>207</v>
      </c>
      <c r="B596" s="104" t="s">
        <v>206</v>
      </c>
      <c r="C596" s="104" t="s">
        <v>66</v>
      </c>
      <c r="D596" s="104">
        <v>2040</v>
      </c>
      <c r="E596" s="105" t="e">
        <f>SUMIFS(#REF!,#REF!,$A596,#REF!,$B596,#REF!,$C596,#REF!,"Storage Demand")</f>
        <v>#REF!</v>
      </c>
      <c r="F596" s="105" t="e">
        <f>SUMIFS(#REF!,#REF!,$A596,#REF!,$B596,#REF!,$C596,#REF!,"&lt;&gt;Other Sector Demand")</f>
        <v>#REF!</v>
      </c>
      <c r="G596" s="106" t="e">
        <f t="shared" si="36"/>
        <v>#REF!</v>
      </c>
      <c r="H596" s="105" t="e">
        <f>SUMIFS(#REF!,#REF!,$A596,#REF!,$B596,#REF!,$C596,#REF!,"Other Sector Demand")</f>
        <v>#REF!</v>
      </c>
      <c r="I596" s="105" t="e">
        <f t="shared" si="37"/>
        <v>#REF!</v>
      </c>
      <c r="J596" s="106" t="e">
        <f t="shared" si="38"/>
        <v>#REF!</v>
      </c>
      <c r="K596" s="107" t="e">
        <f t="shared" si="39"/>
        <v>#REF!</v>
      </c>
    </row>
    <row r="597" spans="1:11" ht="15" customHeight="1" x14ac:dyDescent="0.2">
      <c r="A597" s="104" t="s">
        <v>207</v>
      </c>
      <c r="B597" s="104" t="s">
        <v>206</v>
      </c>
      <c r="C597" s="104" t="s">
        <v>66</v>
      </c>
      <c r="D597" s="104">
        <v>2050</v>
      </c>
      <c r="E597" s="105" t="e">
        <f>SUMIFS(#REF!,#REF!,$A597,#REF!,$B597,#REF!,$C597,#REF!,"Storage Demand")</f>
        <v>#REF!</v>
      </c>
      <c r="F597" s="105" t="e">
        <f>SUMIFS(#REF!,#REF!,$A597,#REF!,$B597,#REF!,$C597,#REF!,"&lt;&gt;Other Sector Demand")</f>
        <v>#REF!</v>
      </c>
      <c r="G597" s="106" t="e">
        <f t="shared" si="36"/>
        <v>#REF!</v>
      </c>
      <c r="H597" s="105" t="e">
        <f>SUMIFS(#REF!,#REF!,$A597,#REF!,$B597,#REF!,$C597,#REF!,"Other Sector Demand")</f>
        <v>#REF!</v>
      </c>
      <c r="I597" s="105" t="e">
        <f t="shared" si="37"/>
        <v>#REF!</v>
      </c>
      <c r="J597" s="106" t="e">
        <f t="shared" si="38"/>
        <v>#REF!</v>
      </c>
      <c r="K597" s="107" t="e">
        <f t="shared" si="39"/>
        <v>#REF!</v>
      </c>
    </row>
    <row r="598" spans="1:11" ht="15" customHeight="1" x14ac:dyDescent="0.2">
      <c r="A598" s="104" t="s">
        <v>207</v>
      </c>
      <c r="B598" s="104" t="s">
        <v>206</v>
      </c>
      <c r="C598" s="104" t="s">
        <v>67</v>
      </c>
      <c r="D598" s="104">
        <v>2020</v>
      </c>
      <c r="E598" s="105" t="e">
        <f>SUMIFS(#REF!,#REF!,$A598,#REF!,$B598,#REF!,$C598,#REF!,"Storage Demand")</f>
        <v>#REF!</v>
      </c>
      <c r="F598" s="105" t="e">
        <f>SUMIFS(#REF!,#REF!,$A598,#REF!,$B598,#REF!,$C598,#REF!,"&lt;&gt;Other Sector Demand")</f>
        <v>#REF!</v>
      </c>
      <c r="G598" s="106" t="e">
        <f t="shared" si="36"/>
        <v>#REF!</v>
      </c>
      <c r="H598" s="105" t="e">
        <f>SUMIFS(#REF!,#REF!,$A598,#REF!,$B598,#REF!,$C598,#REF!,"Other Sector Demand")</f>
        <v>#REF!</v>
      </c>
      <c r="I598" s="105" t="e">
        <f t="shared" si="37"/>
        <v>#REF!</v>
      </c>
      <c r="J598" s="106" t="e">
        <f t="shared" si="38"/>
        <v>#REF!</v>
      </c>
      <c r="K598" s="107" t="e">
        <f t="shared" si="39"/>
        <v>#REF!</v>
      </c>
    </row>
    <row r="599" spans="1:11" ht="15" customHeight="1" x14ac:dyDescent="0.2">
      <c r="A599" s="104" t="s">
        <v>207</v>
      </c>
      <c r="B599" s="104" t="s">
        <v>206</v>
      </c>
      <c r="C599" s="104" t="s">
        <v>67</v>
      </c>
      <c r="D599" s="104">
        <v>2030</v>
      </c>
      <c r="E599" s="105" t="e">
        <f>SUMIFS(#REF!,#REF!,$A599,#REF!,$B599,#REF!,$C599,#REF!,"Storage Demand")</f>
        <v>#REF!</v>
      </c>
      <c r="F599" s="105" t="e">
        <f>SUMIFS(#REF!,#REF!,$A599,#REF!,$B599,#REF!,$C599,#REF!,"&lt;&gt;Other Sector Demand")</f>
        <v>#REF!</v>
      </c>
      <c r="G599" s="106" t="e">
        <f t="shared" si="36"/>
        <v>#REF!</v>
      </c>
      <c r="H599" s="105" t="e">
        <f>SUMIFS(#REF!,#REF!,$A599,#REF!,$B599,#REF!,$C599,#REF!,"Other Sector Demand")</f>
        <v>#REF!</v>
      </c>
      <c r="I599" s="105" t="e">
        <f t="shared" si="37"/>
        <v>#REF!</v>
      </c>
      <c r="J599" s="106" t="e">
        <f t="shared" si="38"/>
        <v>#REF!</v>
      </c>
      <c r="K599" s="107" t="e">
        <f t="shared" si="39"/>
        <v>#REF!</v>
      </c>
    </row>
    <row r="600" spans="1:11" ht="15" customHeight="1" x14ac:dyDescent="0.2">
      <c r="A600" s="104" t="s">
        <v>207</v>
      </c>
      <c r="B600" s="104" t="s">
        <v>206</v>
      </c>
      <c r="C600" s="104" t="s">
        <v>67</v>
      </c>
      <c r="D600" s="104">
        <v>2040</v>
      </c>
      <c r="E600" s="105" t="e">
        <f>SUMIFS(#REF!,#REF!,$A600,#REF!,$B600,#REF!,$C600,#REF!,"Storage Demand")</f>
        <v>#REF!</v>
      </c>
      <c r="F600" s="105" t="e">
        <f>SUMIFS(#REF!,#REF!,$A600,#REF!,$B600,#REF!,$C600,#REF!,"&lt;&gt;Other Sector Demand")</f>
        <v>#REF!</v>
      </c>
      <c r="G600" s="106" t="e">
        <f t="shared" si="36"/>
        <v>#REF!</v>
      </c>
      <c r="H600" s="105" t="e">
        <f>SUMIFS(#REF!,#REF!,$A600,#REF!,$B600,#REF!,$C600,#REF!,"Other Sector Demand")</f>
        <v>#REF!</v>
      </c>
      <c r="I600" s="105" t="e">
        <f t="shared" si="37"/>
        <v>#REF!</v>
      </c>
      <c r="J600" s="106" t="e">
        <f t="shared" si="38"/>
        <v>#REF!</v>
      </c>
      <c r="K600" s="107" t="e">
        <f t="shared" si="39"/>
        <v>#REF!</v>
      </c>
    </row>
    <row r="601" spans="1:11" ht="15" customHeight="1" x14ac:dyDescent="0.2">
      <c r="A601" s="104" t="s">
        <v>207</v>
      </c>
      <c r="B601" s="104" t="s">
        <v>206</v>
      </c>
      <c r="C601" s="104" t="s">
        <v>67</v>
      </c>
      <c r="D601" s="104">
        <v>2050</v>
      </c>
      <c r="E601" s="105" t="e">
        <f>SUMIFS(#REF!,#REF!,$A601,#REF!,$B601,#REF!,$C601,#REF!,"Storage Demand")</f>
        <v>#REF!</v>
      </c>
      <c r="F601" s="105" t="e">
        <f>SUMIFS(#REF!,#REF!,$A601,#REF!,$B601,#REF!,$C601,#REF!,"&lt;&gt;Other Sector Demand")</f>
        <v>#REF!</v>
      </c>
      <c r="G601" s="106" t="e">
        <f t="shared" si="36"/>
        <v>#REF!</v>
      </c>
      <c r="H601" s="105" t="e">
        <f>SUMIFS(#REF!,#REF!,$A601,#REF!,$B601,#REF!,$C601,#REF!,"Other Sector Demand")</f>
        <v>#REF!</v>
      </c>
      <c r="I601" s="105" t="e">
        <f t="shared" si="37"/>
        <v>#REF!</v>
      </c>
      <c r="J601" s="106" t="e">
        <f t="shared" si="38"/>
        <v>#REF!</v>
      </c>
      <c r="K601" s="107" t="e">
        <f t="shared" si="39"/>
        <v>#REF!</v>
      </c>
    </row>
    <row r="602" spans="1:11" ht="15" customHeight="1" x14ac:dyDescent="0.2">
      <c r="A602" s="104" t="s">
        <v>207</v>
      </c>
      <c r="B602" s="104" t="s">
        <v>206</v>
      </c>
      <c r="C602" s="104" t="s">
        <v>68</v>
      </c>
      <c r="D602" s="104">
        <v>2020</v>
      </c>
      <c r="E602" s="105" t="e">
        <f>SUMIFS(#REF!,#REF!,$A602,#REF!,$B602,#REF!,$C602,#REF!,"Storage Demand")</f>
        <v>#REF!</v>
      </c>
      <c r="F602" s="105" t="e">
        <f>SUMIFS(#REF!,#REF!,$A602,#REF!,$B602,#REF!,$C602,#REF!,"&lt;&gt;Other Sector Demand")</f>
        <v>#REF!</v>
      </c>
      <c r="G602" s="106" t="e">
        <f t="shared" si="36"/>
        <v>#REF!</v>
      </c>
      <c r="H602" s="105" t="e">
        <f>SUMIFS(#REF!,#REF!,$A602,#REF!,$B602,#REF!,$C602,#REF!,"Other Sector Demand")</f>
        <v>#REF!</v>
      </c>
      <c r="I602" s="105" t="e">
        <f t="shared" si="37"/>
        <v>#REF!</v>
      </c>
      <c r="J602" s="106" t="e">
        <f t="shared" si="38"/>
        <v>#REF!</v>
      </c>
      <c r="K602" s="107" t="e">
        <f t="shared" si="39"/>
        <v>#REF!</v>
      </c>
    </row>
    <row r="603" spans="1:11" ht="15" customHeight="1" x14ac:dyDescent="0.2">
      <c r="A603" s="104" t="s">
        <v>207</v>
      </c>
      <c r="B603" s="104" t="s">
        <v>206</v>
      </c>
      <c r="C603" s="104" t="s">
        <v>68</v>
      </c>
      <c r="D603" s="104">
        <v>2030</v>
      </c>
      <c r="E603" s="105" t="e">
        <f>SUMIFS(#REF!,#REF!,$A603,#REF!,$B603,#REF!,$C603,#REF!,"Storage Demand")</f>
        <v>#REF!</v>
      </c>
      <c r="F603" s="105" t="e">
        <f>SUMIFS(#REF!,#REF!,$A603,#REF!,$B603,#REF!,$C603,#REF!,"&lt;&gt;Other Sector Demand")</f>
        <v>#REF!</v>
      </c>
      <c r="G603" s="106" t="e">
        <f t="shared" si="36"/>
        <v>#REF!</v>
      </c>
      <c r="H603" s="105" t="e">
        <f>SUMIFS(#REF!,#REF!,$A603,#REF!,$B603,#REF!,$C603,#REF!,"Other Sector Demand")</f>
        <v>#REF!</v>
      </c>
      <c r="I603" s="105" t="e">
        <f t="shared" si="37"/>
        <v>#REF!</v>
      </c>
      <c r="J603" s="106" t="e">
        <f t="shared" si="38"/>
        <v>#REF!</v>
      </c>
      <c r="K603" s="107" t="e">
        <f t="shared" si="39"/>
        <v>#REF!</v>
      </c>
    </row>
    <row r="604" spans="1:11" ht="15" customHeight="1" x14ac:dyDescent="0.2">
      <c r="A604" s="104" t="s">
        <v>207</v>
      </c>
      <c r="B604" s="104" t="s">
        <v>206</v>
      </c>
      <c r="C604" s="104" t="s">
        <v>68</v>
      </c>
      <c r="D604" s="104">
        <v>2040</v>
      </c>
      <c r="E604" s="105" t="e">
        <f>SUMIFS(#REF!,#REF!,$A604,#REF!,$B604,#REF!,$C604,#REF!,"Storage Demand")</f>
        <v>#REF!</v>
      </c>
      <c r="F604" s="105" t="e">
        <f>SUMIFS(#REF!,#REF!,$A604,#REF!,$B604,#REF!,$C604,#REF!,"&lt;&gt;Other Sector Demand")</f>
        <v>#REF!</v>
      </c>
      <c r="G604" s="106" t="e">
        <f t="shared" si="36"/>
        <v>#REF!</v>
      </c>
      <c r="H604" s="105" t="e">
        <f>SUMIFS(#REF!,#REF!,$A604,#REF!,$B604,#REF!,$C604,#REF!,"Other Sector Demand")</f>
        <v>#REF!</v>
      </c>
      <c r="I604" s="105" t="e">
        <f t="shared" si="37"/>
        <v>#REF!</v>
      </c>
      <c r="J604" s="106" t="e">
        <f t="shared" si="38"/>
        <v>#REF!</v>
      </c>
      <c r="K604" s="107" t="e">
        <f t="shared" si="39"/>
        <v>#REF!</v>
      </c>
    </row>
    <row r="605" spans="1:11" ht="15" customHeight="1" x14ac:dyDescent="0.2">
      <c r="A605" s="104" t="s">
        <v>207</v>
      </c>
      <c r="B605" s="104" t="s">
        <v>206</v>
      </c>
      <c r="C605" s="104" t="s">
        <v>68</v>
      </c>
      <c r="D605" s="104">
        <v>2050</v>
      </c>
      <c r="E605" s="105" t="e">
        <f>SUMIFS(#REF!,#REF!,$A605,#REF!,$B605,#REF!,$C605,#REF!,"Storage Demand")</f>
        <v>#REF!</v>
      </c>
      <c r="F605" s="105" t="e">
        <f>SUMIFS(#REF!,#REF!,$A605,#REF!,$B605,#REF!,$C605,#REF!,"&lt;&gt;Other Sector Demand")</f>
        <v>#REF!</v>
      </c>
      <c r="G605" s="106" t="e">
        <f t="shared" si="36"/>
        <v>#REF!</v>
      </c>
      <c r="H605" s="105" t="e">
        <f>SUMIFS(#REF!,#REF!,$A605,#REF!,$B605,#REF!,$C605,#REF!,"Other Sector Demand")</f>
        <v>#REF!</v>
      </c>
      <c r="I605" s="105" t="e">
        <f t="shared" si="37"/>
        <v>#REF!</v>
      </c>
      <c r="J605" s="106" t="e">
        <f t="shared" si="38"/>
        <v>#REF!</v>
      </c>
      <c r="K605" s="107" t="e">
        <f t="shared" si="39"/>
        <v>#REF!</v>
      </c>
    </row>
    <row r="606" spans="1:11" ht="15" customHeight="1" x14ac:dyDescent="0.2">
      <c r="A606" s="104" t="s">
        <v>207</v>
      </c>
      <c r="B606" s="104" t="s">
        <v>206</v>
      </c>
      <c r="C606" s="104" t="s">
        <v>69</v>
      </c>
      <c r="D606" s="104">
        <v>2020</v>
      </c>
      <c r="E606" s="105" t="e">
        <f>SUMIFS(#REF!,#REF!,$A606,#REF!,$B606,#REF!,$C606,#REF!,"Storage Demand")</f>
        <v>#REF!</v>
      </c>
      <c r="F606" s="105" t="e">
        <f>SUMIFS(#REF!,#REF!,$A606,#REF!,$B606,#REF!,$C606,#REF!,"&lt;&gt;Other Sector Demand")</f>
        <v>#REF!</v>
      </c>
      <c r="G606" s="106" t="e">
        <f t="shared" si="36"/>
        <v>#REF!</v>
      </c>
      <c r="H606" s="105" t="e">
        <f>SUMIFS(#REF!,#REF!,$A606,#REF!,$B606,#REF!,$C606,#REF!,"Other Sector Demand")</f>
        <v>#REF!</v>
      </c>
      <c r="I606" s="105" t="e">
        <f t="shared" si="37"/>
        <v>#REF!</v>
      </c>
      <c r="J606" s="106" t="e">
        <f t="shared" si="38"/>
        <v>#REF!</v>
      </c>
      <c r="K606" s="107" t="e">
        <f t="shared" si="39"/>
        <v>#REF!</v>
      </c>
    </row>
    <row r="607" spans="1:11" ht="15" customHeight="1" x14ac:dyDescent="0.2">
      <c r="A607" s="104" t="s">
        <v>207</v>
      </c>
      <c r="B607" s="104" t="s">
        <v>206</v>
      </c>
      <c r="C607" s="104" t="s">
        <v>69</v>
      </c>
      <c r="D607" s="104">
        <v>2030</v>
      </c>
      <c r="E607" s="105" t="e">
        <f>SUMIFS(#REF!,#REF!,$A607,#REF!,$B607,#REF!,$C607,#REF!,"Storage Demand")</f>
        <v>#REF!</v>
      </c>
      <c r="F607" s="105" t="e">
        <f>SUMIFS(#REF!,#REF!,$A607,#REF!,$B607,#REF!,$C607,#REF!,"&lt;&gt;Other Sector Demand")</f>
        <v>#REF!</v>
      </c>
      <c r="G607" s="106" t="e">
        <f t="shared" si="36"/>
        <v>#REF!</v>
      </c>
      <c r="H607" s="105" t="e">
        <f>SUMIFS(#REF!,#REF!,$A607,#REF!,$B607,#REF!,$C607,#REF!,"Other Sector Demand")</f>
        <v>#REF!</v>
      </c>
      <c r="I607" s="105" t="e">
        <f t="shared" si="37"/>
        <v>#REF!</v>
      </c>
      <c r="J607" s="106" t="e">
        <f t="shared" si="38"/>
        <v>#REF!</v>
      </c>
      <c r="K607" s="107" t="e">
        <f t="shared" si="39"/>
        <v>#REF!</v>
      </c>
    </row>
    <row r="608" spans="1:11" ht="15" customHeight="1" x14ac:dyDescent="0.2">
      <c r="A608" s="104" t="s">
        <v>207</v>
      </c>
      <c r="B608" s="104" t="s">
        <v>206</v>
      </c>
      <c r="C608" s="104" t="s">
        <v>69</v>
      </c>
      <c r="D608" s="104">
        <v>2040</v>
      </c>
      <c r="E608" s="105" t="e">
        <f>SUMIFS(#REF!,#REF!,$A608,#REF!,$B608,#REF!,$C608,#REF!,"Storage Demand")</f>
        <v>#REF!</v>
      </c>
      <c r="F608" s="105" t="e">
        <f>SUMIFS(#REF!,#REF!,$A608,#REF!,$B608,#REF!,$C608,#REF!,"&lt;&gt;Other Sector Demand")</f>
        <v>#REF!</v>
      </c>
      <c r="G608" s="106" t="e">
        <f t="shared" si="36"/>
        <v>#REF!</v>
      </c>
      <c r="H608" s="105" t="e">
        <f>SUMIFS(#REF!,#REF!,$A608,#REF!,$B608,#REF!,$C608,#REF!,"Other Sector Demand")</f>
        <v>#REF!</v>
      </c>
      <c r="I608" s="105" t="e">
        <f t="shared" si="37"/>
        <v>#REF!</v>
      </c>
      <c r="J608" s="106" t="e">
        <f t="shared" si="38"/>
        <v>#REF!</v>
      </c>
      <c r="K608" s="107" t="e">
        <f t="shared" si="39"/>
        <v>#REF!</v>
      </c>
    </row>
    <row r="609" spans="1:11" ht="15" customHeight="1" x14ac:dyDescent="0.2">
      <c r="A609" s="104" t="s">
        <v>207</v>
      </c>
      <c r="B609" s="104" t="s">
        <v>206</v>
      </c>
      <c r="C609" s="104" t="s">
        <v>69</v>
      </c>
      <c r="D609" s="104">
        <v>2050</v>
      </c>
      <c r="E609" s="105" t="e">
        <f>SUMIFS(#REF!,#REF!,$A609,#REF!,$B609,#REF!,$C609,#REF!,"Storage Demand")</f>
        <v>#REF!</v>
      </c>
      <c r="F609" s="105" t="e">
        <f>SUMIFS(#REF!,#REF!,$A609,#REF!,$B609,#REF!,$C609,#REF!,"&lt;&gt;Other Sector Demand")</f>
        <v>#REF!</v>
      </c>
      <c r="G609" s="106" t="e">
        <f t="shared" si="36"/>
        <v>#REF!</v>
      </c>
      <c r="H609" s="105" t="e">
        <f>SUMIFS(#REF!,#REF!,$A609,#REF!,$B609,#REF!,$C609,#REF!,"Other Sector Demand")</f>
        <v>#REF!</v>
      </c>
      <c r="I609" s="105" t="e">
        <f t="shared" si="37"/>
        <v>#REF!</v>
      </c>
      <c r="J609" s="106" t="e">
        <f t="shared" si="38"/>
        <v>#REF!</v>
      </c>
      <c r="K609" s="107" t="e">
        <f t="shared" si="39"/>
        <v>#REF!</v>
      </c>
    </row>
    <row r="610" spans="1:11" ht="15" customHeight="1" x14ac:dyDescent="0.2">
      <c r="A610" s="104" t="s">
        <v>207</v>
      </c>
      <c r="B610" s="104" t="s">
        <v>206</v>
      </c>
      <c r="C610" s="104" t="s">
        <v>70</v>
      </c>
      <c r="D610" s="104">
        <v>2020</v>
      </c>
      <c r="E610" s="105" t="e">
        <f>SUMIFS(#REF!,#REF!,$A610,#REF!,$B610,#REF!,$C610,#REF!,"Storage Demand")</f>
        <v>#REF!</v>
      </c>
      <c r="F610" s="105" t="e">
        <f>SUMIFS(#REF!,#REF!,$A610,#REF!,$B610,#REF!,$C610,#REF!,"&lt;&gt;Other Sector Demand")</f>
        <v>#REF!</v>
      </c>
      <c r="G610" s="106" t="e">
        <f t="shared" si="36"/>
        <v>#REF!</v>
      </c>
      <c r="H610" s="105" t="e">
        <f>SUMIFS(#REF!,#REF!,$A610,#REF!,$B610,#REF!,$C610,#REF!,"Other Sector Demand")</f>
        <v>#REF!</v>
      </c>
      <c r="I610" s="105" t="e">
        <f t="shared" si="37"/>
        <v>#REF!</v>
      </c>
      <c r="J610" s="106" t="e">
        <f t="shared" si="38"/>
        <v>#REF!</v>
      </c>
      <c r="K610" s="107" t="e">
        <f t="shared" si="39"/>
        <v>#REF!</v>
      </c>
    </row>
    <row r="611" spans="1:11" ht="15" customHeight="1" x14ac:dyDescent="0.2">
      <c r="A611" s="104" t="s">
        <v>207</v>
      </c>
      <c r="B611" s="104" t="s">
        <v>206</v>
      </c>
      <c r="C611" s="104" t="s">
        <v>70</v>
      </c>
      <c r="D611" s="104">
        <v>2030</v>
      </c>
      <c r="E611" s="105" t="e">
        <f>SUMIFS(#REF!,#REF!,$A611,#REF!,$B611,#REF!,$C611,#REF!,"Storage Demand")</f>
        <v>#REF!</v>
      </c>
      <c r="F611" s="105" t="e">
        <f>SUMIFS(#REF!,#REF!,$A611,#REF!,$B611,#REF!,$C611,#REF!,"&lt;&gt;Other Sector Demand")</f>
        <v>#REF!</v>
      </c>
      <c r="G611" s="106" t="e">
        <f t="shared" si="36"/>
        <v>#REF!</v>
      </c>
      <c r="H611" s="105" t="e">
        <f>SUMIFS(#REF!,#REF!,$A611,#REF!,$B611,#REF!,$C611,#REF!,"Other Sector Demand")</f>
        <v>#REF!</v>
      </c>
      <c r="I611" s="105" t="e">
        <f t="shared" si="37"/>
        <v>#REF!</v>
      </c>
      <c r="J611" s="106" t="e">
        <f t="shared" si="38"/>
        <v>#REF!</v>
      </c>
      <c r="K611" s="107" t="e">
        <f t="shared" si="39"/>
        <v>#REF!</v>
      </c>
    </row>
    <row r="612" spans="1:11" ht="15" customHeight="1" x14ac:dyDescent="0.2">
      <c r="A612" s="104" t="s">
        <v>207</v>
      </c>
      <c r="B612" s="104" t="s">
        <v>206</v>
      </c>
      <c r="C612" s="104" t="s">
        <v>70</v>
      </c>
      <c r="D612" s="104">
        <v>2040</v>
      </c>
      <c r="E612" s="105" t="e">
        <f>SUMIFS(#REF!,#REF!,$A612,#REF!,$B612,#REF!,$C612,#REF!,"Storage Demand")</f>
        <v>#REF!</v>
      </c>
      <c r="F612" s="105" t="e">
        <f>SUMIFS(#REF!,#REF!,$A612,#REF!,$B612,#REF!,$C612,#REF!,"&lt;&gt;Other Sector Demand")</f>
        <v>#REF!</v>
      </c>
      <c r="G612" s="106" t="e">
        <f t="shared" si="36"/>
        <v>#REF!</v>
      </c>
      <c r="H612" s="105" t="e">
        <f>SUMIFS(#REF!,#REF!,$A612,#REF!,$B612,#REF!,$C612,#REF!,"Other Sector Demand")</f>
        <v>#REF!</v>
      </c>
      <c r="I612" s="105" t="e">
        <f t="shared" si="37"/>
        <v>#REF!</v>
      </c>
      <c r="J612" s="106" t="e">
        <f t="shared" si="38"/>
        <v>#REF!</v>
      </c>
      <c r="K612" s="107" t="e">
        <f t="shared" si="39"/>
        <v>#REF!</v>
      </c>
    </row>
    <row r="613" spans="1:11" ht="15" customHeight="1" x14ac:dyDescent="0.2">
      <c r="A613" s="104" t="s">
        <v>207</v>
      </c>
      <c r="B613" s="104" t="s">
        <v>206</v>
      </c>
      <c r="C613" s="104" t="s">
        <v>70</v>
      </c>
      <c r="D613" s="104">
        <v>2050</v>
      </c>
      <c r="E613" s="105" t="e">
        <f>SUMIFS(#REF!,#REF!,$A613,#REF!,$B613,#REF!,$C613,#REF!,"Storage Demand")</f>
        <v>#REF!</v>
      </c>
      <c r="F613" s="105" t="e">
        <f>SUMIFS(#REF!,#REF!,$A613,#REF!,$B613,#REF!,$C613,#REF!,"&lt;&gt;Other Sector Demand")</f>
        <v>#REF!</v>
      </c>
      <c r="G613" s="106" t="e">
        <f t="shared" si="36"/>
        <v>#REF!</v>
      </c>
      <c r="H613" s="105" t="e">
        <f>SUMIFS(#REF!,#REF!,$A613,#REF!,$B613,#REF!,$C613,#REF!,"Other Sector Demand")</f>
        <v>#REF!</v>
      </c>
      <c r="I613" s="105" t="e">
        <f t="shared" si="37"/>
        <v>#REF!</v>
      </c>
      <c r="J613" s="106" t="e">
        <f t="shared" si="38"/>
        <v>#REF!</v>
      </c>
      <c r="K613" s="107" t="e">
        <f t="shared" si="39"/>
        <v>#REF!</v>
      </c>
    </row>
    <row r="614" spans="1:11" ht="15" customHeight="1" x14ac:dyDescent="0.2">
      <c r="A614" s="104" t="s">
        <v>207</v>
      </c>
      <c r="B614" s="104" t="s">
        <v>206</v>
      </c>
      <c r="C614" s="104" t="s">
        <v>71</v>
      </c>
      <c r="D614" s="104">
        <v>2020</v>
      </c>
      <c r="E614" s="105" t="e">
        <f>SUMIFS(#REF!,#REF!,$A614,#REF!,$B614,#REF!,$C614,#REF!,"Storage Demand")</f>
        <v>#REF!</v>
      </c>
      <c r="F614" s="105" t="e">
        <f>SUMIFS(#REF!,#REF!,$A614,#REF!,$B614,#REF!,$C614,#REF!,"&lt;&gt;Other Sector Demand")</f>
        <v>#REF!</v>
      </c>
      <c r="G614" s="106" t="e">
        <f t="shared" si="36"/>
        <v>#REF!</v>
      </c>
      <c r="H614" s="105" t="e">
        <f>SUMIFS(#REF!,#REF!,$A614,#REF!,$B614,#REF!,$C614,#REF!,"Other Sector Demand")</f>
        <v>#REF!</v>
      </c>
      <c r="I614" s="105" t="e">
        <f t="shared" si="37"/>
        <v>#REF!</v>
      </c>
      <c r="J614" s="106" t="e">
        <f t="shared" si="38"/>
        <v>#REF!</v>
      </c>
      <c r="K614" s="107" t="e">
        <f t="shared" si="39"/>
        <v>#REF!</v>
      </c>
    </row>
    <row r="615" spans="1:11" ht="15" customHeight="1" x14ac:dyDescent="0.2">
      <c r="A615" s="104" t="s">
        <v>207</v>
      </c>
      <c r="B615" s="104" t="s">
        <v>206</v>
      </c>
      <c r="C615" s="104" t="s">
        <v>71</v>
      </c>
      <c r="D615" s="104">
        <v>2030</v>
      </c>
      <c r="E615" s="105" t="e">
        <f>SUMIFS(#REF!,#REF!,$A615,#REF!,$B615,#REF!,$C615,#REF!,"Storage Demand")</f>
        <v>#REF!</v>
      </c>
      <c r="F615" s="105" t="e">
        <f>SUMIFS(#REF!,#REF!,$A615,#REF!,$B615,#REF!,$C615,#REF!,"&lt;&gt;Other Sector Demand")</f>
        <v>#REF!</v>
      </c>
      <c r="G615" s="106" t="e">
        <f t="shared" si="36"/>
        <v>#REF!</v>
      </c>
      <c r="H615" s="105" t="e">
        <f>SUMIFS(#REF!,#REF!,$A615,#REF!,$B615,#REF!,$C615,#REF!,"Other Sector Demand")</f>
        <v>#REF!</v>
      </c>
      <c r="I615" s="105" t="e">
        <f t="shared" si="37"/>
        <v>#REF!</v>
      </c>
      <c r="J615" s="106" t="e">
        <f t="shared" si="38"/>
        <v>#REF!</v>
      </c>
      <c r="K615" s="107" t="e">
        <f t="shared" si="39"/>
        <v>#REF!</v>
      </c>
    </row>
    <row r="616" spans="1:11" ht="15" customHeight="1" x14ac:dyDescent="0.2">
      <c r="A616" s="104" t="s">
        <v>207</v>
      </c>
      <c r="B616" s="104" t="s">
        <v>206</v>
      </c>
      <c r="C616" s="104" t="s">
        <v>71</v>
      </c>
      <c r="D616" s="104">
        <v>2040</v>
      </c>
      <c r="E616" s="105" t="e">
        <f>SUMIFS(#REF!,#REF!,$A616,#REF!,$B616,#REF!,$C616,#REF!,"Storage Demand")</f>
        <v>#REF!</v>
      </c>
      <c r="F616" s="105" t="e">
        <f>SUMIFS(#REF!,#REF!,$A616,#REF!,$B616,#REF!,$C616,#REF!,"&lt;&gt;Other Sector Demand")</f>
        <v>#REF!</v>
      </c>
      <c r="G616" s="106" t="e">
        <f t="shared" si="36"/>
        <v>#REF!</v>
      </c>
      <c r="H616" s="105" t="e">
        <f>SUMIFS(#REF!,#REF!,$A616,#REF!,$B616,#REF!,$C616,#REF!,"Other Sector Demand")</f>
        <v>#REF!</v>
      </c>
      <c r="I616" s="105" t="e">
        <f t="shared" si="37"/>
        <v>#REF!</v>
      </c>
      <c r="J616" s="106" t="e">
        <f t="shared" si="38"/>
        <v>#REF!</v>
      </c>
      <c r="K616" s="107" t="e">
        <f t="shared" si="39"/>
        <v>#REF!</v>
      </c>
    </row>
    <row r="617" spans="1:11" ht="15" customHeight="1" x14ac:dyDescent="0.2">
      <c r="A617" s="104" t="s">
        <v>207</v>
      </c>
      <c r="B617" s="104" t="s">
        <v>206</v>
      </c>
      <c r="C617" s="104" t="s">
        <v>71</v>
      </c>
      <c r="D617" s="104">
        <v>2050</v>
      </c>
      <c r="E617" s="105" t="e">
        <f>SUMIFS(#REF!,#REF!,$A617,#REF!,$B617,#REF!,$C617,#REF!,"Storage Demand")</f>
        <v>#REF!</v>
      </c>
      <c r="F617" s="105" t="e">
        <f>SUMIFS(#REF!,#REF!,$A617,#REF!,$B617,#REF!,$C617,#REF!,"&lt;&gt;Other Sector Demand")</f>
        <v>#REF!</v>
      </c>
      <c r="G617" s="106" t="e">
        <f t="shared" si="36"/>
        <v>#REF!</v>
      </c>
      <c r="H617" s="105" t="e">
        <f>SUMIFS(#REF!,#REF!,$A617,#REF!,$B617,#REF!,$C617,#REF!,"Other Sector Demand")</f>
        <v>#REF!</v>
      </c>
      <c r="I617" s="105" t="e">
        <f t="shared" si="37"/>
        <v>#REF!</v>
      </c>
      <c r="J617" s="106" t="e">
        <f t="shared" si="38"/>
        <v>#REF!</v>
      </c>
      <c r="K617" s="107" t="e">
        <f t="shared" si="39"/>
        <v>#REF!</v>
      </c>
    </row>
    <row r="618" spans="1:11" ht="15" customHeight="1" x14ac:dyDescent="0.2">
      <c r="A618" s="104" t="s">
        <v>207</v>
      </c>
      <c r="B618" s="104" t="s">
        <v>206</v>
      </c>
      <c r="C618" s="104" t="s">
        <v>73</v>
      </c>
      <c r="D618" s="104">
        <v>2020</v>
      </c>
      <c r="E618" s="105" t="e">
        <f>SUMIFS(#REF!,#REF!,$A618,#REF!,$B618,#REF!,$C618,#REF!,"Storage Demand")</f>
        <v>#REF!</v>
      </c>
      <c r="F618" s="105" t="e">
        <f>SUMIFS(#REF!,#REF!,$A618,#REF!,$B618,#REF!,$C618,#REF!,"&lt;&gt;Other Sector Demand")</f>
        <v>#REF!</v>
      </c>
      <c r="G618" s="106" t="e">
        <f t="shared" si="36"/>
        <v>#REF!</v>
      </c>
      <c r="H618" s="105" t="e">
        <f>SUMIFS(#REF!,#REF!,$A618,#REF!,$B618,#REF!,$C618,#REF!,"Other Sector Demand")</f>
        <v>#REF!</v>
      </c>
      <c r="I618" s="105" t="e">
        <f t="shared" si="37"/>
        <v>#REF!</v>
      </c>
      <c r="J618" s="106" t="e">
        <f t="shared" si="38"/>
        <v>#REF!</v>
      </c>
      <c r="K618" s="107" t="e">
        <f t="shared" si="39"/>
        <v>#REF!</v>
      </c>
    </row>
    <row r="619" spans="1:11" ht="15" customHeight="1" x14ac:dyDescent="0.2">
      <c r="A619" s="104" t="s">
        <v>207</v>
      </c>
      <c r="B619" s="104" t="s">
        <v>206</v>
      </c>
      <c r="C619" s="104" t="s">
        <v>73</v>
      </c>
      <c r="D619" s="104">
        <v>2030</v>
      </c>
      <c r="E619" s="105" t="e">
        <f>SUMIFS(#REF!,#REF!,$A619,#REF!,$B619,#REF!,$C619,#REF!,"Storage Demand")</f>
        <v>#REF!</v>
      </c>
      <c r="F619" s="105" t="e">
        <f>SUMIFS(#REF!,#REF!,$A619,#REF!,$B619,#REF!,$C619,#REF!,"&lt;&gt;Other Sector Demand")</f>
        <v>#REF!</v>
      </c>
      <c r="G619" s="106" t="e">
        <f t="shared" si="36"/>
        <v>#REF!</v>
      </c>
      <c r="H619" s="105" t="e">
        <f>SUMIFS(#REF!,#REF!,$A619,#REF!,$B619,#REF!,$C619,#REF!,"Other Sector Demand")</f>
        <v>#REF!</v>
      </c>
      <c r="I619" s="105" t="e">
        <f t="shared" si="37"/>
        <v>#REF!</v>
      </c>
      <c r="J619" s="106" t="e">
        <f t="shared" si="38"/>
        <v>#REF!</v>
      </c>
      <c r="K619" s="107" t="e">
        <f t="shared" si="39"/>
        <v>#REF!</v>
      </c>
    </row>
    <row r="620" spans="1:11" ht="15" customHeight="1" x14ac:dyDescent="0.2">
      <c r="A620" s="104" t="s">
        <v>207</v>
      </c>
      <c r="B620" s="104" t="s">
        <v>206</v>
      </c>
      <c r="C620" s="104" t="s">
        <v>73</v>
      </c>
      <c r="D620" s="104">
        <v>2040</v>
      </c>
      <c r="E620" s="105" t="e">
        <f>SUMIFS(#REF!,#REF!,$A620,#REF!,$B620,#REF!,$C620,#REF!,"Storage Demand")</f>
        <v>#REF!</v>
      </c>
      <c r="F620" s="105" t="e">
        <f>SUMIFS(#REF!,#REF!,$A620,#REF!,$B620,#REF!,$C620,#REF!,"&lt;&gt;Other Sector Demand")</f>
        <v>#REF!</v>
      </c>
      <c r="G620" s="106" t="e">
        <f t="shared" si="36"/>
        <v>#REF!</v>
      </c>
      <c r="H620" s="105" t="e">
        <f>SUMIFS(#REF!,#REF!,$A620,#REF!,$B620,#REF!,$C620,#REF!,"Other Sector Demand")</f>
        <v>#REF!</v>
      </c>
      <c r="I620" s="105" t="e">
        <f t="shared" si="37"/>
        <v>#REF!</v>
      </c>
      <c r="J620" s="106" t="e">
        <f t="shared" si="38"/>
        <v>#REF!</v>
      </c>
      <c r="K620" s="107" t="e">
        <f t="shared" si="39"/>
        <v>#REF!</v>
      </c>
    </row>
    <row r="621" spans="1:11" ht="15" customHeight="1" x14ac:dyDescent="0.2">
      <c r="A621" s="104" t="s">
        <v>207</v>
      </c>
      <c r="B621" s="104" t="s">
        <v>206</v>
      </c>
      <c r="C621" s="104" t="s">
        <v>73</v>
      </c>
      <c r="D621" s="104">
        <v>2050</v>
      </c>
      <c r="E621" s="105" t="e">
        <f>SUMIFS(#REF!,#REF!,$A621,#REF!,$B621,#REF!,$C621,#REF!,"Storage Demand")</f>
        <v>#REF!</v>
      </c>
      <c r="F621" s="105" t="e">
        <f>SUMIFS(#REF!,#REF!,$A621,#REF!,$B621,#REF!,$C621,#REF!,"&lt;&gt;Other Sector Demand")</f>
        <v>#REF!</v>
      </c>
      <c r="G621" s="106" t="e">
        <f t="shared" si="36"/>
        <v>#REF!</v>
      </c>
      <c r="H621" s="105" t="e">
        <f>SUMIFS(#REF!,#REF!,$A621,#REF!,$B621,#REF!,$C621,#REF!,"Other Sector Demand")</f>
        <v>#REF!</v>
      </c>
      <c r="I621" s="105" t="e">
        <f t="shared" si="37"/>
        <v>#REF!</v>
      </c>
      <c r="J621" s="106" t="e">
        <f t="shared" si="38"/>
        <v>#REF!</v>
      </c>
      <c r="K621" s="107" t="e">
        <f t="shared" si="39"/>
        <v>#REF!</v>
      </c>
    </row>
    <row r="622" spans="1:11" ht="15" customHeight="1" x14ac:dyDescent="0.2">
      <c r="A622" s="104" t="s">
        <v>207</v>
      </c>
      <c r="B622" s="104" t="s">
        <v>206</v>
      </c>
      <c r="C622" s="104" t="s">
        <v>74</v>
      </c>
      <c r="D622" s="104">
        <v>2020</v>
      </c>
      <c r="E622" s="105" t="e">
        <f>SUMIFS(#REF!,#REF!,$A622,#REF!,$B622,#REF!,$C622,#REF!,"Storage Demand")</f>
        <v>#REF!</v>
      </c>
      <c r="F622" s="105" t="e">
        <f>SUMIFS(#REF!,#REF!,$A622,#REF!,$B622,#REF!,$C622,#REF!,"&lt;&gt;Other Sector Demand")</f>
        <v>#REF!</v>
      </c>
      <c r="G622" s="106" t="e">
        <f t="shared" si="36"/>
        <v>#REF!</v>
      </c>
      <c r="H622" s="105" t="e">
        <f>SUMIFS(#REF!,#REF!,$A622,#REF!,$B622,#REF!,$C622,#REF!,"Other Sector Demand")</f>
        <v>#REF!</v>
      </c>
      <c r="I622" s="105" t="e">
        <f t="shared" si="37"/>
        <v>#REF!</v>
      </c>
      <c r="J622" s="106" t="e">
        <f t="shared" si="38"/>
        <v>#REF!</v>
      </c>
      <c r="K622" s="107" t="e">
        <f t="shared" si="39"/>
        <v>#REF!</v>
      </c>
    </row>
    <row r="623" spans="1:11" ht="15" customHeight="1" x14ac:dyDescent="0.2">
      <c r="A623" s="104" t="s">
        <v>207</v>
      </c>
      <c r="B623" s="104" t="s">
        <v>206</v>
      </c>
      <c r="C623" s="104" t="s">
        <v>74</v>
      </c>
      <c r="D623" s="104">
        <v>2030</v>
      </c>
      <c r="E623" s="105" t="e">
        <f>SUMIFS(#REF!,#REF!,$A623,#REF!,$B623,#REF!,$C623,#REF!,"Storage Demand")</f>
        <v>#REF!</v>
      </c>
      <c r="F623" s="105" t="e">
        <f>SUMIFS(#REF!,#REF!,$A623,#REF!,$B623,#REF!,$C623,#REF!,"&lt;&gt;Other Sector Demand")</f>
        <v>#REF!</v>
      </c>
      <c r="G623" s="106" t="e">
        <f t="shared" si="36"/>
        <v>#REF!</v>
      </c>
      <c r="H623" s="105" t="e">
        <f>SUMIFS(#REF!,#REF!,$A623,#REF!,$B623,#REF!,$C623,#REF!,"Other Sector Demand")</f>
        <v>#REF!</v>
      </c>
      <c r="I623" s="105" t="e">
        <f t="shared" si="37"/>
        <v>#REF!</v>
      </c>
      <c r="J623" s="106" t="e">
        <f t="shared" si="38"/>
        <v>#REF!</v>
      </c>
      <c r="K623" s="107" t="e">
        <f t="shared" si="39"/>
        <v>#REF!</v>
      </c>
    </row>
    <row r="624" spans="1:11" ht="15" customHeight="1" x14ac:dyDescent="0.2">
      <c r="A624" s="104" t="s">
        <v>207</v>
      </c>
      <c r="B624" s="104" t="s">
        <v>206</v>
      </c>
      <c r="C624" s="104" t="s">
        <v>74</v>
      </c>
      <c r="D624" s="104">
        <v>2040</v>
      </c>
      <c r="E624" s="105" t="e">
        <f>SUMIFS(#REF!,#REF!,$A624,#REF!,$B624,#REF!,$C624,#REF!,"Storage Demand")</f>
        <v>#REF!</v>
      </c>
      <c r="F624" s="105" t="e">
        <f>SUMIFS(#REF!,#REF!,$A624,#REF!,$B624,#REF!,$C624,#REF!,"&lt;&gt;Other Sector Demand")</f>
        <v>#REF!</v>
      </c>
      <c r="G624" s="106" t="e">
        <f t="shared" si="36"/>
        <v>#REF!</v>
      </c>
      <c r="H624" s="105" t="e">
        <f>SUMIFS(#REF!,#REF!,$A624,#REF!,$B624,#REF!,$C624,#REF!,"Other Sector Demand")</f>
        <v>#REF!</v>
      </c>
      <c r="I624" s="105" t="e">
        <f t="shared" si="37"/>
        <v>#REF!</v>
      </c>
      <c r="J624" s="106" t="e">
        <f t="shared" si="38"/>
        <v>#REF!</v>
      </c>
      <c r="K624" s="107" t="e">
        <f t="shared" si="39"/>
        <v>#REF!</v>
      </c>
    </row>
    <row r="625" spans="1:11" ht="15" customHeight="1" x14ac:dyDescent="0.2">
      <c r="A625" s="104" t="s">
        <v>207</v>
      </c>
      <c r="B625" s="104" t="s">
        <v>206</v>
      </c>
      <c r="C625" s="104" t="s">
        <v>74</v>
      </c>
      <c r="D625" s="104">
        <v>2050</v>
      </c>
      <c r="E625" s="105" t="e">
        <f>SUMIFS(#REF!,#REF!,$A625,#REF!,$B625,#REF!,$C625,#REF!,"Storage Demand")</f>
        <v>#REF!</v>
      </c>
      <c r="F625" s="105" t="e">
        <f>SUMIFS(#REF!,#REF!,$A625,#REF!,$B625,#REF!,$C625,#REF!,"&lt;&gt;Other Sector Demand")</f>
        <v>#REF!</v>
      </c>
      <c r="G625" s="106" t="e">
        <f t="shared" si="36"/>
        <v>#REF!</v>
      </c>
      <c r="H625" s="105" t="e">
        <f>SUMIFS(#REF!,#REF!,$A625,#REF!,$B625,#REF!,$C625,#REF!,"Other Sector Demand")</f>
        <v>#REF!</v>
      </c>
      <c r="I625" s="105" t="e">
        <f t="shared" si="37"/>
        <v>#REF!</v>
      </c>
      <c r="J625" s="106" t="e">
        <f t="shared" si="38"/>
        <v>#REF!</v>
      </c>
      <c r="K625" s="107" t="e">
        <f t="shared" si="39"/>
        <v>#REF!</v>
      </c>
    </row>
    <row r="626" spans="1:11" ht="15" customHeight="1" x14ac:dyDescent="0.2">
      <c r="A626" s="104" t="s">
        <v>207</v>
      </c>
      <c r="B626" s="104" t="s">
        <v>206</v>
      </c>
      <c r="C626" s="104" t="s">
        <v>75</v>
      </c>
      <c r="D626" s="104">
        <v>2020</v>
      </c>
      <c r="E626" s="105" t="e">
        <f>SUMIFS(#REF!,#REF!,$A626,#REF!,$B626,#REF!,$C626,#REF!,"Storage Demand")</f>
        <v>#REF!</v>
      </c>
      <c r="F626" s="105" t="e">
        <f>SUMIFS(#REF!,#REF!,$A626,#REF!,$B626,#REF!,$C626,#REF!,"&lt;&gt;Other Sector Demand")</f>
        <v>#REF!</v>
      </c>
      <c r="G626" s="106" t="e">
        <f t="shared" si="36"/>
        <v>#REF!</v>
      </c>
      <c r="H626" s="105" t="e">
        <f>SUMIFS(#REF!,#REF!,$A626,#REF!,$B626,#REF!,$C626,#REF!,"Other Sector Demand")</f>
        <v>#REF!</v>
      </c>
      <c r="I626" s="105" t="e">
        <f t="shared" si="37"/>
        <v>#REF!</v>
      </c>
      <c r="J626" s="106" t="e">
        <f t="shared" si="38"/>
        <v>#REF!</v>
      </c>
      <c r="K626" s="107" t="e">
        <f t="shared" si="39"/>
        <v>#REF!</v>
      </c>
    </row>
    <row r="627" spans="1:11" ht="15" customHeight="1" x14ac:dyDescent="0.2">
      <c r="A627" s="104" t="s">
        <v>207</v>
      </c>
      <c r="B627" s="104" t="s">
        <v>206</v>
      </c>
      <c r="C627" s="104" t="s">
        <v>75</v>
      </c>
      <c r="D627" s="104">
        <v>2030</v>
      </c>
      <c r="E627" s="105" t="e">
        <f>SUMIFS(#REF!,#REF!,$A627,#REF!,$B627,#REF!,$C627,#REF!,"Storage Demand")</f>
        <v>#REF!</v>
      </c>
      <c r="F627" s="105" t="e">
        <f>SUMIFS(#REF!,#REF!,$A627,#REF!,$B627,#REF!,$C627,#REF!,"&lt;&gt;Other Sector Demand")</f>
        <v>#REF!</v>
      </c>
      <c r="G627" s="106" t="e">
        <f t="shared" si="36"/>
        <v>#REF!</v>
      </c>
      <c r="H627" s="105" t="e">
        <f>SUMIFS(#REF!,#REF!,$A627,#REF!,$B627,#REF!,$C627,#REF!,"Other Sector Demand")</f>
        <v>#REF!</v>
      </c>
      <c r="I627" s="105" t="e">
        <f t="shared" si="37"/>
        <v>#REF!</v>
      </c>
      <c r="J627" s="106" t="e">
        <f t="shared" si="38"/>
        <v>#REF!</v>
      </c>
      <c r="K627" s="107" t="e">
        <f t="shared" si="39"/>
        <v>#REF!</v>
      </c>
    </row>
    <row r="628" spans="1:11" ht="15" customHeight="1" x14ac:dyDescent="0.2">
      <c r="A628" s="104" t="s">
        <v>207</v>
      </c>
      <c r="B628" s="104" t="s">
        <v>206</v>
      </c>
      <c r="C628" s="104" t="s">
        <v>75</v>
      </c>
      <c r="D628" s="104">
        <v>2040</v>
      </c>
      <c r="E628" s="105" t="e">
        <f>SUMIFS(#REF!,#REF!,$A628,#REF!,$B628,#REF!,$C628,#REF!,"Storage Demand")</f>
        <v>#REF!</v>
      </c>
      <c r="F628" s="105" t="e">
        <f>SUMIFS(#REF!,#REF!,$A628,#REF!,$B628,#REF!,$C628,#REF!,"&lt;&gt;Other Sector Demand")</f>
        <v>#REF!</v>
      </c>
      <c r="G628" s="106" t="e">
        <f t="shared" si="36"/>
        <v>#REF!</v>
      </c>
      <c r="H628" s="105" t="e">
        <f>SUMIFS(#REF!,#REF!,$A628,#REF!,$B628,#REF!,$C628,#REF!,"Other Sector Demand")</f>
        <v>#REF!</v>
      </c>
      <c r="I628" s="105" t="e">
        <f t="shared" si="37"/>
        <v>#REF!</v>
      </c>
      <c r="J628" s="106" t="e">
        <f t="shared" si="38"/>
        <v>#REF!</v>
      </c>
      <c r="K628" s="107" t="e">
        <f t="shared" si="39"/>
        <v>#REF!</v>
      </c>
    </row>
    <row r="629" spans="1:11" ht="15" customHeight="1" x14ac:dyDescent="0.2">
      <c r="A629" s="104" t="s">
        <v>207</v>
      </c>
      <c r="B629" s="104" t="s">
        <v>206</v>
      </c>
      <c r="C629" s="104" t="s">
        <v>75</v>
      </c>
      <c r="D629" s="104">
        <v>2050</v>
      </c>
      <c r="E629" s="105" t="e">
        <f>SUMIFS(#REF!,#REF!,$A629,#REF!,$B629,#REF!,$C629,#REF!,"Storage Demand")</f>
        <v>#REF!</v>
      </c>
      <c r="F629" s="105" t="e">
        <f>SUMIFS(#REF!,#REF!,$A629,#REF!,$B629,#REF!,$C629,#REF!,"&lt;&gt;Other Sector Demand")</f>
        <v>#REF!</v>
      </c>
      <c r="G629" s="106" t="e">
        <f t="shared" si="36"/>
        <v>#REF!</v>
      </c>
      <c r="H629" s="105" t="e">
        <f>SUMIFS(#REF!,#REF!,$A629,#REF!,$B629,#REF!,$C629,#REF!,"Other Sector Demand")</f>
        <v>#REF!</v>
      </c>
      <c r="I629" s="105" t="e">
        <f t="shared" si="37"/>
        <v>#REF!</v>
      </c>
      <c r="J629" s="106" t="e">
        <f t="shared" si="38"/>
        <v>#REF!</v>
      </c>
      <c r="K629" s="107" t="e">
        <f t="shared" si="39"/>
        <v>#REF!</v>
      </c>
    </row>
    <row r="630" spans="1:11" ht="15" customHeight="1" x14ac:dyDescent="0.2">
      <c r="A630" s="104" t="s">
        <v>207</v>
      </c>
      <c r="B630" s="104" t="s">
        <v>206</v>
      </c>
      <c r="C630" s="104" t="s">
        <v>76</v>
      </c>
      <c r="D630" s="104">
        <v>2020</v>
      </c>
      <c r="E630" s="105" t="e">
        <f>SUMIFS(#REF!,#REF!,$A630,#REF!,$B630,#REF!,$C630,#REF!,"Storage Demand")</f>
        <v>#REF!</v>
      </c>
      <c r="F630" s="105" t="e">
        <f>SUMIFS(#REF!,#REF!,$A630,#REF!,$B630,#REF!,$C630,#REF!,"&lt;&gt;Other Sector Demand")</f>
        <v>#REF!</v>
      </c>
      <c r="G630" s="106" t="e">
        <f t="shared" si="36"/>
        <v>#REF!</v>
      </c>
      <c r="H630" s="105" t="e">
        <f>SUMIFS(#REF!,#REF!,$A630,#REF!,$B630,#REF!,$C630,#REF!,"Other Sector Demand")</f>
        <v>#REF!</v>
      </c>
      <c r="I630" s="105" t="e">
        <f t="shared" si="37"/>
        <v>#REF!</v>
      </c>
      <c r="J630" s="106" t="e">
        <f t="shared" si="38"/>
        <v>#REF!</v>
      </c>
      <c r="K630" s="107" t="e">
        <f t="shared" si="39"/>
        <v>#REF!</v>
      </c>
    </row>
    <row r="631" spans="1:11" ht="15" customHeight="1" x14ac:dyDescent="0.2">
      <c r="A631" s="104" t="s">
        <v>207</v>
      </c>
      <c r="B631" s="104" t="s">
        <v>206</v>
      </c>
      <c r="C631" s="104" t="s">
        <v>76</v>
      </c>
      <c r="D631" s="104">
        <v>2030</v>
      </c>
      <c r="E631" s="105" t="e">
        <f>SUMIFS(#REF!,#REF!,$A631,#REF!,$B631,#REF!,$C631,#REF!,"Storage Demand")</f>
        <v>#REF!</v>
      </c>
      <c r="F631" s="105" t="e">
        <f>SUMIFS(#REF!,#REF!,$A631,#REF!,$B631,#REF!,$C631,#REF!,"&lt;&gt;Other Sector Demand")</f>
        <v>#REF!</v>
      </c>
      <c r="G631" s="106" t="e">
        <f t="shared" si="36"/>
        <v>#REF!</v>
      </c>
      <c r="H631" s="105" t="e">
        <f>SUMIFS(#REF!,#REF!,$A631,#REF!,$B631,#REF!,$C631,#REF!,"Other Sector Demand")</f>
        <v>#REF!</v>
      </c>
      <c r="I631" s="105" t="e">
        <f t="shared" si="37"/>
        <v>#REF!</v>
      </c>
      <c r="J631" s="106" t="e">
        <f t="shared" si="38"/>
        <v>#REF!</v>
      </c>
      <c r="K631" s="107" t="e">
        <f t="shared" si="39"/>
        <v>#REF!</v>
      </c>
    </row>
    <row r="632" spans="1:11" ht="15" customHeight="1" x14ac:dyDescent="0.2">
      <c r="A632" s="104" t="s">
        <v>207</v>
      </c>
      <c r="B632" s="104" t="s">
        <v>206</v>
      </c>
      <c r="C632" s="104" t="s">
        <v>76</v>
      </c>
      <c r="D632" s="104">
        <v>2040</v>
      </c>
      <c r="E632" s="105" t="e">
        <f>SUMIFS(#REF!,#REF!,$A632,#REF!,$B632,#REF!,$C632,#REF!,"Storage Demand")</f>
        <v>#REF!</v>
      </c>
      <c r="F632" s="105" t="e">
        <f>SUMIFS(#REF!,#REF!,$A632,#REF!,$B632,#REF!,$C632,#REF!,"&lt;&gt;Other Sector Demand")</f>
        <v>#REF!</v>
      </c>
      <c r="G632" s="106" t="e">
        <f t="shared" si="36"/>
        <v>#REF!</v>
      </c>
      <c r="H632" s="105" t="e">
        <f>SUMIFS(#REF!,#REF!,$A632,#REF!,$B632,#REF!,$C632,#REF!,"Other Sector Demand")</f>
        <v>#REF!</v>
      </c>
      <c r="I632" s="105" t="e">
        <f t="shared" si="37"/>
        <v>#REF!</v>
      </c>
      <c r="J632" s="106" t="e">
        <f t="shared" si="38"/>
        <v>#REF!</v>
      </c>
      <c r="K632" s="107" t="e">
        <f t="shared" si="39"/>
        <v>#REF!</v>
      </c>
    </row>
    <row r="633" spans="1:11" ht="15" customHeight="1" x14ac:dyDescent="0.2">
      <c r="A633" s="104" t="s">
        <v>207</v>
      </c>
      <c r="B633" s="104" t="s">
        <v>206</v>
      </c>
      <c r="C633" s="104" t="s">
        <v>76</v>
      </c>
      <c r="D633" s="104">
        <v>2050</v>
      </c>
      <c r="E633" s="105" t="e">
        <f>SUMIFS(#REF!,#REF!,$A633,#REF!,$B633,#REF!,$C633,#REF!,"Storage Demand")</f>
        <v>#REF!</v>
      </c>
      <c r="F633" s="105" t="e">
        <f>SUMIFS(#REF!,#REF!,$A633,#REF!,$B633,#REF!,$C633,#REF!,"&lt;&gt;Other Sector Demand")</f>
        <v>#REF!</v>
      </c>
      <c r="G633" s="106" t="e">
        <f t="shared" si="36"/>
        <v>#REF!</v>
      </c>
      <c r="H633" s="105" t="e">
        <f>SUMIFS(#REF!,#REF!,$A633,#REF!,$B633,#REF!,$C633,#REF!,"Other Sector Demand")</f>
        <v>#REF!</v>
      </c>
      <c r="I633" s="105" t="e">
        <f t="shared" si="37"/>
        <v>#REF!</v>
      </c>
      <c r="J633" s="106" t="e">
        <f t="shared" si="38"/>
        <v>#REF!</v>
      </c>
      <c r="K633" s="107" t="e">
        <f t="shared" si="39"/>
        <v>#REF!</v>
      </c>
    </row>
    <row r="634" spans="1:11" ht="15" customHeight="1" x14ac:dyDescent="0.2">
      <c r="A634" s="104" t="s">
        <v>207</v>
      </c>
      <c r="B634" s="104" t="s">
        <v>206</v>
      </c>
      <c r="C634" s="104" t="s">
        <v>77</v>
      </c>
      <c r="D634" s="104">
        <v>2020</v>
      </c>
      <c r="E634" s="105" t="e">
        <f>SUMIFS(#REF!,#REF!,$A634,#REF!,$B634,#REF!,$C634,#REF!,"Storage Demand")</f>
        <v>#REF!</v>
      </c>
      <c r="F634" s="105" t="e">
        <f>SUMIFS(#REF!,#REF!,$A634,#REF!,$B634,#REF!,$C634,#REF!,"&lt;&gt;Other Sector Demand")</f>
        <v>#REF!</v>
      </c>
      <c r="G634" s="106" t="e">
        <f t="shared" si="36"/>
        <v>#REF!</v>
      </c>
      <c r="H634" s="105" t="e">
        <f>SUMIFS(#REF!,#REF!,$A634,#REF!,$B634,#REF!,$C634,#REF!,"Other Sector Demand")</f>
        <v>#REF!</v>
      </c>
      <c r="I634" s="105" t="e">
        <f t="shared" si="37"/>
        <v>#REF!</v>
      </c>
      <c r="J634" s="106" t="e">
        <f t="shared" si="38"/>
        <v>#REF!</v>
      </c>
      <c r="K634" s="107" t="e">
        <f t="shared" si="39"/>
        <v>#REF!</v>
      </c>
    </row>
    <row r="635" spans="1:11" ht="15" customHeight="1" x14ac:dyDescent="0.2">
      <c r="A635" s="104" t="s">
        <v>207</v>
      </c>
      <c r="B635" s="104" t="s">
        <v>206</v>
      </c>
      <c r="C635" s="104" t="s">
        <v>77</v>
      </c>
      <c r="D635" s="104">
        <v>2030</v>
      </c>
      <c r="E635" s="105" t="e">
        <f>SUMIFS(#REF!,#REF!,$A635,#REF!,$B635,#REF!,$C635,#REF!,"Storage Demand")</f>
        <v>#REF!</v>
      </c>
      <c r="F635" s="105" t="e">
        <f>SUMIFS(#REF!,#REF!,$A635,#REF!,$B635,#REF!,$C635,#REF!,"&lt;&gt;Other Sector Demand")</f>
        <v>#REF!</v>
      </c>
      <c r="G635" s="106" t="e">
        <f t="shared" si="36"/>
        <v>#REF!</v>
      </c>
      <c r="H635" s="105" t="e">
        <f>SUMIFS(#REF!,#REF!,$A635,#REF!,$B635,#REF!,$C635,#REF!,"Other Sector Demand")</f>
        <v>#REF!</v>
      </c>
      <c r="I635" s="105" t="e">
        <f t="shared" si="37"/>
        <v>#REF!</v>
      </c>
      <c r="J635" s="106" t="e">
        <f t="shared" si="38"/>
        <v>#REF!</v>
      </c>
      <c r="K635" s="107" t="e">
        <f t="shared" si="39"/>
        <v>#REF!</v>
      </c>
    </row>
    <row r="636" spans="1:11" ht="15" customHeight="1" x14ac:dyDescent="0.2">
      <c r="A636" s="104" t="s">
        <v>207</v>
      </c>
      <c r="B636" s="104" t="s">
        <v>206</v>
      </c>
      <c r="C636" s="104" t="s">
        <v>77</v>
      </c>
      <c r="D636" s="104">
        <v>2040</v>
      </c>
      <c r="E636" s="105" t="e">
        <f>SUMIFS(#REF!,#REF!,$A636,#REF!,$B636,#REF!,$C636,#REF!,"Storage Demand")</f>
        <v>#REF!</v>
      </c>
      <c r="F636" s="105" t="e">
        <f>SUMIFS(#REF!,#REF!,$A636,#REF!,$B636,#REF!,$C636,#REF!,"&lt;&gt;Other Sector Demand")</f>
        <v>#REF!</v>
      </c>
      <c r="G636" s="106" t="e">
        <f t="shared" si="36"/>
        <v>#REF!</v>
      </c>
      <c r="H636" s="105" t="e">
        <f>SUMIFS(#REF!,#REF!,$A636,#REF!,$B636,#REF!,$C636,#REF!,"Other Sector Demand")</f>
        <v>#REF!</v>
      </c>
      <c r="I636" s="105" t="e">
        <f t="shared" si="37"/>
        <v>#REF!</v>
      </c>
      <c r="J636" s="106" t="e">
        <f t="shared" si="38"/>
        <v>#REF!</v>
      </c>
      <c r="K636" s="107" t="e">
        <f t="shared" si="39"/>
        <v>#REF!</v>
      </c>
    </row>
    <row r="637" spans="1:11" ht="15" customHeight="1" x14ac:dyDescent="0.2">
      <c r="A637" s="104" t="s">
        <v>207</v>
      </c>
      <c r="B637" s="104" t="s">
        <v>206</v>
      </c>
      <c r="C637" s="104" t="s">
        <v>77</v>
      </c>
      <c r="D637" s="104">
        <v>2050</v>
      </c>
      <c r="E637" s="105" t="e">
        <f>SUMIFS(#REF!,#REF!,$A637,#REF!,$B637,#REF!,$C637,#REF!,"Storage Demand")</f>
        <v>#REF!</v>
      </c>
      <c r="F637" s="105" t="e">
        <f>SUMIFS(#REF!,#REF!,$A637,#REF!,$B637,#REF!,$C637,#REF!,"&lt;&gt;Other Sector Demand")</f>
        <v>#REF!</v>
      </c>
      <c r="G637" s="106" t="e">
        <f t="shared" si="36"/>
        <v>#REF!</v>
      </c>
      <c r="H637" s="105" t="e">
        <f>SUMIFS(#REF!,#REF!,$A637,#REF!,$B637,#REF!,$C637,#REF!,"Other Sector Demand")</f>
        <v>#REF!</v>
      </c>
      <c r="I637" s="105" t="e">
        <f t="shared" si="37"/>
        <v>#REF!</v>
      </c>
      <c r="J637" s="106" t="e">
        <f t="shared" si="38"/>
        <v>#REF!</v>
      </c>
      <c r="K637" s="107" t="e">
        <f t="shared" si="39"/>
        <v>#REF!</v>
      </c>
    </row>
    <row r="638" spans="1:11" ht="15" customHeight="1" x14ac:dyDescent="0.2">
      <c r="A638" s="104" t="s">
        <v>207</v>
      </c>
      <c r="B638" s="104" t="s">
        <v>206</v>
      </c>
      <c r="C638" s="104" t="s">
        <v>78</v>
      </c>
      <c r="D638" s="104">
        <v>2020</v>
      </c>
      <c r="E638" s="105" t="e">
        <f>SUMIFS(#REF!,#REF!,$A638,#REF!,$B638,#REF!,$C638,#REF!,"Storage Demand")</f>
        <v>#REF!</v>
      </c>
      <c r="F638" s="105" t="e">
        <f>SUMIFS(#REF!,#REF!,$A638,#REF!,$B638,#REF!,$C638,#REF!,"&lt;&gt;Other Sector Demand")</f>
        <v>#REF!</v>
      </c>
      <c r="G638" s="106" t="e">
        <f t="shared" si="36"/>
        <v>#REF!</v>
      </c>
      <c r="H638" s="105" t="e">
        <f>SUMIFS(#REF!,#REF!,$A638,#REF!,$B638,#REF!,$C638,#REF!,"Other Sector Demand")</f>
        <v>#REF!</v>
      </c>
      <c r="I638" s="105" t="e">
        <f t="shared" si="37"/>
        <v>#REF!</v>
      </c>
      <c r="J638" s="106" t="e">
        <f t="shared" si="38"/>
        <v>#REF!</v>
      </c>
      <c r="K638" s="107" t="e">
        <f t="shared" si="39"/>
        <v>#REF!</v>
      </c>
    </row>
    <row r="639" spans="1:11" ht="15" customHeight="1" x14ac:dyDescent="0.2">
      <c r="A639" s="104" t="s">
        <v>207</v>
      </c>
      <c r="B639" s="104" t="s">
        <v>206</v>
      </c>
      <c r="C639" s="104" t="s">
        <v>78</v>
      </c>
      <c r="D639" s="104">
        <v>2030</v>
      </c>
      <c r="E639" s="105" t="e">
        <f>SUMIFS(#REF!,#REF!,$A639,#REF!,$B639,#REF!,$C639,#REF!,"Storage Demand")</f>
        <v>#REF!</v>
      </c>
      <c r="F639" s="105" t="e">
        <f>SUMIFS(#REF!,#REF!,$A639,#REF!,$B639,#REF!,$C639,#REF!,"&lt;&gt;Other Sector Demand")</f>
        <v>#REF!</v>
      </c>
      <c r="G639" s="106" t="e">
        <f t="shared" si="36"/>
        <v>#REF!</v>
      </c>
      <c r="H639" s="105" t="e">
        <f>SUMIFS(#REF!,#REF!,$A639,#REF!,$B639,#REF!,$C639,#REF!,"Other Sector Demand")</f>
        <v>#REF!</v>
      </c>
      <c r="I639" s="105" t="e">
        <f t="shared" si="37"/>
        <v>#REF!</v>
      </c>
      <c r="J639" s="106" t="e">
        <f t="shared" si="38"/>
        <v>#REF!</v>
      </c>
      <c r="K639" s="107" t="e">
        <f t="shared" si="39"/>
        <v>#REF!</v>
      </c>
    </row>
    <row r="640" spans="1:11" ht="15" customHeight="1" x14ac:dyDescent="0.2">
      <c r="A640" s="104" t="s">
        <v>207</v>
      </c>
      <c r="B640" s="104" t="s">
        <v>206</v>
      </c>
      <c r="C640" s="104" t="s">
        <v>78</v>
      </c>
      <c r="D640" s="104">
        <v>2040</v>
      </c>
      <c r="E640" s="105" t="e">
        <f>SUMIFS(#REF!,#REF!,$A640,#REF!,$B640,#REF!,$C640,#REF!,"Storage Demand")</f>
        <v>#REF!</v>
      </c>
      <c r="F640" s="105" t="e">
        <f>SUMIFS(#REF!,#REF!,$A640,#REF!,$B640,#REF!,$C640,#REF!,"&lt;&gt;Other Sector Demand")</f>
        <v>#REF!</v>
      </c>
      <c r="G640" s="106" t="e">
        <f t="shared" si="36"/>
        <v>#REF!</v>
      </c>
      <c r="H640" s="105" t="e">
        <f>SUMIFS(#REF!,#REF!,$A640,#REF!,$B640,#REF!,$C640,#REF!,"Other Sector Demand")</f>
        <v>#REF!</v>
      </c>
      <c r="I640" s="105" t="e">
        <f t="shared" si="37"/>
        <v>#REF!</v>
      </c>
      <c r="J640" s="106" t="e">
        <f t="shared" si="38"/>
        <v>#REF!</v>
      </c>
      <c r="K640" s="107" t="e">
        <f t="shared" si="39"/>
        <v>#REF!</v>
      </c>
    </row>
    <row r="641" spans="1:11" ht="15" customHeight="1" x14ac:dyDescent="0.2">
      <c r="A641" s="104" t="s">
        <v>207</v>
      </c>
      <c r="B641" s="104" t="s">
        <v>206</v>
      </c>
      <c r="C641" s="104" t="s">
        <v>78</v>
      </c>
      <c r="D641" s="104">
        <v>2050</v>
      </c>
      <c r="E641" s="105" t="e">
        <f>SUMIFS(#REF!,#REF!,$A641,#REF!,$B641,#REF!,$C641,#REF!,"Storage Demand")</f>
        <v>#REF!</v>
      </c>
      <c r="F641" s="105" t="e">
        <f>SUMIFS(#REF!,#REF!,$A641,#REF!,$B641,#REF!,$C641,#REF!,"&lt;&gt;Other Sector Demand")</f>
        <v>#REF!</v>
      </c>
      <c r="G641" s="106" t="e">
        <f t="shared" si="36"/>
        <v>#REF!</v>
      </c>
      <c r="H641" s="105" t="e">
        <f>SUMIFS(#REF!,#REF!,$A641,#REF!,$B641,#REF!,$C641,#REF!,"Other Sector Demand")</f>
        <v>#REF!</v>
      </c>
      <c r="I641" s="105" t="e">
        <f t="shared" si="37"/>
        <v>#REF!</v>
      </c>
      <c r="J641" s="106" t="e">
        <f t="shared" si="38"/>
        <v>#REF!</v>
      </c>
      <c r="K641" s="107" t="e">
        <f t="shared" si="39"/>
        <v>#REF!</v>
      </c>
    </row>
    <row r="642" spans="1:11" ht="15" customHeight="1" x14ac:dyDescent="0.2">
      <c r="A642" s="104" t="s">
        <v>207</v>
      </c>
      <c r="B642" s="104" t="s">
        <v>208</v>
      </c>
      <c r="C642" s="104" t="s">
        <v>38</v>
      </c>
      <c r="D642" s="104">
        <v>2020</v>
      </c>
      <c r="E642" s="105" t="e">
        <f>SUMIFS(#REF!,#REF!,$A642,#REF!,$B642,#REF!,$C642,#REF!,"Storage Demand")</f>
        <v>#REF!</v>
      </c>
      <c r="F642" s="105" t="e">
        <f>SUMIFS(#REF!,#REF!,$A642,#REF!,$B642,#REF!,$C642,#REF!,"&lt;&gt;Other Sector Demand")</f>
        <v>#REF!</v>
      </c>
      <c r="G642" s="106" t="e">
        <f t="shared" ref="G642:G705" si="40">IF($F642=0,0,$E642/$F642)</f>
        <v>#REF!</v>
      </c>
      <c r="H642" s="105" t="e">
        <f>SUMIFS(#REF!,#REF!,$A642,#REF!,$B642,#REF!,$C642,#REF!,"Other Sector Demand")</f>
        <v>#REF!</v>
      </c>
      <c r="I642" s="105" t="e">
        <f t="shared" ref="I642:I705" si="41">$F642+$H642</f>
        <v>#REF!</v>
      </c>
      <c r="J642" s="106" t="e">
        <f t="shared" ref="J642:J705" si="42">IF($I642=0,0,$E642/$I642)</f>
        <v>#REF!</v>
      </c>
      <c r="K642" s="107" t="e">
        <f t="shared" ref="K642:K705" si="43">IF(SUMIFS($F$2:$F$1025,$A$2:$A$1025,$A642,$B$2:$B$1025,$B642,$C$2:$C$1025,$C642)=0,0,SUMIFS($E$2:$E$1025,$A$2:$A$1025,$A642,$B$2:$B$1025,$B642,$C$2:$C$1025,$C642)/SUMIFS($F$2:$F$1025,$A$2:$A$1025,$A642,$B$2:$B$1025,$B642,$C$2:$C$1025,$C642))</f>
        <v>#REF!</v>
      </c>
    </row>
    <row r="643" spans="1:11" ht="15" customHeight="1" x14ac:dyDescent="0.2">
      <c r="A643" s="104" t="s">
        <v>207</v>
      </c>
      <c r="B643" s="104" t="s">
        <v>208</v>
      </c>
      <c r="C643" s="104" t="s">
        <v>38</v>
      </c>
      <c r="D643" s="104">
        <v>2030</v>
      </c>
      <c r="E643" s="105" t="e">
        <f>SUMIFS(#REF!,#REF!,$A643,#REF!,$B643,#REF!,$C643,#REF!,"Storage Demand")</f>
        <v>#REF!</v>
      </c>
      <c r="F643" s="105" t="e">
        <f>SUMIFS(#REF!,#REF!,$A643,#REF!,$B643,#REF!,$C643,#REF!,"&lt;&gt;Other Sector Demand")</f>
        <v>#REF!</v>
      </c>
      <c r="G643" s="106" t="e">
        <f t="shared" si="40"/>
        <v>#REF!</v>
      </c>
      <c r="H643" s="105" t="e">
        <f>SUMIFS(#REF!,#REF!,$A643,#REF!,$B643,#REF!,$C643,#REF!,"Other Sector Demand")</f>
        <v>#REF!</v>
      </c>
      <c r="I643" s="105" t="e">
        <f t="shared" si="41"/>
        <v>#REF!</v>
      </c>
      <c r="J643" s="106" t="e">
        <f t="shared" si="42"/>
        <v>#REF!</v>
      </c>
      <c r="K643" s="107" t="e">
        <f t="shared" si="43"/>
        <v>#REF!</v>
      </c>
    </row>
    <row r="644" spans="1:11" ht="15" customHeight="1" x14ac:dyDescent="0.2">
      <c r="A644" s="104" t="s">
        <v>207</v>
      </c>
      <c r="B644" s="104" t="s">
        <v>208</v>
      </c>
      <c r="C644" s="104" t="s">
        <v>38</v>
      </c>
      <c r="D644" s="104">
        <v>2040</v>
      </c>
      <c r="E644" s="105" t="e">
        <f>SUMIFS(#REF!,#REF!,$A644,#REF!,$B644,#REF!,$C644,#REF!,"Storage Demand")</f>
        <v>#REF!</v>
      </c>
      <c r="F644" s="105" t="e">
        <f>SUMIFS(#REF!,#REF!,$A644,#REF!,$B644,#REF!,$C644,#REF!,"&lt;&gt;Other Sector Demand")</f>
        <v>#REF!</v>
      </c>
      <c r="G644" s="106" t="e">
        <f t="shared" si="40"/>
        <v>#REF!</v>
      </c>
      <c r="H644" s="105" t="e">
        <f>SUMIFS(#REF!,#REF!,$A644,#REF!,$B644,#REF!,$C644,#REF!,"Other Sector Demand")</f>
        <v>#REF!</v>
      </c>
      <c r="I644" s="105" t="e">
        <f t="shared" si="41"/>
        <v>#REF!</v>
      </c>
      <c r="J644" s="106" t="e">
        <f t="shared" si="42"/>
        <v>#REF!</v>
      </c>
      <c r="K644" s="107" t="e">
        <f t="shared" si="43"/>
        <v>#REF!</v>
      </c>
    </row>
    <row r="645" spans="1:11" ht="15" customHeight="1" x14ac:dyDescent="0.2">
      <c r="A645" s="104" t="s">
        <v>207</v>
      </c>
      <c r="B645" s="104" t="s">
        <v>208</v>
      </c>
      <c r="C645" s="104" t="s">
        <v>38</v>
      </c>
      <c r="D645" s="104">
        <v>2050</v>
      </c>
      <c r="E645" s="105" t="e">
        <f>SUMIFS(#REF!,#REF!,$A645,#REF!,$B645,#REF!,$C645,#REF!,"Storage Demand")</f>
        <v>#REF!</v>
      </c>
      <c r="F645" s="105" t="e">
        <f>SUMIFS(#REF!,#REF!,$A645,#REF!,$B645,#REF!,$C645,#REF!,"&lt;&gt;Other Sector Demand")</f>
        <v>#REF!</v>
      </c>
      <c r="G645" s="106" t="e">
        <f t="shared" si="40"/>
        <v>#REF!</v>
      </c>
      <c r="H645" s="105" t="e">
        <f>SUMIFS(#REF!,#REF!,$A645,#REF!,$B645,#REF!,$C645,#REF!,"Other Sector Demand")</f>
        <v>#REF!</v>
      </c>
      <c r="I645" s="105" t="e">
        <f t="shared" si="41"/>
        <v>#REF!</v>
      </c>
      <c r="J645" s="106" t="e">
        <f t="shared" si="42"/>
        <v>#REF!</v>
      </c>
      <c r="K645" s="107" t="e">
        <f t="shared" si="43"/>
        <v>#REF!</v>
      </c>
    </row>
    <row r="646" spans="1:11" ht="15" customHeight="1" x14ac:dyDescent="0.2">
      <c r="A646" s="104" t="s">
        <v>207</v>
      </c>
      <c r="B646" s="104" t="s">
        <v>208</v>
      </c>
      <c r="C646" s="104" t="s">
        <v>39</v>
      </c>
      <c r="D646" s="104">
        <v>2020</v>
      </c>
      <c r="E646" s="105" t="e">
        <f>SUMIFS(#REF!,#REF!,$A646,#REF!,$B646,#REF!,$C646,#REF!,"Storage Demand")</f>
        <v>#REF!</v>
      </c>
      <c r="F646" s="105" t="e">
        <f>SUMIFS(#REF!,#REF!,$A646,#REF!,$B646,#REF!,$C646,#REF!,"&lt;&gt;Other Sector Demand")</f>
        <v>#REF!</v>
      </c>
      <c r="G646" s="106" t="e">
        <f t="shared" si="40"/>
        <v>#REF!</v>
      </c>
      <c r="H646" s="105" t="e">
        <f>SUMIFS(#REF!,#REF!,$A646,#REF!,$B646,#REF!,$C646,#REF!,"Other Sector Demand")</f>
        <v>#REF!</v>
      </c>
      <c r="I646" s="105" t="e">
        <f t="shared" si="41"/>
        <v>#REF!</v>
      </c>
      <c r="J646" s="106" t="e">
        <f t="shared" si="42"/>
        <v>#REF!</v>
      </c>
      <c r="K646" s="107" t="e">
        <f t="shared" si="43"/>
        <v>#REF!</v>
      </c>
    </row>
    <row r="647" spans="1:11" ht="15" customHeight="1" x14ac:dyDescent="0.2">
      <c r="A647" s="104" t="s">
        <v>207</v>
      </c>
      <c r="B647" s="104" t="s">
        <v>208</v>
      </c>
      <c r="C647" s="104" t="s">
        <v>39</v>
      </c>
      <c r="D647" s="104">
        <v>2030</v>
      </c>
      <c r="E647" s="105" t="e">
        <f>SUMIFS(#REF!,#REF!,$A647,#REF!,$B647,#REF!,$C647,#REF!,"Storage Demand")</f>
        <v>#REF!</v>
      </c>
      <c r="F647" s="105" t="e">
        <f>SUMIFS(#REF!,#REF!,$A647,#REF!,$B647,#REF!,$C647,#REF!,"&lt;&gt;Other Sector Demand")</f>
        <v>#REF!</v>
      </c>
      <c r="G647" s="106" t="e">
        <f t="shared" si="40"/>
        <v>#REF!</v>
      </c>
      <c r="H647" s="105" t="e">
        <f>SUMIFS(#REF!,#REF!,$A647,#REF!,$B647,#REF!,$C647,#REF!,"Other Sector Demand")</f>
        <v>#REF!</v>
      </c>
      <c r="I647" s="105" t="e">
        <f t="shared" si="41"/>
        <v>#REF!</v>
      </c>
      <c r="J647" s="106" t="e">
        <f t="shared" si="42"/>
        <v>#REF!</v>
      </c>
      <c r="K647" s="107" t="e">
        <f t="shared" si="43"/>
        <v>#REF!</v>
      </c>
    </row>
    <row r="648" spans="1:11" ht="15" customHeight="1" x14ac:dyDescent="0.2">
      <c r="A648" s="104" t="s">
        <v>207</v>
      </c>
      <c r="B648" s="104" t="s">
        <v>208</v>
      </c>
      <c r="C648" s="104" t="s">
        <v>39</v>
      </c>
      <c r="D648" s="104">
        <v>2040</v>
      </c>
      <c r="E648" s="105" t="e">
        <f>SUMIFS(#REF!,#REF!,$A648,#REF!,$B648,#REF!,$C648,#REF!,"Storage Demand")</f>
        <v>#REF!</v>
      </c>
      <c r="F648" s="105" t="e">
        <f>SUMIFS(#REF!,#REF!,$A648,#REF!,$B648,#REF!,$C648,#REF!,"&lt;&gt;Other Sector Demand")</f>
        <v>#REF!</v>
      </c>
      <c r="G648" s="106" t="e">
        <f t="shared" si="40"/>
        <v>#REF!</v>
      </c>
      <c r="H648" s="105" t="e">
        <f>SUMIFS(#REF!,#REF!,$A648,#REF!,$B648,#REF!,$C648,#REF!,"Other Sector Demand")</f>
        <v>#REF!</v>
      </c>
      <c r="I648" s="105" t="e">
        <f t="shared" si="41"/>
        <v>#REF!</v>
      </c>
      <c r="J648" s="106" t="e">
        <f t="shared" si="42"/>
        <v>#REF!</v>
      </c>
      <c r="K648" s="107" t="e">
        <f t="shared" si="43"/>
        <v>#REF!</v>
      </c>
    </row>
    <row r="649" spans="1:11" ht="15" customHeight="1" x14ac:dyDescent="0.2">
      <c r="A649" s="104" t="s">
        <v>207</v>
      </c>
      <c r="B649" s="104" t="s">
        <v>208</v>
      </c>
      <c r="C649" s="104" t="s">
        <v>39</v>
      </c>
      <c r="D649" s="104">
        <v>2050</v>
      </c>
      <c r="E649" s="105" t="e">
        <f>SUMIFS(#REF!,#REF!,$A649,#REF!,$B649,#REF!,$C649,#REF!,"Storage Demand")</f>
        <v>#REF!</v>
      </c>
      <c r="F649" s="105" t="e">
        <f>SUMIFS(#REF!,#REF!,$A649,#REF!,$B649,#REF!,$C649,#REF!,"&lt;&gt;Other Sector Demand")</f>
        <v>#REF!</v>
      </c>
      <c r="G649" s="106" t="e">
        <f t="shared" si="40"/>
        <v>#REF!</v>
      </c>
      <c r="H649" s="105" t="e">
        <f>SUMIFS(#REF!,#REF!,$A649,#REF!,$B649,#REF!,$C649,#REF!,"Other Sector Demand")</f>
        <v>#REF!</v>
      </c>
      <c r="I649" s="105" t="e">
        <f t="shared" si="41"/>
        <v>#REF!</v>
      </c>
      <c r="J649" s="106" t="e">
        <f t="shared" si="42"/>
        <v>#REF!</v>
      </c>
      <c r="K649" s="107" t="e">
        <f t="shared" si="43"/>
        <v>#REF!</v>
      </c>
    </row>
    <row r="650" spans="1:11" ht="15" customHeight="1" x14ac:dyDescent="0.2">
      <c r="A650" s="104" t="s">
        <v>207</v>
      </c>
      <c r="B650" s="104" t="s">
        <v>208</v>
      </c>
      <c r="C650" s="104" t="s">
        <v>40</v>
      </c>
      <c r="D650" s="104">
        <v>2020</v>
      </c>
      <c r="E650" s="105" t="e">
        <f>SUMIFS(#REF!,#REF!,$A650,#REF!,$B650,#REF!,$C650,#REF!,"Storage Demand")</f>
        <v>#REF!</v>
      </c>
      <c r="F650" s="105" t="e">
        <f>SUMIFS(#REF!,#REF!,$A650,#REF!,$B650,#REF!,$C650,#REF!,"&lt;&gt;Other Sector Demand")</f>
        <v>#REF!</v>
      </c>
      <c r="G650" s="106" t="e">
        <f t="shared" si="40"/>
        <v>#REF!</v>
      </c>
      <c r="H650" s="105" t="e">
        <f>SUMIFS(#REF!,#REF!,$A650,#REF!,$B650,#REF!,$C650,#REF!,"Other Sector Demand")</f>
        <v>#REF!</v>
      </c>
      <c r="I650" s="105" t="e">
        <f t="shared" si="41"/>
        <v>#REF!</v>
      </c>
      <c r="J650" s="106" t="e">
        <f t="shared" si="42"/>
        <v>#REF!</v>
      </c>
      <c r="K650" s="107" t="e">
        <f t="shared" si="43"/>
        <v>#REF!</v>
      </c>
    </row>
    <row r="651" spans="1:11" ht="15" customHeight="1" x14ac:dyDescent="0.2">
      <c r="A651" s="104" t="s">
        <v>207</v>
      </c>
      <c r="B651" s="104" t="s">
        <v>208</v>
      </c>
      <c r="C651" s="104" t="s">
        <v>40</v>
      </c>
      <c r="D651" s="104">
        <v>2030</v>
      </c>
      <c r="E651" s="105" t="e">
        <f>SUMIFS(#REF!,#REF!,$A651,#REF!,$B651,#REF!,$C651,#REF!,"Storage Demand")</f>
        <v>#REF!</v>
      </c>
      <c r="F651" s="105" t="e">
        <f>SUMIFS(#REF!,#REF!,$A651,#REF!,$B651,#REF!,$C651,#REF!,"&lt;&gt;Other Sector Demand")</f>
        <v>#REF!</v>
      </c>
      <c r="G651" s="106" t="e">
        <f t="shared" si="40"/>
        <v>#REF!</v>
      </c>
      <c r="H651" s="105" t="e">
        <f>SUMIFS(#REF!,#REF!,$A651,#REF!,$B651,#REF!,$C651,#REF!,"Other Sector Demand")</f>
        <v>#REF!</v>
      </c>
      <c r="I651" s="105" t="e">
        <f t="shared" si="41"/>
        <v>#REF!</v>
      </c>
      <c r="J651" s="106" t="e">
        <f t="shared" si="42"/>
        <v>#REF!</v>
      </c>
      <c r="K651" s="107" t="e">
        <f t="shared" si="43"/>
        <v>#REF!</v>
      </c>
    </row>
    <row r="652" spans="1:11" ht="15" customHeight="1" x14ac:dyDescent="0.2">
      <c r="A652" s="104" t="s">
        <v>207</v>
      </c>
      <c r="B652" s="104" t="s">
        <v>208</v>
      </c>
      <c r="C652" s="104" t="s">
        <v>40</v>
      </c>
      <c r="D652" s="104">
        <v>2040</v>
      </c>
      <c r="E652" s="105" t="e">
        <f>SUMIFS(#REF!,#REF!,$A652,#REF!,$B652,#REF!,$C652,#REF!,"Storage Demand")</f>
        <v>#REF!</v>
      </c>
      <c r="F652" s="105" t="e">
        <f>SUMIFS(#REF!,#REF!,$A652,#REF!,$B652,#REF!,$C652,#REF!,"&lt;&gt;Other Sector Demand")</f>
        <v>#REF!</v>
      </c>
      <c r="G652" s="106" t="e">
        <f t="shared" si="40"/>
        <v>#REF!</v>
      </c>
      <c r="H652" s="105" t="e">
        <f>SUMIFS(#REF!,#REF!,$A652,#REF!,$B652,#REF!,$C652,#REF!,"Other Sector Demand")</f>
        <v>#REF!</v>
      </c>
      <c r="I652" s="105" t="e">
        <f t="shared" si="41"/>
        <v>#REF!</v>
      </c>
      <c r="J652" s="106" t="e">
        <f t="shared" si="42"/>
        <v>#REF!</v>
      </c>
      <c r="K652" s="107" t="e">
        <f t="shared" si="43"/>
        <v>#REF!</v>
      </c>
    </row>
    <row r="653" spans="1:11" ht="15" customHeight="1" x14ac:dyDescent="0.2">
      <c r="A653" s="104" t="s">
        <v>207</v>
      </c>
      <c r="B653" s="104" t="s">
        <v>208</v>
      </c>
      <c r="C653" s="104" t="s">
        <v>40</v>
      </c>
      <c r="D653" s="104">
        <v>2050</v>
      </c>
      <c r="E653" s="105" t="e">
        <f>SUMIFS(#REF!,#REF!,$A653,#REF!,$B653,#REF!,$C653,#REF!,"Storage Demand")</f>
        <v>#REF!</v>
      </c>
      <c r="F653" s="105" t="e">
        <f>SUMIFS(#REF!,#REF!,$A653,#REF!,$B653,#REF!,$C653,#REF!,"&lt;&gt;Other Sector Demand")</f>
        <v>#REF!</v>
      </c>
      <c r="G653" s="106" t="e">
        <f t="shared" si="40"/>
        <v>#REF!</v>
      </c>
      <c r="H653" s="105" t="e">
        <f>SUMIFS(#REF!,#REF!,$A653,#REF!,$B653,#REF!,$C653,#REF!,"Other Sector Demand")</f>
        <v>#REF!</v>
      </c>
      <c r="I653" s="105" t="e">
        <f t="shared" si="41"/>
        <v>#REF!</v>
      </c>
      <c r="J653" s="106" t="e">
        <f t="shared" si="42"/>
        <v>#REF!</v>
      </c>
      <c r="K653" s="107" t="e">
        <f t="shared" si="43"/>
        <v>#REF!</v>
      </c>
    </row>
    <row r="654" spans="1:11" ht="15" customHeight="1" x14ac:dyDescent="0.2">
      <c r="A654" s="104" t="s">
        <v>207</v>
      </c>
      <c r="B654" s="104" t="s">
        <v>208</v>
      </c>
      <c r="C654" s="104" t="s">
        <v>41</v>
      </c>
      <c r="D654" s="104">
        <v>2020</v>
      </c>
      <c r="E654" s="105" t="e">
        <f>SUMIFS(#REF!,#REF!,$A654,#REF!,$B654,#REF!,$C654,#REF!,"Storage Demand")</f>
        <v>#REF!</v>
      </c>
      <c r="F654" s="105" t="e">
        <f>SUMIFS(#REF!,#REF!,$A654,#REF!,$B654,#REF!,$C654,#REF!,"&lt;&gt;Other Sector Demand")</f>
        <v>#REF!</v>
      </c>
      <c r="G654" s="106" t="e">
        <f t="shared" si="40"/>
        <v>#REF!</v>
      </c>
      <c r="H654" s="105" t="e">
        <f>SUMIFS(#REF!,#REF!,$A654,#REF!,$B654,#REF!,$C654,#REF!,"Other Sector Demand")</f>
        <v>#REF!</v>
      </c>
      <c r="I654" s="105" t="e">
        <f t="shared" si="41"/>
        <v>#REF!</v>
      </c>
      <c r="J654" s="106" t="e">
        <f t="shared" si="42"/>
        <v>#REF!</v>
      </c>
      <c r="K654" s="107" t="e">
        <f t="shared" si="43"/>
        <v>#REF!</v>
      </c>
    </row>
    <row r="655" spans="1:11" ht="15" customHeight="1" x14ac:dyDescent="0.2">
      <c r="A655" s="104" t="s">
        <v>207</v>
      </c>
      <c r="B655" s="104" t="s">
        <v>208</v>
      </c>
      <c r="C655" s="104" t="s">
        <v>41</v>
      </c>
      <c r="D655" s="104">
        <v>2030</v>
      </c>
      <c r="E655" s="105" t="e">
        <f>SUMIFS(#REF!,#REF!,$A655,#REF!,$B655,#REF!,$C655,#REF!,"Storage Demand")</f>
        <v>#REF!</v>
      </c>
      <c r="F655" s="105" t="e">
        <f>SUMIFS(#REF!,#REF!,$A655,#REF!,$B655,#REF!,$C655,#REF!,"&lt;&gt;Other Sector Demand")</f>
        <v>#REF!</v>
      </c>
      <c r="G655" s="106" t="e">
        <f t="shared" si="40"/>
        <v>#REF!</v>
      </c>
      <c r="H655" s="105" t="e">
        <f>SUMIFS(#REF!,#REF!,$A655,#REF!,$B655,#REF!,$C655,#REF!,"Other Sector Demand")</f>
        <v>#REF!</v>
      </c>
      <c r="I655" s="105" t="e">
        <f t="shared" si="41"/>
        <v>#REF!</v>
      </c>
      <c r="J655" s="106" t="e">
        <f t="shared" si="42"/>
        <v>#REF!</v>
      </c>
      <c r="K655" s="107" t="e">
        <f t="shared" si="43"/>
        <v>#REF!</v>
      </c>
    </row>
    <row r="656" spans="1:11" ht="15" customHeight="1" x14ac:dyDescent="0.2">
      <c r="A656" s="104" t="s">
        <v>207</v>
      </c>
      <c r="B656" s="104" t="s">
        <v>208</v>
      </c>
      <c r="C656" s="104" t="s">
        <v>41</v>
      </c>
      <c r="D656" s="104">
        <v>2040</v>
      </c>
      <c r="E656" s="105" t="e">
        <f>SUMIFS(#REF!,#REF!,$A656,#REF!,$B656,#REF!,$C656,#REF!,"Storage Demand")</f>
        <v>#REF!</v>
      </c>
      <c r="F656" s="105" t="e">
        <f>SUMIFS(#REF!,#REF!,$A656,#REF!,$B656,#REF!,$C656,#REF!,"&lt;&gt;Other Sector Demand")</f>
        <v>#REF!</v>
      </c>
      <c r="G656" s="106" t="e">
        <f t="shared" si="40"/>
        <v>#REF!</v>
      </c>
      <c r="H656" s="105" t="e">
        <f>SUMIFS(#REF!,#REF!,$A656,#REF!,$B656,#REF!,$C656,#REF!,"Other Sector Demand")</f>
        <v>#REF!</v>
      </c>
      <c r="I656" s="105" t="e">
        <f t="shared" si="41"/>
        <v>#REF!</v>
      </c>
      <c r="J656" s="106" t="e">
        <f t="shared" si="42"/>
        <v>#REF!</v>
      </c>
      <c r="K656" s="107" t="e">
        <f t="shared" si="43"/>
        <v>#REF!</v>
      </c>
    </row>
    <row r="657" spans="1:11" ht="15" customHeight="1" x14ac:dyDescent="0.2">
      <c r="A657" s="104" t="s">
        <v>207</v>
      </c>
      <c r="B657" s="104" t="s">
        <v>208</v>
      </c>
      <c r="C657" s="104" t="s">
        <v>41</v>
      </c>
      <c r="D657" s="104">
        <v>2050</v>
      </c>
      <c r="E657" s="105" t="e">
        <f>SUMIFS(#REF!,#REF!,$A657,#REF!,$B657,#REF!,$C657,#REF!,"Storage Demand")</f>
        <v>#REF!</v>
      </c>
      <c r="F657" s="105" t="e">
        <f>SUMIFS(#REF!,#REF!,$A657,#REF!,$B657,#REF!,$C657,#REF!,"&lt;&gt;Other Sector Demand")</f>
        <v>#REF!</v>
      </c>
      <c r="G657" s="106" t="e">
        <f t="shared" si="40"/>
        <v>#REF!</v>
      </c>
      <c r="H657" s="105" t="e">
        <f>SUMIFS(#REF!,#REF!,$A657,#REF!,$B657,#REF!,$C657,#REF!,"Other Sector Demand")</f>
        <v>#REF!</v>
      </c>
      <c r="I657" s="105" t="e">
        <f t="shared" si="41"/>
        <v>#REF!</v>
      </c>
      <c r="J657" s="106" t="e">
        <f t="shared" si="42"/>
        <v>#REF!</v>
      </c>
      <c r="K657" s="107" t="e">
        <f t="shared" si="43"/>
        <v>#REF!</v>
      </c>
    </row>
    <row r="658" spans="1:11" ht="15" customHeight="1" x14ac:dyDescent="0.2">
      <c r="A658" s="104" t="s">
        <v>207</v>
      </c>
      <c r="B658" s="104" t="s">
        <v>208</v>
      </c>
      <c r="C658" s="104" t="s">
        <v>42</v>
      </c>
      <c r="D658" s="104">
        <v>2020</v>
      </c>
      <c r="E658" s="105" t="e">
        <f>SUMIFS(#REF!,#REF!,$A658,#REF!,$B658,#REF!,$C658,#REF!,"Storage Demand")</f>
        <v>#REF!</v>
      </c>
      <c r="F658" s="105" t="e">
        <f>SUMIFS(#REF!,#REF!,$A658,#REF!,$B658,#REF!,$C658,#REF!,"&lt;&gt;Other Sector Demand")</f>
        <v>#REF!</v>
      </c>
      <c r="G658" s="106" t="e">
        <f t="shared" si="40"/>
        <v>#REF!</v>
      </c>
      <c r="H658" s="105" t="e">
        <f>SUMIFS(#REF!,#REF!,$A658,#REF!,$B658,#REF!,$C658,#REF!,"Other Sector Demand")</f>
        <v>#REF!</v>
      </c>
      <c r="I658" s="105" t="e">
        <f t="shared" si="41"/>
        <v>#REF!</v>
      </c>
      <c r="J658" s="106" t="e">
        <f t="shared" si="42"/>
        <v>#REF!</v>
      </c>
      <c r="K658" s="107" t="e">
        <f t="shared" si="43"/>
        <v>#REF!</v>
      </c>
    </row>
    <row r="659" spans="1:11" ht="15" customHeight="1" x14ac:dyDescent="0.2">
      <c r="A659" s="104" t="s">
        <v>207</v>
      </c>
      <c r="B659" s="104" t="s">
        <v>208</v>
      </c>
      <c r="C659" s="104" t="s">
        <v>42</v>
      </c>
      <c r="D659" s="104">
        <v>2030</v>
      </c>
      <c r="E659" s="105" t="e">
        <f>SUMIFS(#REF!,#REF!,$A659,#REF!,$B659,#REF!,$C659,#REF!,"Storage Demand")</f>
        <v>#REF!</v>
      </c>
      <c r="F659" s="105" t="e">
        <f>SUMIFS(#REF!,#REF!,$A659,#REF!,$B659,#REF!,$C659,#REF!,"&lt;&gt;Other Sector Demand")</f>
        <v>#REF!</v>
      </c>
      <c r="G659" s="106" t="e">
        <f t="shared" si="40"/>
        <v>#REF!</v>
      </c>
      <c r="H659" s="105" t="e">
        <f>SUMIFS(#REF!,#REF!,$A659,#REF!,$B659,#REF!,$C659,#REF!,"Other Sector Demand")</f>
        <v>#REF!</v>
      </c>
      <c r="I659" s="105" t="e">
        <f t="shared" si="41"/>
        <v>#REF!</v>
      </c>
      <c r="J659" s="106" t="e">
        <f t="shared" si="42"/>
        <v>#REF!</v>
      </c>
      <c r="K659" s="107" t="e">
        <f t="shared" si="43"/>
        <v>#REF!</v>
      </c>
    </row>
    <row r="660" spans="1:11" ht="15" customHeight="1" x14ac:dyDescent="0.2">
      <c r="A660" s="104" t="s">
        <v>207</v>
      </c>
      <c r="B660" s="104" t="s">
        <v>208</v>
      </c>
      <c r="C660" s="104" t="s">
        <v>42</v>
      </c>
      <c r="D660" s="104">
        <v>2040</v>
      </c>
      <c r="E660" s="105" t="e">
        <f>SUMIFS(#REF!,#REF!,$A660,#REF!,$B660,#REF!,$C660,#REF!,"Storage Demand")</f>
        <v>#REF!</v>
      </c>
      <c r="F660" s="105" t="e">
        <f>SUMIFS(#REF!,#REF!,$A660,#REF!,$B660,#REF!,$C660,#REF!,"&lt;&gt;Other Sector Demand")</f>
        <v>#REF!</v>
      </c>
      <c r="G660" s="106" t="e">
        <f t="shared" si="40"/>
        <v>#REF!</v>
      </c>
      <c r="H660" s="105" t="e">
        <f>SUMIFS(#REF!,#REF!,$A660,#REF!,$B660,#REF!,$C660,#REF!,"Other Sector Demand")</f>
        <v>#REF!</v>
      </c>
      <c r="I660" s="105" t="e">
        <f t="shared" si="41"/>
        <v>#REF!</v>
      </c>
      <c r="J660" s="106" t="e">
        <f t="shared" si="42"/>
        <v>#REF!</v>
      </c>
      <c r="K660" s="107" t="e">
        <f t="shared" si="43"/>
        <v>#REF!</v>
      </c>
    </row>
    <row r="661" spans="1:11" ht="15" customHeight="1" x14ac:dyDescent="0.2">
      <c r="A661" s="104" t="s">
        <v>207</v>
      </c>
      <c r="B661" s="104" t="s">
        <v>208</v>
      </c>
      <c r="C661" s="104" t="s">
        <v>42</v>
      </c>
      <c r="D661" s="104">
        <v>2050</v>
      </c>
      <c r="E661" s="105" t="e">
        <f>SUMIFS(#REF!,#REF!,$A661,#REF!,$B661,#REF!,$C661,#REF!,"Storage Demand")</f>
        <v>#REF!</v>
      </c>
      <c r="F661" s="105" t="e">
        <f>SUMIFS(#REF!,#REF!,$A661,#REF!,$B661,#REF!,$C661,#REF!,"&lt;&gt;Other Sector Demand")</f>
        <v>#REF!</v>
      </c>
      <c r="G661" s="106" t="e">
        <f t="shared" si="40"/>
        <v>#REF!</v>
      </c>
      <c r="H661" s="105" t="e">
        <f>SUMIFS(#REF!,#REF!,$A661,#REF!,$B661,#REF!,$C661,#REF!,"Other Sector Demand")</f>
        <v>#REF!</v>
      </c>
      <c r="I661" s="105" t="e">
        <f t="shared" si="41"/>
        <v>#REF!</v>
      </c>
      <c r="J661" s="106" t="e">
        <f t="shared" si="42"/>
        <v>#REF!</v>
      </c>
      <c r="K661" s="107" t="e">
        <f t="shared" si="43"/>
        <v>#REF!</v>
      </c>
    </row>
    <row r="662" spans="1:11" ht="15" customHeight="1" x14ac:dyDescent="0.2">
      <c r="A662" s="104" t="s">
        <v>207</v>
      </c>
      <c r="B662" s="104" t="s">
        <v>208</v>
      </c>
      <c r="C662" s="104" t="s">
        <v>44</v>
      </c>
      <c r="D662" s="104">
        <v>2020</v>
      </c>
      <c r="E662" s="105" t="e">
        <f>SUMIFS(#REF!,#REF!,$A662,#REF!,$B662,#REF!,$C662,#REF!,"Storage Demand")</f>
        <v>#REF!</v>
      </c>
      <c r="F662" s="105" t="e">
        <f>SUMIFS(#REF!,#REF!,$A662,#REF!,$B662,#REF!,$C662,#REF!,"&lt;&gt;Other Sector Demand")</f>
        <v>#REF!</v>
      </c>
      <c r="G662" s="106" t="e">
        <f t="shared" si="40"/>
        <v>#REF!</v>
      </c>
      <c r="H662" s="105" t="e">
        <f>SUMIFS(#REF!,#REF!,$A662,#REF!,$B662,#REF!,$C662,#REF!,"Other Sector Demand")</f>
        <v>#REF!</v>
      </c>
      <c r="I662" s="105" t="e">
        <f t="shared" si="41"/>
        <v>#REF!</v>
      </c>
      <c r="J662" s="106" t="e">
        <f t="shared" si="42"/>
        <v>#REF!</v>
      </c>
      <c r="K662" s="107" t="e">
        <f t="shared" si="43"/>
        <v>#REF!</v>
      </c>
    </row>
    <row r="663" spans="1:11" ht="15" customHeight="1" x14ac:dyDescent="0.2">
      <c r="A663" s="104" t="s">
        <v>207</v>
      </c>
      <c r="B663" s="104" t="s">
        <v>208</v>
      </c>
      <c r="C663" s="104" t="s">
        <v>44</v>
      </c>
      <c r="D663" s="104">
        <v>2030</v>
      </c>
      <c r="E663" s="105" t="e">
        <f>SUMIFS(#REF!,#REF!,$A663,#REF!,$B663,#REF!,$C663,#REF!,"Storage Demand")</f>
        <v>#REF!</v>
      </c>
      <c r="F663" s="105" t="e">
        <f>SUMIFS(#REF!,#REF!,$A663,#REF!,$B663,#REF!,$C663,#REF!,"&lt;&gt;Other Sector Demand")</f>
        <v>#REF!</v>
      </c>
      <c r="G663" s="106" t="e">
        <f t="shared" si="40"/>
        <v>#REF!</v>
      </c>
      <c r="H663" s="105" t="e">
        <f>SUMIFS(#REF!,#REF!,$A663,#REF!,$B663,#REF!,$C663,#REF!,"Other Sector Demand")</f>
        <v>#REF!</v>
      </c>
      <c r="I663" s="105" t="e">
        <f t="shared" si="41"/>
        <v>#REF!</v>
      </c>
      <c r="J663" s="106" t="e">
        <f t="shared" si="42"/>
        <v>#REF!</v>
      </c>
      <c r="K663" s="107" t="e">
        <f t="shared" si="43"/>
        <v>#REF!</v>
      </c>
    </row>
    <row r="664" spans="1:11" ht="15" customHeight="1" x14ac:dyDescent="0.2">
      <c r="A664" s="104" t="s">
        <v>207</v>
      </c>
      <c r="B664" s="104" t="s">
        <v>208</v>
      </c>
      <c r="C664" s="104" t="s">
        <v>44</v>
      </c>
      <c r="D664" s="104">
        <v>2040</v>
      </c>
      <c r="E664" s="105" t="e">
        <f>SUMIFS(#REF!,#REF!,$A664,#REF!,$B664,#REF!,$C664,#REF!,"Storage Demand")</f>
        <v>#REF!</v>
      </c>
      <c r="F664" s="105" t="e">
        <f>SUMIFS(#REF!,#REF!,$A664,#REF!,$B664,#REF!,$C664,#REF!,"&lt;&gt;Other Sector Demand")</f>
        <v>#REF!</v>
      </c>
      <c r="G664" s="106" t="e">
        <f t="shared" si="40"/>
        <v>#REF!</v>
      </c>
      <c r="H664" s="105" t="e">
        <f>SUMIFS(#REF!,#REF!,$A664,#REF!,$B664,#REF!,$C664,#REF!,"Other Sector Demand")</f>
        <v>#REF!</v>
      </c>
      <c r="I664" s="105" t="e">
        <f t="shared" si="41"/>
        <v>#REF!</v>
      </c>
      <c r="J664" s="106" t="e">
        <f t="shared" si="42"/>
        <v>#REF!</v>
      </c>
      <c r="K664" s="107" t="e">
        <f t="shared" si="43"/>
        <v>#REF!</v>
      </c>
    </row>
    <row r="665" spans="1:11" ht="15" customHeight="1" x14ac:dyDescent="0.2">
      <c r="A665" s="104" t="s">
        <v>207</v>
      </c>
      <c r="B665" s="104" t="s">
        <v>208</v>
      </c>
      <c r="C665" s="104" t="s">
        <v>44</v>
      </c>
      <c r="D665" s="104">
        <v>2050</v>
      </c>
      <c r="E665" s="105" t="e">
        <f>SUMIFS(#REF!,#REF!,$A665,#REF!,$B665,#REF!,$C665,#REF!,"Storage Demand")</f>
        <v>#REF!</v>
      </c>
      <c r="F665" s="105" t="e">
        <f>SUMIFS(#REF!,#REF!,$A665,#REF!,$B665,#REF!,$C665,#REF!,"&lt;&gt;Other Sector Demand")</f>
        <v>#REF!</v>
      </c>
      <c r="G665" s="106" t="e">
        <f t="shared" si="40"/>
        <v>#REF!</v>
      </c>
      <c r="H665" s="105" t="e">
        <f>SUMIFS(#REF!,#REF!,$A665,#REF!,$B665,#REF!,$C665,#REF!,"Other Sector Demand")</f>
        <v>#REF!</v>
      </c>
      <c r="I665" s="105" t="e">
        <f t="shared" si="41"/>
        <v>#REF!</v>
      </c>
      <c r="J665" s="106" t="e">
        <f t="shared" si="42"/>
        <v>#REF!</v>
      </c>
      <c r="K665" s="107" t="e">
        <f t="shared" si="43"/>
        <v>#REF!</v>
      </c>
    </row>
    <row r="666" spans="1:11" ht="15" customHeight="1" x14ac:dyDescent="0.2">
      <c r="A666" s="104" t="s">
        <v>207</v>
      </c>
      <c r="B666" s="104" t="s">
        <v>208</v>
      </c>
      <c r="C666" s="104" t="s">
        <v>45</v>
      </c>
      <c r="D666" s="104">
        <v>2020</v>
      </c>
      <c r="E666" s="105" t="e">
        <f>SUMIFS(#REF!,#REF!,$A666,#REF!,$B666,#REF!,$C666,#REF!,"Storage Demand")</f>
        <v>#REF!</v>
      </c>
      <c r="F666" s="105" t="e">
        <f>SUMIFS(#REF!,#REF!,$A666,#REF!,$B666,#REF!,$C666,#REF!,"&lt;&gt;Other Sector Demand")</f>
        <v>#REF!</v>
      </c>
      <c r="G666" s="106" t="e">
        <f t="shared" si="40"/>
        <v>#REF!</v>
      </c>
      <c r="H666" s="105" t="e">
        <f>SUMIFS(#REF!,#REF!,$A666,#REF!,$B666,#REF!,$C666,#REF!,"Other Sector Demand")</f>
        <v>#REF!</v>
      </c>
      <c r="I666" s="105" t="e">
        <f t="shared" si="41"/>
        <v>#REF!</v>
      </c>
      <c r="J666" s="106" t="e">
        <f t="shared" si="42"/>
        <v>#REF!</v>
      </c>
      <c r="K666" s="107" t="e">
        <f t="shared" si="43"/>
        <v>#REF!</v>
      </c>
    </row>
    <row r="667" spans="1:11" ht="15" customHeight="1" x14ac:dyDescent="0.2">
      <c r="A667" s="104" t="s">
        <v>207</v>
      </c>
      <c r="B667" s="104" t="s">
        <v>208</v>
      </c>
      <c r="C667" s="104" t="s">
        <v>45</v>
      </c>
      <c r="D667" s="104">
        <v>2030</v>
      </c>
      <c r="E667" s="105" t="e">
        <f>SUMIFS(#REF!,#REF!,$A667,#REF!,$B667,#REF!,$C667,#REF!,"Storage Demand")</f>
        <v>#REF!</v>
      </c>
      <c r="F667" s="105" t="e">
        <f>SUMIFS(#REF!,#REF!,$A667,#REF!,$B667,#REF!,$C667,#REF!,"&lt;&gt;Other Sector Demand")</f>
        <v>#REF!</v>
      </c>
      <c r="G667" s="106" t="e">
        <f t="shared" si="40"/>
        <v>#REF!</v>
      </c>
      <c r="H667" s="105" t="e">
        <f>SUMIFS(#REF!,#REF!,$A667,#REF!,$B667,#REF!,$C667,#REF!,"Other Sector Demand")</f>
        <v>#REF!</v>
      </c>
      <c r="I667" s="105" t="e">
        <f t="shared" si="41"/>
        <v>#REF!</v>
      </c>
      <c r="J667" s="106" t="e">
        <f t="shared" si="42"/>
        <v>#REF!</v>
      </c>
      <c r="K667" s="107" t="e">
        <f t="shared" si="43"/>
        <v>#REF!</v>
      </c>
    </row>
    <row r="668" spans="1:11" ht="15" customHeight="1" x14ac:dyDescent="0.2">
      <c r="A668" s="104" t="s">
        <v>207</v>
      </c>
      <c r="B668" s="104" t="s">
        <v>208</v>
      </c>
      <c r="C668" s="104" t="s">
        <v>45</v>
      </c>
      <c r="D668" s="104">
        <v>2040</v>
      </c>
      <c r="E668" s="105" t="e">
        <f>SUMIFS(#REF!,#REF!,$A668,#REF!,$B668,#REF!,$C668,#REF!,"Storage Demand")</f>
        <v>#REF!</v>
      </c>
      <c r="F668" s="105" t="e">
        <f>SUMIFS(#REF!,#REF!,$A668,#REF!,$B668,#REF!,$C668,#REF!,"&lt;&gt;Other Sector Demand")</f>
        <v>#REF!</v>
      </c>
      <c r="G668" s="106" t="e">
        <f t="shared" si="40"/>
        <v>#REF!</v>
      </c>
      <c r="H668" s="105" t="e">
        <f>SUMIFS(#REF!,#REF!,$A668,#REF!,$B668,#REF!,$C668,#REF!,"Other Sector Demand")</f>
        <v>#REF!</v>
      </c>
      <c r="I668" s="105" t="e">
        <f t="shared" si="41"/>
        <v>#REF!</v>
      </c>
      <c r="J668" s="106" t="e">
        <f t="shared" si="42"/>
        <v>#REF!</v>
      </c>
      <c r="K668" s="107" t="e">
        <f t="shared" si="43"/>
        <v>#REF!</v>
      </c>
    </row>
    <row r="669" spans="1:11" ht="15" customHeight="1" x14ac:dyDescent="0.2">
      <c r="A669" s="104" t="s">
        <v>207</v>
      </c>
      <c r="B669" s="104" t="s">
        <v>208</v>
      </c>
      <c r="C669" s="104" t="s">
        <v>45</v>
      </c>
      <c r="D669" s="104">
        <v>2050</v>
      </c>
      <c r="E669" s="105" t="e">
        <f>SUMIFS(#REF!,#REF!,$A669,#REF!,$B669,#REF!,$C669,#REF!,"Storage Demand")</f>
        <v>#REF!</v>
      </c>
      <c r="F669" s="105" t="e">
        <f>SUMIFS(#REF!,#REF!,$A669,#REF!,$B669,#REF!,$C669,#REF!,"&lt;&gt;Other Sector Demand")</f>
        <v>#REF!</v>
      </c>
      <c r="G669" s="106" t="e">
        <f t="shared" si="40"/>
        <v>#REF!</v>
      </c>
      <c r="H669" s="105" t="e">
        <f>SUMIFS(#REF!,#REF!,$A669,#REF!,$B669,#REF!,$C669,#REF!,"Other Sector Demand")</f>
        <v>#REF!</v>
      </c>
      <c r="I669" s="105" t="e">
        <f t="shared" si="41"/>
        <v>#REF!</v>
      </c>
      <c r="J669" s="106" t="e">
        <f t="shared" si="42"/>
        <v>#REF!</v>
      </c>
      <c r="K669" s="107" t="e">
        <f t="shared" si="43"/>
        <v>#REF!</v>
      </c>
    </row>
    <row r="670" spans="1:11" ht="15" customHeight="1" x14ac:dyDescent="0.2">
      <c r="A670" s="104" t="s">
        <v>207</v>
      </c>
      <c r="B670" s="104" t="s">
        <v>208</v>
      </c>
      <c r="C670" s="104" t="s">
        <v>46</v>
      </c>
      <c r="D670" s="104">
        <v>2020</v>
      </c>
      <c r="E670" s="105" t="e">
        <f>SUMIFS(#REF!,#REF!,$A670,#REF!,$B670,#REF!,$C670,#REF!,"Storage Demand")</f>
        <v>#REF!</v>
      </c>
      <c r="F670" s="105" t="e">
        <f>SUMIFS(#REF!,#REF!,$A670,#REF!,$B670,#REF!,$C670,#REF!,"&lt;&gt;Other Sector Demand")</f>
        <v>#REF!</v>
      </c>
      <c r="G670" s="106" t="e">
        <f t="shared" si="40"/>
        <v>#REF!</v>
      </c>
      <c r="H670" s="105" t="e">
        <f>SUMIFS(#REF!,#REF!,$A670,#REF!,$B670,#REF!,$C670,#REF!,"Other Sector Demand")</f>
        <v>#REF!</v>
      </c>
      <c r="I670" s="105" t="e">
        <f t="shared" si="41"/>
        <v>#REF!</v>
      </c>
      <c r="J670" s="106" t="e">
        <f t="shared" si="42"/>
        <v>#REF!</v>
      </c>
      <c r="K670" s="107" t="e">
        <f t="shared" si="43"/>
        <v>#REF!</v>
      </c>
    </row>
    <row r="671" spans="1:11" ht="15" customHeight="1" x14ac:dyDescent="0.2">
      <c r="A671" s="104" t="s">
        <v>207</v>
      </c>
      <c r="B671" s="104" t="s">
        <v>208</v>
      </c>
      <c r="C671" s="104" t="s">
        <v>46</v>
      </c>
      <c r="D671" s="104">
        <v>2030</v>
      </c>
      <c r="E671" s="105" t="e">
        <f>SUMIFS(#REF!,#REF!,$A671,#REF!,$B671,#REF!,$C671,#REF!,"Storage Demand")</f>
        <v>#REF!</v>
      </c>
      <c r="F671" s="105" t="e">
        <f>SUMIFS(#REF!,#REF!,$A671,#REF!,$B671,#REF!,$C671,#REF!,"&lt;&gt;Other Sector Demand")</f>
        <v>#REF!</v>
      </c>
      <c r="G671" s="106" t="e">
        <f t="shared" si="40"/>
        <v>#REF!</v>
      </c>
      <c r="H671" s="105" t="e">
        <f>SUMIFS(#REF!,#REF!,$A671,#REF!,$B671,#REF!,$C671,#REF!,"Other Sector Demand")</f>
        <v>#REF!</v>
      </c>
      <c r="I671" s="105" t="e">
        <f t="shared" si="41"/>
        <v>#REF!</v>
      </c>
      <c r="J671" s="106" t="e">
        <f t="shared" si="42"/>
        <v>#REF!</v>
      </c>
      <c r="K671" s="107" t="e">
        <f t="shared" si="43"/>
        <v>#REF!</v>
      </c>
    </row>
    <row r="672" spans="1:11" ht="15" customHeight="1" x14ac:dyDescent="0.2">
      <c r="A672" s="104" t="s">
        <v>207</v>
      </c>
      <c r="B672" s="104" t="s">
        <v>208</v>
      </c>
      <c r="C672" s="104" t="s">
        <v>46</v>
      </c>
      <c r="D672" s="104">
        <v>2040</v>
      </c>
      <c r="E672" s="105" t="e">
        <f>SUMIFS(#REF!,#REF!,$A672,#REF!,$B672,#REF!,$C672,#REF!,"Storage Demand")</f>
        <v>#REF!</v>
      </c>
      <c r="F672" s="105" t="e">
        <f>SUMIFS(#REF!,#REF!,$A672,#REF!,$B672,#REF!,$C672,#REF!,"&lt;&gt;Other Sector Demand")</f>
        <v>#REF!</v>
      </c>
      <c r="G672" s="106" t="e">
        <f t="shared" si="40"/>
        <v>#REF!</v>
      </c>
      <c r="H672" s="105" t="e">
        <f>SUMIFS(#REF!,#REF!,$A672,#REF!,$B672,#REF!,$C672,#REF!,"Other Sector Demand")</f>
        <v>#REF!</v>
      </c>
      <c r="I672" s="105" t="e">
        <f t="shared" si="41"/>
        <v>#REF!</v>
      </c>
      <c r="J672" s="106" t="e">
        <f t="shared" si="42"/>
        <v>#REF!</v>
      </c>
      <c r="K672" s="107" t="e">
        <f t="shared" si="43"/>
        <v>#REF!</v>
      </c>
    </row>
    <row r="673" spans="1:11" ht="15" customHeight="1" x14ac:dyDescent="0.2">
      <c r="A673" s="104" t="s">
        <v>207</v>
      </c>
      <c r="B673" s="104" t="s">
        <v>208</v>
      </c>
      <c r="C673" s="104" t="s">
        <v>46</v>
      </c>
      <c r="D673" s="104">
        <v>2050</v>
      </c>
      <c r="E673" s="105" t="e">
        <f>SUMIFS(#REF!,#REF!,$A673,#REF!,$B673,#REF!,$C673,#REF!,"Storage Demand")</f>
        <v>#REF!</v>
      </c>
      <c r="F673" s="105" t="e">
        <f>SUMIFS(#REF!,#REF!,$A673,#REF!,$B673,#REF!,$C673,#REF!,"&lt;&gt;Other Sector Demand")</f>
        <v>#REF!</v>
      </c>
      <c r="G673" s="106" t="e">
        <f t="shared" si="40"/>
        <v>#REF!</v>
      </c>
      <c r="H673" s="105" t="e">
        <f>SUMIFS(#REF!,#REF!,$A673,#REF!,$B673,#REF!,$C673,#REF!,"Other Sector Demand")</f>
        <v>#REF!</v>
      </c>
      <c r="I673" s="105" t="e">
        <f t="shared" si="41"/>
        <v>#REF!</v>
      </c>
      <c r="J673" s="106" t="e">
        <f t="shared" si="42"/>
        <v>#REF!</v>
      </c>
      <c r="K673" s="107" t="e">
        <f t="shared" si="43"/>
        <v>#REF!</v>
      </c>
    </row>
    <row r="674" spans="1:11" ht="15" customHeight="1" x14ac:dyDescent="0.2">
      <c r="A674" s="104" t="s">
        <v>207</v>
      </c>
      <c r="B674" s="104" t="s">
        <v>208</v>
      </c>
      <c r="C674" s="104" t="s">
        <v>47</v>
      </c>
      <c r="D674" s="104">
        <v>2020</v>
      </c>
      <c r="E674" s="105" t="e">
        <f>SUMIFS(#REF!,#REF!,$A674,#REF!,$B674,#REF!,$C674,#REF!,"Storage Demand")</f>
        <v>#REF!</v>
      </c>
      <c r="F674" s="105" t="e">
        <f>SUMIFS(#REF!,#REF!,$A674,#REF!,$B674,#REF!,$C674,#REF!,"&lt;&gt;Other Sector Demand")</f>
        <v>#REF!</v>
      </c>
      <c r="G674" s="106" t="e">
        <f t="shared" si="40"/>
        <v>#REF!</v>
      </c>
      <c r="H674" s="105" t="e">
        <f>SUMIFS(#REF!,#REF!,$A674,#REF!,$B674,#REF!,$C674,#REF!,"Other Sector Demand")</f>
        <v>#REF!</v>
      </c>
      <c r="I674" s="105" t="e">
        <f t="shared" si="41"/>
        <v>#REF!</v>
      </c>
      <c r="J674" s="106" t="e">
        <f t="shared" si="42"/>
        <v>#REF!</v>
      </c>
      <c r="K674" s="107" t="e">
        <f t="shared" si="43"/>
        <v>#REF!</v>
      </c>
    </row>
    <row r="675" spans="1:11" ht="15" customHeight="1" x14ac:dyDescent="0.2">
      <c r="A675" s="104" t="s">
        <v>207</v>
      </c>
      <c r="B675" s="104" t="s">
        <v>208</v>
      </c>
      <c r="C675" s="104" t="s">
        <v>47</v>
      </c>
      <c r="D675" s="104">
        <v>2030</v>
      </c>
      <c r="E675" s="105" t="e">
        <f>SUMIFS(#REF!,#REF!,$A675,#REF!,$B675,#REF!,$C675,#REF!,"Storage Demand")</f>
        <v>#REF!</v>
      </c>
      <c r="F675" s="105" t="e">
        <f>SUMIFS(#REF!,#REF!,$A675,#REF!,$B675,#REF!,$C675,#REF!,"&lt;&gt;Other Sector Demand")</f>
        <v>#REF!</v>
      </c>
      <c r="G675" s="106" t="e">
        <f t="shared" si="40"/>
        <v>#REF!</v>
      </c>
      <c r="H675" s="105" t="e">
        <f>SUMIFS(#REF!,#REF!,$A675,#REF!,$B675,#REF!,$C675,#REF!,"Other Sector Demand")</f>
        <v>#REF!</v>
      </c>
      <c r="I675" s="105" t="e">
        <f t="shared" si="41"/>
        <v>#REF!</v>
      </c>
      <c r="J675" s="106" t="e">
        <f t="shared" si="42"/>
        <v>#REF!</v>
      </c>
      <c r="K675" s="107" t="e">
        <f t="shared" si="43"/>
        <v>#REF!</v>
      </c>
    </row>
    <row r="676" spans="1:11" ht="15" customHeight="1" x14ac:dyDescent="0.2">
      <c r="A676" s="104" t="s">
        <v>207</v>
      </c>
      <c r="B676" s="104" t="s">
        <v>208</v>
      </c>
      <c r="C676" s="104" t="s">
        <v>47</v>
      </c>
      <c r="D676" s="104">
        <v>2040</v>
      </c>
      <c r="E676" s="105" t="e">
        <f>SUMIFS(#REF!,#REF!,$A676,#REF!,$B676,#REF!,$C676,#REF!,"Storage Demand")</f>
        <v>#REF!</v>
      </c>
      <c r="F676" s="105" t="e">
        <f>SUMIFS(#REF!,#REF!,$A676,#REF!,$B676,#REF!,$C676,#REF!,"&lt;&gt;Other Sector Demand")</f>
        <v>#REF!</v>
      </c>
      <c r="G676" s="106" t="e">
        <f t="shared" si="40"/>
        <v>#REF!</v>
      </c>
      <c r="H676" s="105" t="e">
        <f>SUMIFS(#REF!,#REF!,$A676,#REF!,$B676,#REF!,$C676,#REF!,"Other Sector Demand")</f>
        <v>#REF!</v>
      </c>
      <c r="I676" s="105" t="e">
        <f t="shared" si="41"/>
        <v>#REF!</v>
      </c>
      <c r="J676" s="106" t="e">
        <f t="shared" si="42"/>
        <v>#REF!</v>
      </c>
      <c r="K676" s="107" t="e">
        <f t="shared" si="43"/>
        <v>#REF!</v>
      </c>
    </row>
    <row r="677" spans="1:11" ht="15" customHeight="1" x14ac:dyDescent="0.2">
      <c r="A677" s="104" t="s">
        <v>207</v>
      </c>
      <c r="B677" s="104" t="s">
        <v>208</v>
      </c>
      <c r="C677" s="104" t="s">
        <v>47</v>
      </c>
      <c r="D677" s="104">
        <v>2050</v>
      </c>
      <c r="E677" s="105" t="e">
        <f>SUMIFS(#REF!,#REF!,$A677,#REF!,$B677,#REF!,$C677,#REF!,"Storage Demand")</f>
        <v>#REF!</v>
      </c>
      <c r="F677" s="105" t="e">
        <f>SUMIFS(#REF!,#REF!,$A677,#REF!,$B677,#REF!,$C677,#REF!,"&lt;&gt;Other Sector Demand")</f>
        <v>#REF!</v>
      </c>
      <c r="G677" s="106" t="e">
        <f t="shared" si="40"/>
        <v>#REF!</v>
      </c>
      <c r="H677" s="105" t="e">
        <f>SUMIFS(#REF!,#REF!,$A677,#REF!,$B677,#REF!,$C677,#REF!,"Other Sector Demand")</f>
        <v>#REF!</v>
      </c>
      <c r="I677" s="105" t="e">
        <f t="shared" si="41"/>
        <v>#REF!</v>
      </c>
      <c r="J677" s="106" t="e">
        <f t="shared" si="42"/>
        <v>#REF!</v>
      </c>
      <c r="K677" s="107" t="e">
        <f t="shared" si="43"/>
        <v>#REF!</v>
      </c>
    </row>
    <row r="678" spans="1:11" ht="15" customHeight="1" x14ac:dyDescent="0.2">
      <c r="A678" s="104" t="s">
        <v>207</v>
      </c>
      <c r="B678" s="104" t="s">
        <v>208</v>
      </c>
      <c r="C678" s="104" t="s">
        <v>49</v>
      </c>
      <c r="D678" s="104">
        <v>2020</v>
      </c>
      <c r="E678" s="105" t="e">
        <f>SUMIFS(#REF!,#REF!,$A678,#REF!,$B678,#REF!,$C678,#REF!,"Storage Demand")</f>
        <v>#REF!</v>
      </c>
      <c r="F678" s="105" t="e">
        <f>SUMIFS(#REF!,#REF!,$A678,#REF!,$B678,#REF!,$C678,#REF!,"&lt;&gt;Other Sector Demand")</f>
        <v>#REF!</v>
      </c>
      <c r="G678" s="106" t="e">
        <f t="shared" si="40"/>
        <v>#REF!</v>
      </c>
      <c r="H678" s="105" t="e">
        <f>SUMIFS(#REF!,#REF!,$A678,#REF!,$B678,#REF!,$C678,#REF!,"Other Sector Demand")</f>
        <v>#REF!</v>
      </c>
      <c r="I678" s="105" t="e">
        <f t="shared" si="41"/>
        <v>#REF!</v>
      </c>
      <c r="J678" s="106" t="e">
        <f t="shared" si="42"/>
        <v>#REF!</v>
      </c>
      <c r="K678" s="107" t="e">
        <f t="shared" si="43"/>
        <v>#REF!</v>
      </c>
    </row>
    <row r="679" spans="1:11" ht="15" customHeight="1" x14ac:dyDescent="0.2">
      <c r="A679" s="104" t="s">
        <v>207</v>
      </c>
      <c r="B679" s="104" t="s">
        <v>208</v>
      </c>
      <c r="C679" s="104" t="s">
        <v>49</v>
      </c>
      <c r="D679" s="104">
        <v>2030</v>
      </c>
      <c r="E679" s="105" t="e">
        <f>SUMIFS(#REF!,#REF!,$A679,#REF!,$B679,#REF!,$C679,#REF!,"Storage Demand")</f>
        <v>#REF!</v>
      </c>
      <c r="F679" s="105" t="e">
        <f>SUMIFS(#REF!,#REF!,$A679,#REF!,$B679,#REF!,$C679,#REF!,"&lt;&gt;Other Sector Demand")</f>
        <v>#REF!</v>
      </c>
      <c r="G679" s="106" t="e">
        <f t="shared" si="40"/>
        <v>#REF!</v>
      </c>
      <c r="H679" s="105" t="e">
        <f>SUMIFS(#REF!,#REF!,$A679,#REF!,$B679,#REF!,$C679,#REF!,"Other Sector Demand")</f>
        <v>#REF!</v>
      </c>
      <c r="I679" s="105" t="e">
        <f t="shared" si="41"/>
        <v>#REF!</v>
      </c>
      <c r="J679" s="106" t="e">
        <f t="shared" si="42"/>
        <v>#REF!</v>
      </c>
      <c r="K679" s="107" t="e">
        <f t="shared" si="43"/>
        <v>#REF!</v>
      </c>
    </row>
    <row r="680" spans="1:11" ht="15" customHeight="1" x14ac:dyDescent="0.2">
      <c r="A680" s="104" t="s">
        <v>207</v>
      </c>
      <c r="B680" s="104" t="s">
        <v>208</v>
      </c>
      <c r="C680" s="104" t="s">
        <v>49</v>
      </c>
      <c r="D680" s="104">
        <v>2040</v>
      </c>
      <c r="E680" s="105" t="e">
        <f>SUMIFS(#REF!,#REF!,$A680,#REF!,$B680,#REF!,$C680,#REF!,"Storage Demand")</f>
        <v>#REF!</v>
      </c>
      <c r="F680" s="105" t="e">
        <f>SUMIFS(#REF!,#REF!,$A680,#REF!,$B680,#REF!,$C680,#REF!,"&lt;&gt;Other Sector Demand")</f>
        <v>#REF!</v>
      </c>
      <c r="G680" s="106" t="e">
        <f t="shared" si="40"/>
        <v>#REF!</v>
      </c>
      <c r="H680" s="105" t="e">
        <f>SUMIFS(#REF!,#REF!,$A680,#REF!,$B680,#REF!,$C680,#REF!,"Other Sector Demand")</f>
        <v>#REF!</v>
      </c>
      <c r="I680" s="105" t="e">
        <f t="shared" si="41"/>
        <v>#REF!</v>
      </c>
      <c r="J680" s="106" t="e">
        <f t="shared" si="42"/>
        <v>#REF!</v>
      </c>
      <c r="K680" s="107" t="e">
        <f t="shared" si="43"/>
        <v>#REF!</v>
      </c>
    </row>
    <row r="681" spans="1:11" ht="15" customHeight="1" x14ac:dyDescent="0.2">
      <c r="A681" s="104" t="s">
        <v>207</v>
      </c>
      <c r="B681" s="104" t="s">
        <v>208</v>
      </c>
      <c r="C681" s="104" t="s">
        <v>49</v>
      </c>
      <c r="D681" s="104">
        <v>2050</v>
      </c>
      <c r="E681" s="105" t="e">
        <f>SUMIFS(#REF!,#REF!,$A681,#REF!,$B681,#REF!,$C681,#REF!,"Storage Demand")</f>
        <v>#REF!</v>
      </c>
      <c r="F681" s="105" t="e">
        <f>SUMIFS(#REF!,#REF!,$A681,#REF!,$B681,#REF!,$C681,#REF!,"&lt;&gt;Other Sector Demand")</f>
        <v>#REF!</v>
      </c>
      <c r="G681" s="106" t="e">
        <f t="shared" si="40"/>
        <v>#REF!</v>
      </c>
      <c r="H681" s="105" t="e">
        <f>SUMIFS(#REF!,#REF!,$A681,#REF!,$B681,#REF!,$C681,#REF!,"Other Sector Demand")</f>
        <v>#REF!</v>
      </c>
      <c r="I681" s="105" t="e">
        <f t="shared" si="41"/>
        <v>#REF!</v>
      </c>
      <c r="J681" s="106" t="e">
        <f t="shared" si="42"/>
        <v>#REF!</v>
      </c>
      <c r="K681" s="107" t="e">
        <f t="shared" si="43"/>
        <v>#REF!</v>
      </c>
    </row>
    <row r="682" spans="1:11" ht="15" customHeight="1" x14ac:dyDescent="0.2">
      <c r="A682" s="104" t="s">
        <v>207</v>
      </c>
      <c r="B682" s="104" t="s">
        <v>208</v>
      </c>
      <c r="C682" s="104" t="s">
        <v>50</v>
      </c>
      <c r="D682" s="104">
        <v>2020</v>
      </c>
      <c r="E682" s="105" t="e">
        <f>SUMIFS(#REF!,#REF!,$A682,#REF!,$B682,#REF!,$C682,#REF!,"Storage Demand")</f>
        <v>#REF!</v>
      </c>
      <c r="F682" s="105" t="e">
        <f>SUMIFS(#REF!,#REF!,$A682,#REF!,$B682,#REF!,$C682,#REF!,"&lt;&gt;Other Sector Demand")</f>
        <v>#REF!</v>
      </c>
      <c r="G682" s="106" t="e">
        <f t="shared" si="40"/>
        <v>#REF!</v>
      </c>
      <c r="H682" s="105" t="e">
        <f>SUMIFS(#REF!,#REF!,$A682,#REF!,$B682,#REF!,$C682,#REF!,"Other Sector Demand")</f>
        <v>#REF!</v>
      </c>
      <c r="I682" s="105" t="e">
        <f t="shared" si="41"/>
        <v>#REF!</v>
      </c>
      <c r="J682" s="106" t="e">
        <f t="shared" si="42"/>
        <v>#REF!</v>
      </c>
      <c r="K682" s="107" t="e">
        <f t="shared" si="43"/>
        <v>#REF!</v>
      </c>
    </row>
    <row r="683" spans="1:11" ht="15" customHeight="1" x14ac:dyDescent="0.2">
      <c r="A683" s="104" t="s">
        <v>207</v>
      </c>
      <c r="B683" s="104" t="s">
        <v>208</v>
      </c>
      <c r="C683" s="104" t="s">
        <v>50</v>
      </c>
      <c r="D683" s="104">
        <v>2030</v>
      </c>
      <c r="E683" s="105" t="e">
        <f>SUMIFS(#REF!,#REF!,$A683,#REF!,$B683,#REF!,$C683,#REF!,"Storage Demand")</f>
        <v>#REF!</v>
      </c>
      <c r="F683" s="105" t="e">
        <f>SUMIFS(#REF!,#REF!,$A683,#REF!,$B683,#REF!,$C683,#REF!,"&lt;&gt;Other Sector Demand")</f>
        <v>#REF!</v>
      </c>
      <c r="G683" s="106" t="e">
        <f t="shared" si="40"/>
        <v>#REF!</v>
      </c>
      <c r="H683" s="105" t="e">
        <f>SUMIFS(#REF!,#REF!,$A683,#REF!,$B683,#REF!,$C683,#REF!,"Other Sector Demand")</f>
        <v>#REF!</v>
      </c>
      <c r="I683" s="105" t="e">
        <f t="shared" si="41"/>
        <v>#REF!</v>
      </c>
      <c r="J683" s="106" t="e">
        <f t="shared" si="42"/>
        <v>#REF!</v>
      </c>
      <c r="K683" s="107" t="e">
        <f t="shared" si="43"/>
        <v>#REF!</v>
      </c>
    </row>
    <row r="684" spans="1:11" ht="15" customHeight="1" x14ac:dyDescent="0.2">
      <c r="A684" s="104" t="s">
        <v>207</v>
      </c>
      <c r="B684" s="104" t="s">
        <v>208</v>
      </c>
      <c r="C684" s="104" t="s">
        <v>50</v>
      </c>
      <c r="D684" s="104">
        <v>2040</v>
      </c>
      <c r="E684" s="105" t="e">
        <f>SUMIFS(#REF!,#REF!,$A684,#REF!,$B684,#REF!,$C684,#REF!,"Storage Demand")</f>
        <v>#REF!</v>
      </c>
      <c r="F684" s="105" t="e">
        <f>SUMIFS(#REF!,#REF!,$A684,#REF!,$B684,#REF!,$C684,#REF!,"&lt;&gt;Other Sector Demand")</f>
        <v>#REF!</v>
      </c>
      <c r="G684" s="106" t="e">
        <f t="shared" si="40"/>
        <v>#REF!</v>
      </c>
      <c r="H684" s="105" t="e">
        <f>SUMIFS(#REF!,#REF!,$A684,#REF!,$B684,#REF!,$C684,#REF!,"Other Sector Demand")</f>
        <v>#REF!</v>
      </c>
      <c r="I684" s="105" t="e">
        <f t="shared" si="41"/>
        <v>#REF!</v>
      </c>
      <c r="J684" s="106" t="e">
        <f t="shared" si="42"/>
        <v>#REF!</v>
      </c>
      <c r="K684" s="107" t="e">
        <f t="shared" si="43"/>
        <v>#REF!</v>
      </c>
    </row>
    <row r="685" spans="1:11" ht="15" customHeight="1" x14ac:dyDescent="0.2">
      <c r="A685" s="104" t="s">
        <v>207</v>
      </c>
      <c r="B685" s="104" t="s">
        <v>208</v>
      </c>
      <c r="C685" s="104" t="s">
        <v>50</v>
      </c>
      <c r="D685" s="104">
        <v>2050</v>
      </c>
      <c r="E685" s="105" t="e">
        <f>SUMIFS(#REF!,#REF!,$A685,#REF!,$B685,#REF!,$C685,#REF!,"Storage Demand")</f>
        <v>#REF!</v>
      </c>
      <c r="F685" s="105" t="e">
        <f>SUMIFS(#REF!,#REF!,$A685,#REF!,$B685,#REF!,$C685,#REF!,"&lt;&gt;Other Sector Demand")</f>
        <v>#REF!</v>
      </c>
      <c r="G685" s="106" t="e">
        <f t="shared" si="40"/>
        <v>#REF!</v>
      </c>
      <c r="H685" s="105" t="e">
        <f>SUMIFS(#REF!,#REF!,$A685,#REF!,$B685,#REF!,$C685,#REF!,"Other Sector Demand")</f>
        <v>#REF!</v>
      </c>
      <c r="I685" s="105" t="e">
        <f t="shared" si="41"/>
        <v>#REF!</v>
      </c>
      <c r="J685" s="106" t="e">
        <f t="shared" si="42"/>
        <v>#REF!</v>
      </c>
      <c r="K685" s="107" t="e">
        <f t="shared" si="43"/>
        <v>#REF!</v>
      </c>
    </row>
    <row r="686" spans="1:11" ht="15" customHeight="1" x14ac:dyDescent="0.2">
      <c r="A686" s="104" t="s">
        <v>207</v>
      </c>
      <c r="B686" s="104" t="s">
        <v>208</v>
      </c>
      <c r="C686" s="104" t="s">
        <v>52</v>
      </c>
      <c r="D686" s="104">
        <v>2020</v>
      </c>
      <c r="E686" s="105" t="e">
        <f>SUMIFS(#REF!,#REF!,$A686,#REF!,$B686,#REF!,$C686,#REF!,"Storage Demand")</f>
        <v>#REF!</v>
      </c>
      <c r="F686" s="105" t="e">
        <f>SUMIFS(#REF!,#REF!,$A686,#REF!,$B686,#REF!,$C686,#REF!,"&lt;&gt;Other Sector Demand")</f>
        <v>#REF!</v>
      </c>
      <c r="G686" s="106" t="e">
        <f t="shared" si="40"/>
        <v>#REF!</v>
      </c>
      <c r="H686" s="105" t="e">
        <f>SUMIFS(#REF!,#REF!,$A686,#REF!,$B686,#REF!,$C686,#REF!,"Other Sector Demand")</f>
        <v>#REF!</v>
      </c>
      <c r="I686" s="105" t="e">
        <f t="shared" si="41"/>
        <v>#REF!</v>
      </c>
      <c r="J686" s="106" t="e">
        <f t="shared" si="42"/>
        <v>#REF!</v>
      </c>
      <c r="K686" s="107" t="e">
        <f t="shared" si="43"/>
        <v>#REF!</v>
      </c>
    </row>
    <row r="687" spans="1:11" ht="15" customHeight="1" x14ac:dyDescent="0.2">
      <c r="A687" s="104" t="s">
        <v>207</v>
      </c>
      <c r="B687" s="104" t="s">
        <v>208</v>
      </c>
      <c r="C687" s="104" t="s">
        <v>52</v>
      </c>
      <c r="D687" s="104">
        <v>2030</v>
      </c>
      <c r="E687" s="105" t="e">
        <f>SUMIFS(#REF!,#REF!,$A687,#REF!,$B687,#REF!,$C687,#REF!,"Storage Demand")</f>
        <v>#REF!</v>
      </c>
      <c r="F687" s="105" t="e">
        <f>SUMIFS(#REF!,#REF!,$A687,#REF!,$B687,#REF!,$C687,#REF!,"&lt;&gt;Other Sector Demand")</f>
        <v>#REF!</v>
      </c>
      <c r="G687" s="106" t="e">
        <f t="shared" si="40"/>
        <v>#REF!</v>
      </c>
      <c r="H687" s="105" t="e">
        <f>SUMIFS(#REF!,#REF!,$A687,#REF!,$B687,#REF!,$C687,#REF!,"Other Sector Demand")</f>
        <v>#REF!</v>
      </c>
      <c r="I687" s="105" t="e">
        <f t="shared" si="41"/>
        <v>#REF!</v>
      </c>
      <c r="J687" s="106" t="e">
        <f t="shared" si="42"/>
        <v>#REF!</v>
      </c>
      <c r="K687" s="107" t="e">
        <f t="shared" si="43"/>
        <v>#REF!</v>
      </c>
    </row>
    <row r="688" spans="1:11" ht="15" customHeight="1" x14ac:dyDescent="0.2">
      <c r="A688" s="104" t="s">
        <v>207</v>
      </c>
      <c r="B688" s="104" t="s">
        <v>208</v>
      </c>
      <c r="C688" s="104" t="s">
        <v>52</v>
      </c>
      <c r="D688" s="104">
        <v>2040</v>
      </c>
      <c r="E688" s="105" t="e">
        <f>SUMIFS(#REF!,#REF!,$A688,#REF!,$B688,#REF!,$C688,#REF!,"Storage Demand")</f>
        <v>#REF!</v>
      </c>
      <c r="F688" s="105" t="e">
        <f>SUMIFS(#REF!,#REF!,$A688,#REF!,$B688,#REF!,$C688,#REF!,"&lt;&gt;Other Sector Demand")</f>
        <v>#REF!</v>
      </c>
      <c r="G688" s="106" t="e">
        <f t="shared" si="40"/>
        <v>#REF!</v>
      </c>
      <c r="H688" s="105" t="e">
        <f>SUMIFS(#REF!,#REF!,$A688,#REF!,$B688,#REF!,$C688,#REF!,"Other Sector Demand")</f>
        <v>#REF!</v>
      </c>
      <c r="I688" s="105" t="e">
        <f t="shared" si="41"/>
        <v>#REF!</v>
      </c>
      <c r="J688" s="106" t="e">
        <f t="shared" si="42"/>
        <v>#REF!</v>
      </c>
      <c r="K688" s="107" t="e">
        <f t="shared" si="43"/>
        <v>#REF!</v>
      </c>
    </row>
    <row r="689" spans="1:11" ht="15" customHeight="1" x14ac:dyDescent="0.2">
      <c r="A689" s="104" t="s">
        <v>207</v>
      </c>
      <c r="B689" s="104" t="s">
        <v>208</v>
      </c>
      <c r="C689" s="104" t="s">
        <v>52</v>
      </c>
      <c r="D689" s="104">
        <v>2050</v>
      </c>
      <c r="E689" s="105" t="e">
        <f>SUMIFS(#REF!,#REF!,$A689,#REF!,$B689,#REF!,$C689,#REF!,"Storage Demand")</f>
        <v>#REF!</v>
      </c>
      <c r="F689" s="105" t="e">
        <f>SUMIFS(#REF!,#REF!,$A689,#REF!,$B689,#REF!,$C689,#REF!,"&lt;&gt;Other Sector Demand")</f>
        <v>#REF!</v>
      </c>
      <c r="G689" s="106" t="e">
        <f t="shared" si="40"/>
        <v>#REF!</v>
      </c>
      <c r="H689" s="105" t="e">
        <f>SUMIFS(#REF!,#REF!,$A689,#REF!,$B689,#REF!,$C689,#REF!,"Other Sector Demand")</f>
        <v>#REF!</v>
      </c>
      <c r="I689" s="105" t="e">
        <f t="shared" si="41"/>
        <v>#REF!</v>
      </c>
      <c r="J689" s="106" t="e">
        <f t="shared" si="42"/>
        <v>#REF!</v>
      </c>
      <c r="K689" s="107" t="e">
        <f t="shared" si="43"/>
        <v>#REF!</v>
      </c>
    </row>
    <row r="690" spans="1:11" ht="15" customHeight="1" x14ac:dyDescent="0.2">
      <c r="A690" s="104" t="s">
        <v>207</v>
      </c>
      <c r="B690" s="104" t="s">
        <v>208</v>
      </c>
      <c r="C690" s="104" t="s">
        <v>53</v>
      </c>
      <c r="D690" s="104">
        <v>2020</v>
      </c>
      <c r="E690" s="105" t="e">
        <f>SUMIFS(#REF!,#REF!,$A690,#REF!,$B690,#REF!,$C690,#REF!,"Storage Demand")</f>
        <v>#REF!</v>
      </c>
      <c r="F690" s="105" t="e">
        <f>SUMIFS(#REF!,#REF!,$A690,#REF!,$B690,#REF!,$C690,#REF!,"&lt;&gt;Other Sector Demand")</f>
        <v>#REF!</v>
      </c>
      <c r="G690" s="106" t="e">
        <f t="shared" si="40"/>
        <v>#REF!</v>
      </c>
      <c r="H690" s="105" t="e">
        <f>SUMIFS(#REF!,#REF!,$A690,#REF!,$B690,#REF!,$C690,#REF!,"Other Sector Demand")</f>
        <v>#REF!</v>
      </c>
      <c r="I690" s="105" t="e">
        <f t="shared" si="41"/>
        <v>#REF!</v>
      </c>
      <c r="J690" s="106" t="e">
        <f t="shared" si="42"/>
        <v>#REF!</v>
      </c>
      <c r="K690" s="107" t="e">
        <f t="shared" si="43"/>
        <v>#REF!</v>
      </c>
    </row>
    <row r="691" spans="1:11" ht="15" customHeight="1" x14ac:dyDescent="0.2">
      <c r="A691" s="104" t="s">
        <v>207</v>
      </c>
      <c r="B691" s="104" t="s">
        <v>208</v>
      </c>
      <c r="C691" s="104" t="s">
        <v>53</v>
      </c>
      <c r="D691" s="104">
        <v>2030</v>
      </c>
      <c r="E691" s="105" t="e">
        <f>SUMIFS(#REF!,#REF!,$A691,#REF!,$B691,#REF!,$C691,#REF!,"Storage Demand")</f>
        <v>#REF!</v>
      </c>
      <c r="F691" s="105" t="e">
        <f>SUMIFS(#REF!,#REF!,$A691,#REF!,$B691,#REF!,$C691,#REF!,"&lt;&gt;Other Sector Demand")</f>
        <v>#REF!</v>
      </c>
      <c r="G691" s="106" t="e">
        <f t="shared" si="40"/>
        <v>#REF!</v>
      </c>
      <c r="H691" s="105" t="e">
        <f>SUMIFS(#REF!,#REF!,$A691,#REF!,$B691,#REF!,$C691,#REF!,"Other Sector Demand")</f>
        <v>#REF!</v>
      </c>
      <c r="I691" s="105" t="e">
        <f t="shared" si="41"/>
        <v>#REF!</v>
      </c>
      <c r="J691" s="106" t="e">
        <f t="shared" si="42"/>
        <v>#REF!</v>
      </c>
      <c r="K691" s="107" t="e">
        <f t="shared" si="43"/>
        <v>#REF!</v>
      </c>
    </row>
    <row r="692" spans="1:11" ht="15" customHeight="1" x14ac:dyDescent="0.2">
      <c r="A692" s="104" t="s">
        <v>207</v>
      </c>
      <c r="B692" s="104" t="s">
        <v>208</v>
      </c>
      <c r="C692" s="104" t="s">
        <v>53</v>
      </c>
      <c r="D692" s="104">
        <v>2040</v>
      </c>
      <c r="E692" s="105" t="e">
        <f>SUMIFS(#REF!,#REF!,$A692,#REF!,$B692,#REF!,$C692,#REF!,"Storage Demand")</f>
        <v>#REF!</v>
      </c>
      <c r="F692" s="105" t="e">
        <f>SUMIFS(#REF!,#REF!,$A692,#REF!,$B692,#REF!,$C692,#REF!,"&lt;&gt;Other Sector Demand")</f>
        <v>#REF!</v>
      </c>
      <c r="G692" s="106" t="e">
        <f t="shared" si="40"/>
        <v>#REF!</v>
      </c>
      <c r="H692" s="105" t="e">
        <f>SUMIFS(#REF!,#REF!,$A692,#REF!,$B692,#REF!,$C692,#REF!,"Other Sector Demand")</f>
        <v>#REF!</v>
      </c>
      <c r="I692" s="105" t="e">
        <f t="shared" si="41"/>
        <v>#REF!</v>
      </c>
      <c r="J692" s="106" t="e">
        <f t="shared" si="42"/>
        <v>#REF!</v>
      </c>
      <c r="K692" s="107" t="e">
        <f t="shared" si="43"/>
        <v>#REF!</v>
      </c>
    </row>
    <row r="693" spans="1:11" ht="15" customHeight="1" x14ac:dyDescent="0.2">
      <c r="A693" s="104" t="s">
        <v>207</v>
      </c>
      <c r="B693" s="104" t="s">
        <v>208</v>
      </c>
      <c r="C693" s="104" t="s">
        <v>53</v>
      </c>
      <c r="D693" s="104">
        <v>2050</v>
      </c>
      <c r="E693" s="105" t="e">
        <f>SUMIFS(#REF!,#REF!,$A693,#REF!,$B693,#REF!,$C693,#REF!,"Storage Demand")</f>
        <v>#REF!</v>
      </c>
      <c r="F693" s="105" t="e">
        <f>SUMIFS(#REF!,#REF!,$A693,#REF!,$B693,#REF!,$C693,#REF!,"&lt;&gt;Other Sector Demand")</f>
        <v>#REF!</v>
      </c>
      <c r="G693" s="106" t="e">
        <f t="shared" si="40"/>
        <v>#REF!</v>
      </c>
      <c r="H693" s="105" t="e">
        <f>SUMIFS(#REF!,#REF!,$A693,#REF!,$B693,#REF!,$C693,#REF!,"Other Sector Demand")</f>
        <v>#REF!</v>
      </c>
      <c r="I693" s="105" t="e">
        <f t="shared" si="41"/>
        <v>#REF!</v>
      </c>
      <c r="J693" s="106" t="e">
        <f t="shared" si="42"/>
        <v>#REF!</v>
      </c>
      <c r="K693" s="107" t="e">
        <f t="shared" si="43"/>
        <v>#REF!</v>
      </c>
    </row>
    <row r="694" spans="1:11" ht="15" customHeight="1" x14ac:dyDescent="0.2">
      <c r="A694" s="104" t="s">
        <v>207</v>
      </c>
      <c r="B694" s="104" t="s">
        <v>208</v>
      </c>
      <c r="C694" s="104" t="s">
        <v>55</v>
      </c>
      <c r="D694" s="104">
        <v>2020</v>
      </c>
      <c r="E694" s="105" t="e">
        <f>SUMIFS(#REF!,#REF!,$A694,#REF!,$B694,#REF!,$C694,#REF!,"Storage Demand")</f>
        <v>#REF!</v>
      </c>
      <c r="F694" s="105" t="e">
        <f>SUMIFS(#REF!,#REF!,$A694,#REF!,$B694,#REF!,$C694,#REF!,"&lt;&gt;Other Sector Demand")</f>
        <v>#REF!</v>
      </c>
      <c r="G694" s="106" t="e">
        <f t="shared" si="40"/>
        <v>#REF!</v>
      </c>
      <c r="H694" s="105" t="e">
        <f>SUMIFS(#REF!,#REF!,$A694,#REF!,$B694,#REF!,$C694,#REF!,"Other Sector Demand")</f>
        <v>#REF!</v>
      </c>
      <c r="I694" s="105" t="e">
        <f t="shared" si="41"/>
        <v>#REF!</v>
      </c>
      <c r="J694" s="106" t="e">
        <f t="shared" si="42"/>
        <v>#REF!</v>
      </c>
      <c r="K694" s="107" t="e">
        <f t="shared" si="43"/>
        <v>#REF!</v>
      </c>
    </row>
    <row r="695" spans="1:11" ht="15" customHeight="1" x14ac:dyDescent="0.2">
      <c r="A695" s="104" t="s">
        <v>207</v>
      </c>
      <c r="B695" s="104" t="s">
        <v>208</v>
      </c>
      <c r="C695" s="104" t="s">
        <v>55</v>
      </c>
      <c r="D695" s="104">
        <v>2030</v>
      </c>
      <c r="E695" s="105" t="e">
        <f>SUMIFS(#REF!,#REF!,$A695,#REF!,$B695,#REF!,$C695,#REF!,"Storage Demand")</f>
        <v>#REF!</v>
      </c>
      <c r="F695" s="105" t="e">
        <f>SUMIFS(#REF!,#REF!,$A695,#REF!,$B695,#REF!,$C695,#REF!,"&lt;&gt;Other Sector Demand")</f>
        <v>#REF!</v>
      </c>
      <c r="G695" s="106" t="e">
        <f t="shared" si="40"/>
        <v>#REF!</v>
      </c>
      <c r="H695" s="105" t="e">
        <f>SUMIFS(#REF!,#REF!,$A695,#REF!,$B695,#REF!,$C695,#REF!,"Other Sector Demand")</f>
        <v>#REF!</v>
      </c>
      <c r="I695" s="105" t="e">
        <f t="shared" si="41"/>
        <v>#REF!</v>
      </c>
      <c r="J695" s="106" t="e">
        <f t="shared" si="42"/>
        <v>#REF!</v>
      </c>
      <c r="K695" s="107" t="e">
        <f t="shared" si="43"/>
        <v>#REF!</v>
      </c>
    </row>
    <row r="696" spans="1:11" ht="15" customHeight="1" x14ac:dyDescent="0.2">
      <c r="A696" s="104" t="s">
        <v>207</v>
      </c>
      <c r="B696" s="104" t="s">
        <v>208</v>
      </c>
      <c r="C696" s="104" t="s">
        <v>55</v>
      </c>
      <c r="D696" s="104">
        <v>2040</v>
      </c>
      <c r="E696" s="105" t="e">
        <f>SUMIFS(#REF!,#REF!,$A696,#REF!,$B696,#REF!,$C696,#REF!,"Storage Demand")</f>
        <v>#REF!</v>
      </c>
      <c r="F696" s="105" t="e">
        <f>SUMIFS(#REF!,#REF!,$A696,#REF!,$B696,#REF!,$C696,#REF!,"&lt;&gt;Other Sector Demand")</f>
        <v>#REF!</v>
      </c>
      <c r="G696" s="106" t="e">
        <f t="shared" si="40"/>
        <v>#REF!</v>
      </c>
      <c r="H696" s="105" t="e">
        <f>SUMIFS(#REF!,#REF!,$A696,#REF!,$B696,#REF!,$C696,#REF!,"Other Sector Demand")</f>
        <v>#REF!</v>
      </c>
      <c r="I696" s="105" t="e">
        <f t="shared" si="41"/>
        <v>#REF!</v>
      </c>
      <c r="J696" s="106" t="e">
        <f t="shared" si="42"/>
        <v>#REF!</v>
      </c>
      <c r="K696" s="107" t="e">
        <f t="shared" si="43"/>
        <v>#REF!</v>
      </c>
    </row>
    <row r="697" spans="1:11" ht="15" customHeight="1" x14ac:dyDescent="0.2">
      <c r="A697" s="104" t="s">
        <v>207</v>
      </c>
      <c r="B697" s="104" t="s">
        <v>208</v>
      </c>
      <c r="C697" s="104" t="s">
        <v>55</v>
      </c>
      <c r="D697" s="104">
        <v>2050</v>
      </c>
      <c r="E697" s="105" t="e">
        <f>SUMIFS(#REF!,#REF!,$A697,#REF!,$B697,#REF!,$C697,#REF!,"Storage Demand")</f>
        <v>#REF!</v>
      </c>
      <c r="F697" s="105" t="e">
        <f>SUMIFS(#REF!,#REF!,$A697,#REF!,$B697,#REF!,$C697,#REF!,"&lt;&gt;Other Sector Demand")</f>
        <v>#REF!</v>
      </c>
      <c r="G697" s="106" t="e">
        <f t="shared" si="40"/>
        <v>#REF!</v>
      </c>
      <c r="H697" s="105" t="e">
        <f>SUMIFS(#REF!,#REF!,$A697,#REF!,$B697,#REF!,$C697,#REF!,"Other Sector Demand")</f>
        <v>#REF!</v>
      </c>
      <c r="I697" s="105" t="e">
        <f t="shared" si="41"/>
        <v>#REF!</v>
      </c>
      <c r="J697" s="106" t="e">
        <f t="shared" si="42"/>
        <v>#REF!</v>
      </c>
      <c r="K697" s="107" t="e">
        <f t="shared" si="43"/>
        <v>#REF!</v>
      </c>
    </row>
    <row r="698" spans="1:11" ht="15" customHeight="1" x14ac:dyDescent="0.2">
      <c r="A698" s="104" t="s">
        <v>207</v>
      </c>
      <c r="B698" s="104" t="s">
        <v>208</v>
      </c>
      <c r="C698" s="104" t="s">
        <v>57</v>
      </c>
      <c r="D698" s="104">
        <v>2020</v>
      </c>
      <c r="E698" s="105" t="e">
        <f>SUMIFS(#REF!,#REF!,$A698,#REF!,$B698,#REF!,$C698,#REF!,"Storage Demand")</f>
        <v>#REF!</v>
      </c>
      <c r="F698" s="105" t="e">
        <f>SUMIFS(#REF!,#REF!,$A698,#REF!,$B698,#REF!,$C698,#REF!,"&lt;&gt;Other Sector Demand")</f>
        <v>#REF!</v>
      </c>
      <c r="G698" s="106" t="e">
        <f t="shared" si="40"/>
        <v>#REF!</v>
      </c>
      <c r="H698" s="105" t="e">
        <f>SUMIFS(#REF!,#REF!,$A698,#REF!,$B698,#REF!,$C698,#REF!,"Other Sector Demand")</f>
        <v>#REF!</v>
      </c>
      <c r="I698" s="105" t="e">
        <f t="shared" si="41"/>
        <v>#REF!</v>
      </c>
      <c r="J698" s="106" t="e">
        <f t="shared" si="42"/>
        <v>#REF!</v>
      </c>
      <c r="K698" s="107" t="e">
        <f t="shared" si="43"/>
        <v>#REF!</v>
      </c>
    </row>
    <row r="699" spans="1:11" ht="15" customHeight="1" x14ac:dyDescent="0.2">
      <c r="A699" s="104" t="s">
        <v>207</v>
      </c>
      <c r="B699" s="104" t="s">
        <v>208</v>
      </c>
      <c r="C699" s="104" t="s">
        <v>57</v>
      </c>
      <c r="D699" s="104">
        <v>2030</v>
      </c>
      <c r="E699" s="105" t="e">
        <f>SUMIFS(#REF!,#REF!,$A699,#REF!,$B699,#REF!,$C699,#REF!,"Storage Demand")</f>
        <v>#REF!</v>
      </c>
      <c r="F699" s="105" t="e">
        <f>SUMIFS(#REF!,#REF!,$A699,#REF!,$B699,#REF!,$C699,#REF!,"&lt;&gt;Other Sector Demand")</f>
        <v>#REF!</v>
      </c>
      <c r="G699" s="106" t="e">
        <f t="shared" si="40"/>
        <v>#REF!</v>
      </c>
      <c r="H699" s="105" t="e">
        <f>SUMIFS(#REF!,#REF!,$A699,#REF!,$B699,#REF!,$C699,#REF!,"Other Sector Demand")</f>
        <v>#REF!</v>
      </c>
      <c r="I699" s="105" t="e">
        <f t="shared" si="41"/>
        <v>#REF!</v>
      </c>
      <c r="J699" s="106" t="e">
        <f t="shared" si="42"/>
        <v>#REF!</v>
      </c>
      <c r="K699" s="107" t="e">
        <f t="shared" si="43"/>
        <v>#REF!</v>
      </c>
    </row>
    <row r="700" spans="1:11" ht="15" customHeight="1" x14ac:dyDescent="0.2">
      <c r="A700" s="104" t="s">
        <v>207</v>
      </c>
      <c r="B700" s="104" t="s">
        <v>208</v>
      </c>
      <c r="C700" s="104" t="s">
        <v>57</v>
      </c>
      <c r="D700" s="104">
        <v>2040</v>
      </c>
      <c r="E700" s="105" t="e">
        <f>SUMIFS(#REF!,#REF!,$A700,#REF!,$B700,#REF!,$C700,#REF!,"Storage Demand")</f>
        <v>#REF!</v>
      </c>
      <c r="F700" s="105" t="e">
        <f>SUMIFS(#REF!,#REF!,$A700,#REF!,$B700,#REF!,$C700,#REF!,"&lt;&gt;Other Sector Demand")</f>
        <v>#REF!</v>
      </c>
      <c r="G700" s="106" t="e">
        <f t="shared" si="40"/>
        <v>#REF!</v>
      </c>
      <c r="H700" s="105" t="e">
        <f>SUMIFS(#REF!,#REF!,$A700,#REF!,$B700,#REF!,$C700,#REF!,"Other Sector Demand")</f>
        <v>#REF!</v>
      </c>
      <c r="I700" s="105" t="e">
        <f t="shared" si="41"/>
        <v>#REF!</v>
      </c>
      <c r="J700" s="106" t="e">
        <f t="shared" si="42"/>
        <v>#REF!</v>
      </c>
      <c r="K700" s="107" t="e">
        <f t="shared" si="43"/>
        <v>#REF!</v>
      </c>
    </row>
    <row r="701" spans="1:11" ht="15" customHeight="1" x14ac:dyDescent="0.2">
      <c r="A701" s="104" t="s">
        <v>207</v>
      </c>
      <c r="B701" s="104" t="s">
        <v>208</v>
      </c>
      <c r="C701" s="104" t="s">
        <v>57</v>
      </c>
      <c r="D701" s="104">
        <v>2050</v>
      </c>
      <c r="E701" s="105" t="e">
        <f>SUMIFS(#REF!,#REF!,$A701,#REF!,$B701,#REF!,$C701,#REF!,"Storage Demand")</f>
        <v>#REF!</v>
      </c>
      <c r="F701" s="105" t="e">
        <f>SUMIFS(#REF!,#REF!,$A701,#REF!,$B701,#REF!,$C701,#REF!,"&lt;&gt;Other Sector Demand")</f>
        <v>#REF!</v>
      </c>
      <c r="G701" s="106" t="e">
        <f t="shared" si="40"/>
        <v>#REF!</v>
      </c>
      <c r="H701" s="105" t="e">
        <f>SUMIFS(#REF!,#REF!,$A701,#REF!,$B701,#REF!,$C701,#REF!,"Other Sector Demand")</f>
        <v>#REF!</v>
      </c>
      <c r="I701" s="105" t="e">
        <f t="shared" si="41"/>
        <v>#REF!</v>
      </c>
      <c r="J701" s="106" t="e">
        <f t="shared" si="42"/>
        <v>#REF!</v>
      </c>
      <c r="K701" s="107" t="e">
        <f t="shared" si="43"/>
        <v>#REF!</v>
      </c>
    </row>
    <row r="702" spans="1:11" ht="15" customHeight="1" x14ac:dyDescent="0.2">
      <c r="A702" s="104" t="s">
        <v>207</v>
      </c>
      <c r="B702" s="104" t="s">
        <v>208</v>
      </c>
      <c r="C702" s="104" t="s">
        <v>58</v>
      </c>
      <c r="D702" s="104">
        <v>2020</v>
      </c>
      <c r="E702" s="105" t="e">
        <f>SUMIFS(#REF!,#REF!,$A702,#REF!,$B702,#REF!,$C702,#REF!,"Storage Demand")</f>
        <v>#REF!</v>
      </c>
      <c r="F702" s="105" t="e">
        <f>SUMIFS(#REF!,#REF!,$A702,#REF!,$B702,#REF!,$C702,#REF!,"&lt;&gt;Other Sector Demand")</f>
        <v>#REF!</v>
      </c>
      <c r="G702" s="106" t="e">
        <f t="shared" si="40"/>
        <v>#REF!</v>
      </c>
      <c r="H702" s="105" t="e">
        <f>SUMIFS(#REF!,#REF!,$A702,#REF!,$B702,#REF!,$C702,#REF!,"Other Sector Demand")</f>
        <v>#REF!</v>
      </c>
      <c r="I702" s="105" t="e">
        <f t="shared" si="41"/>
        <v>#REF!</v>
      </c>
      <c r="J702" s="106" t="e">
        <f t="shared" si="42"/>
        <v>#REF!</v>
      </c>
      <c r="K702" s="107" t="e">
        <f t="shared" si="43"/>
        <v>#REF!</v>
      </c>
    </row>
    <row r="703" spans="1:11" ht="15" customHeight="1" x14ac:dyDescent="0.2">
      <c r="A703" s="104" t="s">
        <v>207</v>
      </c>
      <c r="B703" s="104" t="s">
        <v>208</v>
      </c>
      <c r="C703" s="104" t="s">
        <v>58</v>
      </c>
      <c r="D703" s="104">
        <v>2030</v>
      </c>
      <c r="E703" s="105" t="e">
        <f>SUMIFS(#REF!,#REF!,$A703,#REF!,$B703,#REF!,$C703,#REF!,"Storage Demand")</f>
        <v>#REF!</v>
      </c>
      <c r="F703" s="105" t="e">
        <f>SUMIFS(#REF!,#REF!,$A703,#REF!,$B703,#REF!,$C703,#REF!,"&lt;&gt;Other Sector Demand")</f>
        <v>#REF!</v>
      </c>
      <c r="G703" s="106" t="e">
        <f t="shared" si="40"/>
        <v>#REF!</v>
      </c>
      <c r="H703" s="105" t="e">
        <f>SUMIFS(#REF!,#REF!,$A703,#REF!,$B703,#REF!,$C703,#REF!,"Other Sector Demand")</f>
        <v>#REF!</v>
      </c>
      <c r="I703" s="105" t="e">
        <f t="shared" si="41"/>
        <v>#REF!</v>
      </c>
      <c r="J703" s="106" t="e">
        <f t="shared" si="42"/>
        <v>#REF!</v>
      </c>
      <c r="K703" s="107" t="e">
        <f t="shared" si="43"/>
        <v>#REF!</v>
      </c>
    </row>
    <row r="704" spans="1:11" ht="15" customHeight="1" x14ac:dyDescent="0.2">
      <c r="A704" s="104" t="s">
        <v>207</v>
      </c>
      <c r="B704" s="104" t="s">
        <v>208</v>
      </c>
      <c r="C704" s="104" t="s">
        <v>58</v>
      </c>
      <c r="D704" s="104">
        <v>2040</v>
      </c>
      <c r="E704" s="105" t="e">
        <f>SUMIFS(#REF!,#REF!,$A704,#REF!,$B704,#REF!,$C704,#REF!,"Storage Demand")</f>
        <v>#REF!</v>
      </c>
      <c r="F704" s="105" t="e">
        <f>SUMIFS(#REF!,#REF!,$A704,#REF!,$B704,#REF!,$C704,#REF!,"&lt;&gt;Other Sector Demand")</f>
        <v>#REF!</v>
      </c>
      <c r="G704" s="106" t="e">
        <f t="shared" si="40"/>
        <v>#REF!</v>
      </c>
      <c r="H704" s="105" t="e">
        <f>SUMIFS(#REF!,#REF!,$A704,#REF!,$B704,#REF!,$C704,#REF!,"Other Sector Demand")</f>
        <v>#REF!</v>
      </c>
      <c r="I704" s="105" t="e">
        <f t="shared" si="41"/>
        <v>#REF!</v>
      </c>
      <c r="J704" s="106" t="e">
        <f t="shared" si="42"/>
        <v>#REF!</v>
      </c>
      <c r="K704" s="107" t="e">
        <f t="shared" si="43"/>
        <v>#REF!</v>
      </c>
    </row>
    <row r="705" spans="1:11" ht="15" customHeight="1" x14ac:dyDescent="0.2">
      <c r="A705" s="104" t="s">
        <v>207</v>
      </c>
      <c r="B705" s="104" t="s">
        <v>208</v>
      </c>
      <c r="C705" s="104" t="s">
        <v>58</v>
      </c>
      <c r="D705" s="104">
        <v>2050</v>
      </c>
      <c r="E705" s="105" t="e">
        <f>SUMIFS(#REF!,#REF!,$A705,#REF!,$B705,#REF!,$C705,#REF!,"Storage Demand")</f>
        <v>#REF!</v>
      </c>
      <c r="F705" s="105" t="e">
        <f>SUMIFS(#REF!,#REF!,$A705,#REF!,$B705,#REF!,$C705,#REF!,"&lt;&gt;Other Sector Demand")</f>
        <v>#REF!</v>
      </c>
      <c r="G705" s="106" t="e">
        <f t="shared" si="40"/>
        <v>#REF!</v>
      </c>
      <c r="H705" s="105" t="e">
        <f>SUMIFS(#REF!,#REF!,$A705,#REF!,$B705,#REF!,$C705,#REF!,"Other Sector Demand")</f>
        <v>#REF!</v>
      </c>
      <c r="I705" s="105" t="e">
        <f t="shared" si="41"/>
        <v>#REF!</v>
      </c>
      <c r="J705" s="106" t="e">
        <f t="shared" si="42"/>
        <v>#REF!</v>
      </c>
      <c r="K705" s="107" t="e">
        <f t="shared" si="43"/>
        <v>#REF!</v>
      </c>
    </row>
    <row r="706" spans="1:11" ht="15" customHeight="1" x14ac:dyDescent="0.2">
      <c r="A706" s="104" t="s">
        <v>207</v>
      </c>
      <c r="B706" s="104" t="s">
        <v>208</v>
      </c>
      <c r="C706" s="104" t="s">
        <v>59</v>
      </c>
      <c r="D706" s="104">
        <v>2020</v>
      </c>
      <c r="E706" s="105" t="e">
        <f>SUMIFS(#REF!,#REF!,$A706,#REF!,$B706,#REF!,$C706,#REF!,"Storage Demand")</f>
        <v>#REF!</v>
      </c>
      <c r="F706" s="105" t="e">
        <f>SUMIFS(#REF!,#REF!,$A706,#REF!,$B706,#REF!,$C706,#REF!,"&lt;&gt;Other Sector Demand")</f>
        <v>#REF!</v>
      </c>
      <c r="G706" s="106" t="e">
        <f t="shared" ref="G706:G769" si="44">IF($F706=0,0,$E706/$F706)</f>
        <v>#REF!</v>
      </c>
      <c r="H706" s="105" t="e">
        <f>SUMIFS(#REF!,#REF!,$A706,#REF!,$B706,#REF!,$C706,#REF!,"Other Sector Demand")</f>
        <v>#REF!</v>
      </c>
      <c r="I706" s="105" t="e">
        <f t="shared" ref="I706:I769" si="45">$F706+$H706</f>
        <v>#REF!</v>
      </c>
      <c r="J706" s="106" t="e">
        <f t="shared" ref="J706:J769" si="46">IF($I706=0,0,$E706/$I706)</f>
        <v>#REF!</v>
      </c>
      <c r="K706" s="107" t="e">
        <f t="shared" ref="K706:K769" si="47">IF(SUMIFS($F$2:$F$1025,$A$2:$A$1025,$A706,$B$2:$B$1025,$B706,$C$2:$C$1025,$C706)=0,0,SUMIFS($E$2:$E$1025,$A$2:$A$1025,$A706,$B$2:$B$1025,$B706,$C$2:$C$1025,$C706)/SUMIFS($F$2:$F$1025,$A$2:$A$1025,$A706,$B$2:$B$1025,$B706,$C$2:$C$1025,$C706))</f>
        <v>#REF!</v>
      </c>
    </row>
    <row r="707" spans="1:11" ht="15" customHeight="1" x14ac:dyDescent="0.2">
      <c r="A707" s="104" t="s">
        <v>207</v>
      </c>
      <c r="B707" s="104" t="s">
        <v>208</v>
      </c>
      <c r="C707" s="104" t="s">
        <v>59</v>
      </c>
      <c r="D707" s="104">
        <v>2030</v>
      </c>
      <c r="E707" s="105" t="e">
        <f>SUMIFS(#REF!,#REF!,$A707,#REF!,$B707,#REF!,$C707,#REF!,"Storage Demand")</f>
        <v>#REF!</v>
      </c>
      <c r="F707" s="105" t="e">
        <f>SUMIFS(#REF!,#REF!,$A707,#REF!,$B707,#REF!,$C707,#REF!,"&lt;&gt;Other Sector Demand")</f>
        <v>#REF!</v>
      </c>
      <c r="G707" s="106" t="e">
        <f t="shared" si="44"/>
        <v>#REF!</v>
      </c>
      <c r="H707" s="105" t="e">
        <f>SUMIFS(#REF!,#REF!,$A707,#REF!,$B707,#REF!,$C707,#REF!,"Other Sector Demand")</f>
        <v>#REF!</v>
      </c>
      <c r="I707" s="105" t="e">
        <f t="shared" si="45"/>
        <v>#REF!</v>
      </c>
      <c r="J707" s="106" t="e">
        <f t="shared" si="46"/>
        <v>#REF!</v>
      </c>
      <c r="K707" s="107" t="e">
        <f t="shared" si="47"/>
        <v>#REF!</v>
      </c>
    </row>
    <row r="708" spans="1:11" ht="15" customHeight="1" x14ac:dyDescent="0.2">
      <c r="A708" s="104" t="s">
        <v>207</v>
      </c>
      <c r="B708" s="104" t="s">
        <v>208</v>
      </c>
      <c r="C708" s="104" t="s">
        <v>59</v>
      </c>
      <c r="D708" s="104">
        <v>2040</v>
      </c>
      <c r="E708" s="105" t="e">
        <f>SUMIFS(#REF!,#REF!,$A708,#REF!,$B708,#REF!,$C708,#REF!,"Storage Demand")</f>
        <v>#REF!</v>
      </c>
      <c r="F708" s="105" t="e">
        <f>SUMIFS(#REF!,#REF!,$A708,#REF!,$B708,#REF!,$C708,#REF!,"&lt;&gt;Other Sector Demand")</f>
        <v>#REF!</v>
      </c>
      <c r="G708" s="106" t="e">
        <f t="shared" si="44"/>
        <v>#REF!</v>
      </c>
      <c r="H708" s="105" t="e">
        <f>SUMIFS(#REF!,#REF!,$A708,#REF!,$B708,#REF!,$C708,#REF!,"Other Sector Demand")</f>
        <v>#REF!</v>
      </c>
      <c r="I708" s="105" t="e">
        <f t="shared" si="45"/>
        <v>#REF!</v>
      </c>
      <c r="J708" s="106" t="e">
        <f t="shared" si="46"/>
        <v>#REF!</v>
      </c>
      <c r="K708" s="107" t="e">
        <f t="shared" si="47"/>
        <v>#REF!</v>
      </c>
    </row>
    <row r="709" spans="1:11" ht="15" customHeight="1" x14ac:dyDescent="0.2">
      <c r="A709" s="104" t="s">
        <v>207</v>
      </c>
      <c r="B709" s="104" t="s">
        <v>208</v>
      </c>
      <c r="C709" s="104" t="s">
        <v>59</v>
      </c>
      <c r="D709" s="104">
        <v>2050</v>
      </c>
      <c r="E709" s="105" t="e">
        <f>SUMIFS(#REF!,#REF!,$A709,#REF!,$B709,#REF!,$C709,#REF!,"Storage Demand")</f>
        <v>#REF!</v>
      </c>
      <c r="F709" s="105" t="e">
        <f>SUMIFS(#REF!,#REF!,$A709,#REF!,$B709,#REF!,$C709,#REF!,"&lt;&gt;Other Sector Demand")</f>
        <v>#REF!</v>
      </c>
      <c r="G709" s="106" t="e">
        <f t="shared" si="44"/>
        <v>#REF!</v>
      </c>
      <c r="H709" s="105" t="e">
        <f>SUMIFS(#REF!,#REF!,$A709,#REF!,$B709,#REF!,$C709,#REF!,"Other Sector Demand")</f>
        <v>#REF!</v>
      </c>
      <c r="I709" s="105" t="e">
        <f t="shared" si="45"/>
        <v>#REF!</v>
      </c>
      <c r="J709" s="106" t="e">
        <f t="shared" si="46"/>
        <v>#REF!</v>
      </c>
      <c r="K709" s="107" t="e">
        <f t="shared" si="47"/>
        <v>#REF!</v>
      </c>
    </row>
    <row r="710" spans="1:11" ht="15" customHeight="1" x14ac:dyDescent="0.2">
      <c r="A710" s="104" t="s">
        <v>207</v>
      </c>
      <c r="B710" s="104" t="s">
        <v>208</v>
      </c>
      <c r="C710" s="104" t="s">
        <v>60</v>
      </c>
      <c r="D710" s="104">
        <v>2020</v>
      </c>
      <c r="E710" s="105" t="e">
        <f>SUMIFS(#REF!,#REF!,$A710,#REF!,$B710,#REF!,$C710,#REF!,"Storage Demand")</f>
        <v>#REF!</v>
      </c>
      <c r="F710" s="105" t="e">
        <f>SUMIFS(#REF!,#REF!,$A710,#REF!,$B710,#REF!,$C710,#REF!,"&lt;&gt;Other Sector Demand")</f>
        <v>#REF!</v>
      </c>
      <c r="G710" s="106" t="e">
        <f t="shared" si="44"/>
        <v>#REF!</v>
      </c>
      <c r="H710" s="105" t="e">
        <f>SUMIFS(#REF!,#REF!,$A710,#REF!,$B710,#REF!,$C710,#REF!,"Other Sector Demand")</f>
        <v>#REF!</v>
      </c>
      <c r="I710" s="105" t="e">
        <f t="shared" si="45"/>
        <v>#REF!</v>
      </c>
      <c r="J710" s="106" t="e">
        <f t="shared" si="46"/>
        <v>#REF!</v>
      </c>
      <c r="K710" s="107" t="e">
        <f t="shared" si="47"/>
        <v>#REF!</v>
      </c>
    </row>
    <row r="711" spans="1:11" ht="15" customHeight="1" x14ac:dyDescent="0.2">
      <c r="A711" s="104" t="s">
        <v>207</v>
      </c>
      <c r="B711" s="104" t="s">
        <v>208</v>
      </c>
      <c r="C711" s="104" t="s">
        <v>60</v>
      </c>
      <c r="D711" s="104">
        <v>2030</v>
      </c>
      <c r="E711" s="105" t="e">
        <f>SUMIFS(#REF!,#REF!,$A711,#REF!,$B711,#REF!,$C711,#REF!,"Storage Demand")</f>
        <v>#REF!</v>
      </c>
      <c r="F711" s="105" t="e">
        <f>SUMIFS(#REF!,#REF!,$A711,#REF!,$B711,#REF!,$C711,#REF!,"&lt;&gt;Other Sector Demand")</f>
        <v>#REF!</v>
      </c>
      <c r="G711" s="106" t="e">
        <f t="shared" si="44"/>
        <v>#REF!</v>
      </c>
      <c r="H711" s="105" t="e">
        <f>SUMIFS(#REF!,#REF!,$A711,#REF!,$B711,#REF!,$C711,#REF!,"Other Sector Demand")</f>
        <v>#REF!</v>
      </c>
      <c r="I711" s="105" t="e">
        <f t="shared" si="45"/>
        <v>#REF!</v>
      </c>
      <c r="J711" s="106" t="e">
        <f t="shared" si="46"/>
        <v>#REF!</v>
      </c>
      <c r="K711" s="107" t="e">
        <f t="shared" si="47"/>
        <v>#REF!</v>
      </c>
    </row>
    <row r="712" spans="1:11" ht="15" customHeight="1" x14ac:dyDescent="0.2">
      <c r="A712" s="104" t="s">
        <v>207</v>
      </c>
      <c r="B712" s="104" t="s">
        <v>208</v>
      </c>
      <c r="C712" s="104" t="s">
        <v>60</v>
      </c>
      <c r="D712" s="104">
        <v>2040</v>
      </c>
      <c r="E712" s="105" t="e">
        <f>SUMIFS(#REF!,#REF!,$A712,#REF!,$B712,#REF!,$C712,#REF!,"Storage Demand")</f>
        <v>#REF!</v>
      </c>
      <c r="F712" s="105" t="e">
        <f>SUMIFS(#REF!,#REF!,$A712,#REF!,$B712,#REF!,$C712,#REF!,"&lt;&gt;Other Sector Demand")</f>
        <v>#REF!</v>
      </c>
      <c r="G712" s="106" t="e">
        <f t="shared" si="44"/>
        <v>#REF!</v>
      </c>
      <c r="H712" s="105" t="e">
        <f>SUMIFS(#REF!,#REF!,$A712,#REF!,$B712,#REF!,$C712,#REF!,"Other Sector Demand")</f>
        <v>#REF!</v>
      </c>
      <c r="I712" s="105" t="e">
        <f t="shared" si="45"/>
        <v>#REF!</v>
      </c>
      <c r="J712" s="106" t="e">
        <f t="shared" si="46"/>
        <v>#REF!</v>
      </c>
      <c r="K712" s="107" t="e">
        <f t="shared" si="47"/>
        <v>#REF!</v>
      </c>
    </row>
    <row r="713" spans="1:11" ht="15" customHeight="1" x14ac:dyDescent="0.2">
      <c r="A713" s="104" t="s">
        <v>207</v>
      </c>
      <c r="B713" s="104" t="s">
        <v>208</v>
      </c>
      <c r="C713" s="104" t="s">
        <v>60</v>
      </c>
      <c r="D713" s="104">
        <v>2050</v>
      </c>
      <c r="E713" s="105" t="e">
        <f>SUMIFS(#REF!,#REF!,$A713,#REF!,$B713,#REF!,$C713,#REF!,"Storage Demand")</f>
        <v>#REF!</v>
      </c>
      <c r="F713" s="105" t="e">
        <f>SUMIFS(#REF!,#REF!,$A713,#REF!,$B713,#REF!,$C713,#REF!,"&lt;&gt;Other Sector Demand")</f>
        <v>#REF!</v>
      </c>
      <c r="G713" s="106" t="e">
        <f t="shared" si="44"/>
        <v>#REF!</v>
      </c>
      <c r="H713" s="105" t="e">
        <f>SUMIFS(#REF!,#REF!,$A713,#REF!,$B713,#REF!,$C713,#REF!,"Other Sector Demand")</f>
        <v>#REF!</v>
      </c>
      <c r="I713" s="105" t="e">
        <f t="shared" si="45"/>
        <v>#REF!</v>
      </c>
      <c r="J713" s="106" t="e">
        <f t="shared" si="46"/>
        <v>#REF!</v>
      </c>
      <c r="K713" s="107" t="e">
        <f t="shared" si="47"/>
        <v>#REF!</v>
      </c>
    </row>
    <row r="714" spans="1:11" ht="15" customHeight="1" x14ac:dyDescent="0.2">
      <c r="A714" s="104" t="s">
        <v>207</v>
      </c>
      <c r="B714" s="104" t="s">
        <v>208</v>
      </c>
      <c r="C714" s="104" t="s">
        <v>61</v>
      </c>
      <c r="D714" s="104">
        <v>2020</v>
      </c>
      <c r="E714" s="105" t="e">
        <f>SUMIFS(#REF!,#REF!,$A714,#REF!,$B714,#REF!,$C714,#REF!,"Storage Demand")</f>
        <v>#REF!</v>
      </c>
      <c r="F714" s="105" t="e">
        <f>SUMIFS(#REF!,#REF!,$A714,#REF!,$B714,#REF!,$C714,#REF!,"&lt;&gt;Other Sector Demand")</f>
        <v>#REF!</v>
      </c>
      <c r="G714" s="106" t="e">
        <f t="shared" si="44"/>
        <v>#REF!</v>
      </c>
      <c r="H714" s="105" t="e">
        <f>SUMIFS(#REF!,#REF!,$A714,#REF!,$B714,#REF!,$C714,#REF!,"Other Sector Demand")</f>
        <v>#REF!</v>
      </c>
      <c r="I714" s="105" t="e">
        <f t="shared" si="45"/>
        <v>#REF!</v>
      </c>
      <c r="J714" s="106" t="e">
        <f t="shared" si="46"/>
        <v>#REF!</v>
      </c>
      <c r="K714" s="107" t="e">
        <f t="shared" si="47"/>
        <v>#REF!</v>
      </c>
    </row>
    <row r="715" spans="1:11" ht="15" customHeight="1" x14ac:dyDescent="0.2">
      <c r="A715" s="104" t="s">
        <v>207</v>
      </c>
      <c r="B715" s="104" t="s">
        <v>208</v>
      </c>
      <c r="C715" s="104" t="s">
        <v>61</v>
      </c>
      <c r="D715" s="104">
        <v>2030</v>
      </c>
      <c r="E715" s="105" t="e">
        <f>SUMIFS(#REF!,#REF!,$A715,#REF!,$B715,#REF!,$C715,#REF!,"Storage Demand")</f>
        <v>#REF!</v>
      </c>
      <c r="F715" s="105" t="e">
        <f>SUMIFS(#REF!,#REF!,$A715,#REF!,$B715,#REF!,$C715,#REF!,"&lt;&gt;Other Sector Demand")</f>
        <v>#REF!</v>
      </c>
      <c r="G715" s="106" t="e">
        <f t="shared" si="44"/>
        <v>#REF!</v>
      </c>
      <c r="H715" s="105" t="e">
        <f>SUMIFS(#REF!,#REF!,$A715,#REF!,$B715,#REF!,$C715,#REF!,"Other Sector Demand")</f>
        <v>#REF!</v>
      </c>
      <c r="I715" s="105" t="e">
        <f t="shared" si="45"/>
        <v>#REF!</v>
      </c>
      <c r="J715" s="106" t="e">
        <f t="shared" si="46"/>
        <v>#REF!</v>
      </c>
      <c r="K715" s="107" t="e">
        <f t="shared" si="47"/>
        <v>#REF!</v>
      </c>
    </row>
    <row r="716" spans="1:11" ht="15" customHeight="1" x14ac:dyDescent="0.2">
      <c r="A716" s="104" t="s">
        <v>207</v>
      </c>
      <c r="B716" s="104" t="s">
        <v>208</v>
      </c>
      <c r="C716" s="104" t="s">
        <v>61</v>
      </c>
      <c r="D716" s="104">
        <v>2040</v>
      </c>
      <c r="E716" s="105" t="e">
        <f>SUMIFS(#REF!,#REF!,$A716,#REF!,$B716,#REF!,$C716,#REF!,"Storage Demand")</f>
        <v>#REF!</v>
      </c>
      <c r="F716" s="105" t="e">
        <f>SUMIFS(#REF!,#REF!,$A716,#REF!,$B716,#REF!,$C716,#REF!,"&lt;&gt;Other Sector Demand")</f>
        <v>#REF!</v>
      </c>
      <c r="G716" s="106" t="e">
        <f t="shared" si="44"/>
        <v>#REF!</v>
      </c>
      <c r="H716" s="105" t="e">
        <f>SUMIFS(#REF!,#REF!,$A716,#REF!,$B716,#REF!,$C716,#REF!,"Other Sector Demand")</f>
        <v>#REF!</v>
      </c>
      <c r="I716" s="105" t="e">
        <f t="shared" si="45"/>
        <v>#REF!</v>
      </c>
      <c r="J716" s="106" t="e">
        <f t="shared" si="46"/>
        <v>#REF!</v>
      </c>
      <c r="K716" s="107" t="e">
        <f t="shared" si="47"/>
        <v>#REF!</v>
      </c>
    </row>
    <row r="717" spans="1:11" ht="15" customHeight="1" x14ac:dyDescent="0.2">
      <c r="A717" s="104" t="s">
        <v>207</v>
      </c>
      <c r="B717" s="104" t="s">
        <v>208</v>
      </c>
      <c r="C717" s="104" t="s">
        <v>61</v>
      </c>
      <c r="D717" s="104">
        <v>2050</v>
      </c>
      <c r="E717" s="105" t="e">
        <f>SUMIFS(#REF!,#REF!,$A717,#REF!,$B717,#REF!,$C717,#REF!,"Storage Demand")</f>
        <v>#REF!</v>
      </c>
      <c r="F717" s="105" t="e">
        <f>SUMIFS(#REF!,#REF!,$A717,#REF!,$B717,#REF!,$C717,#REF!,"&lt;&gt;Other Sector Demand")</f>
        <v>#REF!</v>
      </c>
      <c r="G717" s="106" t="e">
        <f t="shared" si="44"/>
        <v>#REF!</v>
      </c>
      <c r="H717" s="105" t="e">
        <f>SUMIFS(#REF!,#REF!,$A717,#REF!,$B717,#REF!,$C717,#REF!,"Other Sector Demand")</f>
        <v>#REF!</v>
      </c>
      <c r="I717" s="105" t="e">
        <f t="shared" si="45"/>
        <v>#REF!</v>
      </c>
      <c r="J717" s="106" t="e">
        <f t="shared" si="46"/>
        <v>#REF!</v>
      </c>
      <c r="K717" s="107" t="e">
        <f t="shared" si="47"/>
        <v>#REF!</v>
      </c>
    </row>
    <row r="718" spans="1:11" ht="15" customHeight="1" x14ac:dyDescent="0.2">
      <c r="A718" s="104" t="s">
        <v>207</v>
      </c>
      <c r="B718" s="104" t="s">
        <v>208</v>
      </c>
      <c r="C718" s="104" t="s">
        <v>64</v>
      </c>
      <c r="D718" s="104">
        <v>2020</v>
      </c>
      <c r="E718" s="105" t="e">
        <f>SUMIFS(#REF!,#REF!,$A718,#REF!,$B718,#REF!,$C718,#REF!,"Storage Demand")</f>
        <v>#REF!</v>
      </c>
      <c r="F718" s="105" t="e">
        <f>SUMIFS(#REF!,#REF!,$A718,#REF!,$B718,#REF!,$C718,#REF!,"&lt;&gt;Other Sector Demand")</f>
        <v>#REF!</v>
      </c>
      <c r="G718" s="106" t="e">
        <f t="shared" si="44"/>
        <v>#REF!</v>
      </c>
      <c r="H718" s="105" t="e">
        <f>SUMIFS(#REF!,#REF!,$A718,#REF!,$B718,#REF!,$C718,#REF!,"Other Sector Demand")</f>
        <v>#REF!</v>
      </c>
      <c r="I718" s="105" t="e">
        <f t="shared" si="45"/>
        <v>#REF!</v>
      </c>
      <c r="J718" s="106" t="e">
        <f t="shared" si="46"/>
        <v>#REF!</v>
      </c>
      <c r="K718" s="107" t="e">
        <f t="shared" si="47"/>
        <v>#REF!</v>
      </c>
    </row>
    <row r="719" spans="1:11" ht="15" customHeight="1" x14ac:dyDescent="0.2">
      <c r="A719" s="104" t="s">
        <v>207</v>
      </c>
      <c r="B719" s="104" t="s">
        <v>208</v>
      </c>
      <c r="C719" s="104" t="s">
        <v>64</v>
      </c>
      <c r="D719" s="104">
        <v>2030</v>
      </c>
      <c r="E719" s="105" t="e">
        <f>SUMIFS(#REF!,#REF!,$A719,#REF!,$B719,#REF!,$C719,#REF!,"Storage Demand")</f>
        <v>#REF!</v>
      </c>
      <c r="F719" s="105" t="e">
        <f>SUMIFS(#REF!,#REF!,$A719,#REF!,$B719,#REF!,$C719,#REF!,"&lt;&gt;Other Sector Demand")</f>
        <v>#REF!</v>
      </c>
      <c r="G719" s="106" t="e">
        <f t="shared" si="44"/>
        <v>#REF!</v>
      </c>
      <c r="H719" s="105" t="e">
        <f>SUMIFS(#REF!,#REF!,$A719,#REF!,$B719,#REF!,$C719,#REF!,"Other Sector Demand")</f>
        <v>#REF!</v>
      </c>
      <c r="I719" s="105" t="e">
        <f t="shared" si="45"/>
        <v>#REF!</v>
      </c>
      <c r="J719" s="106" t="e">
        <f t="shared" si="46"/>
        <v>#REF!</v>
      </c>
      <c r="K719" s="107" t="e">
        <f t="shared" si="47"/>
        <v>#REF!</v>
      </c>
    </row>
    <row r="720" spans="1:11" ht="15" customHeight="1" x14ac:dyDescent="0.2">
      <c r="A720" s="104" t="s">
        <v>207</v>
      </c>
      <c r="B720" s="104" t="s">
        <v>208</v>
      </c>
      <c r="C720" s="104" t="s">
        <v>64</v>
      </c>
      <c r="D720" s="104">
        <v>2040</v>
      </c>
      <c r="E720" s="105" t="e">
        <f>SUMIFS(#REF!,#REF!,$A720,#REF!,$B720,#REF!,$C720,#REF!,"Storage Demand")</f>
        <v>#REF!</v>
      </c>
      <c r="F720" s="105" t="e">
        <f>SUMIFS(#REF!,#REF!,$A720,#REF!,$B720,#REF!,$C720,#REF!,"&lt;&gt;Other Sector Demand")</f>
        <v>#REF!</v>
      </c>
      <c r="G720" s="106" t="e">
        <f t="shared" si="44"/>
        <v>#REF!</v>
      </c>
      <c r="H720" s="105" t="e">
        <f>SUMIFS(#REF!,#REF!,$A720,#REF!,$B720,#REF!,$C720,#REF!,"Other Sector Demand")</f>
        <v>#REF!</v>
      </c>
      <c r="I720" s="105" t="e">
        <f t="shared" si="45"/>
        <v>#REF!</v>
      </c>
      <c r="J720" s="106" t="e">
        <f t="shared" si="46"/>
        <v>#REF!</v>
      </c>
      <c r="K720" s="107" t="e">
        <f t="shared" si="47"/>
        <v>#REF!</v>
      </c>
    </row>
    <row r="721" spans="1:11" ht="15" customHeight="1" x14ac:dyDescent="0.2">
      <c r="A721" s="104" t="s">
        <v>207</v>
      </c>
      <c r="B721" s="104" t="s">
        <v>208</v>
      </c>
      <c r="C721" s="104" t="s">
        <v>64</v>
      </c>
      <c r="D721" s="104">
        <v>2050</v>
      </c>
      <c r="E721" s="105" t="e">
        <f>SUMIFS(#REF!,#REF!,$A721,#REF!,$B721,#REF!,$C721,#REF!,"Storage Demand")</f>
        <v>#REF!</v>
      </c>
      <c r="F721" s="105" t="e">
        <f>SUMIFS(#REF!,#REF!,$A721,#REF!,$B721,#REF!,$C721,#REF!,"&lt;&gt;Other Sector Demand")</f>
        <v>#REF!</v>
      </c>
      <c r="G721" s="106" t="e">
        <f t="shared" si="44"/>
        <v>#REF!</v>
      </c>
      <c r="H721" s="105" t="e">
        <f>SUMIFS(#REF!,#REF!,$A721,#REF!,$B721,#REF!,$C721,#REF!,"Other Sector Demand")</f>
        <v>#REF!</v>
      </c>
      <c r="I721" s="105" t="e">
        <f t="shared" si="45"/>
        <v>#REF!</v>
      </c>
      <c r="J721" s="106" t="e">
        <f t="shared" si="46"/>
        <v>#REF!</v>
      </c>
      <c r="K721" s="107" t="e">
        <f t="shared" si="47"/>
        <v>#REF!</v>
      </c>
    </row>
    <row r="722" spans="1:11" ht="15" customHeight="1" x14ac:dyDescent="0.2">
      <c r="A722" s="104" t="s">
        <v>207</v>
      </c>
      <c r="B722" s="104" t="s">
        <v>208</v>
      </c>
      <c r="C722" s="104" t="s">
        <v>66</v>
      </c>
      <c r="D722" s="104">
        <v>2020</v>
      </c>
      <c r="E722" s="105" t="e">
        <f>SUMIFS(#REF!,#REF!,$A722,#REF!,$B722,#REF!,$C722,#REF!,"Storage Demand")</f>
        <v>#REF!</v>
      </c>
      <c r="F722" s="105" t="e">
        <f>SUMIFS(#REF!,#REF!,$A722,#REF!,$B722,#REF!,$C722,#REF!,"&lt;&gt;Other Sector Demand")</f>
        <v>#REF!</v>
      </c>
      <c r="G722" s="106" t="e">
        <f t="shared" si="44"/>
        <v>#REF!</v>
      </c>
      <c r="H722" s="105" t="e">
        <f>SUMIFS(#REF!,#REF!,$A722,#REF!,$B722,#REF!,$C722,#REF!,"Other Sector Demand")</f>
        <v>#REF!</v>
      </c>
      <c r="I722" s="105" t="e">
        <f t="shared" si="45"/>
        <v>#REF!</v>
      </c>
      <c r="J722" s="106" t="e">
        <f t="shared" si="46"/>
        <v>#REF!</v>
      </c>
      <c r="K722" s="107" t="e">
        <f t="shared" si="47"/>
        <v>#REF!</v>
      </c>
    </row>
    <row r="723" spans="1:11" ht="15" customHeight="1" x14ac:dyDescent="0.2">
      <c r="A723" s="104" t="s">
        <v>207</v>
      </c>
      <c r="B723" s="104" t="s">
        <v>208</v>
      </c>
      <c r="C723" s="104" t="s">
        <v>66</v>
      </c>
      <c r="D723" s="104">
        <v>2030</v>
      </c>
      <c r="E723" s="105" t="e">
        <f>SUMIFS(#REF!,#REF!,$A723,#REF!,$B723,#REF!,$C723,#REF!,"Storage Demand")</f>
        <v>#REF!</v>
      </c>
      <c r="F723" s="105" t="e">
        <f>SUMIFS(#REF!,#REF!,$A723,#REF!,$B723,#REF!,$C723,#REF!,"&lt;&gt;Other Sector Demand")</f>
        <v>#REF!</v>
      </c>
      <c r="G723" s="106" t="e">
        <f t="shared" si="44"/>
        <v>#REF!</v>
      </c>
      <c r="H723" s="105" t="e">
        <f>SUMIFS(#REF!,#REF!,$A723,#REF!,$B723,#REF!,$C723,#REF!,"Other Sector Demand")</f>
        <v>#REF!</v>
      </c>
      <c r="I723" s="105" t="e">
        <f t="shared" si="45"/>
        <v>#REF!</v>
      </c>
      <c r="J723" s="106" t="e">
        <f t="shared" si="46"/>
        <v>#REF!</v>
      </c>
      <c r="K723" s="107" t="e">
        <f t="shared" si="47"/>
        <v>#REF!</v>
      </c>
    </row>
    <row r="724" spans="1:11" ht="15" customHeight="1" x14ac:dyDescent="0.2">
      <c r="A724" s="104" t="s">
        <v>207</v>
      </c>
      <c r="B724" s="104" t="s">
        <v>208</v>
      </c>
      <c r="C724" s="104" t="s">
        <v>66</v>
      </c>
      <c r="D724" s="104">
        <v>2040</v>
      </c>
      <c r="E724" s="105" t="e">
        <f>SUMIFS(#REF!,#REF!,$A724,#REF!,$B724,#REF!,$C724,#REF!,"Storage Demand")</f>
        <v>#REF!</v>
      </c>
      <c r="F724" s="105" t="e">
        <f>SUMIFS(#REF!,#REF!,$A724,#REF!,$B724,#REF!,$C724,#REF!,"&lt;&gt;Other Sector Demand")</f>
        <v>#REF!</v>
      </c>
      <c r="G724" s="106" t="e">
        <f t="shared" si="44"/>
        <v>#REF!</v>
      </c>
      <c r="H724" s="105" t="e">
        <f>SUMIFS(#REF!,#REF!,$A724,#REF!,$B724,#REF!,$C724,#REF!,"Other Sector Demand")</f>
        <v>#REF!</v>
      </c>
      <c r="I724" s="105" t="e">
        <f t="shared" si="45"/>
        <v>#REF!</v>
      </c>
      <c r="J724" s="106" t="e">
        <f t="shared" si="46"/>
        <v>#REF!</v>
      </c>
      <c r="K724" s="107" t="e">
        <f t="shared" si="47"/>
        <v>#REF!</v>
      </c>
    </row>
    <row r="725" spans="1:11" ht="15" customHeight="1" x14ac:dyDescent="0.2">
      <c r="A725" s="104" t="s">
        <v>207</v>
      </c>
      <c r="B725" s="104" t="s">
        <v>208</v>
      </c>
      <c r="C725" s="104" t="s">
        <v>66</v>
      </c>
      <c r="D725" s="104">
        <v>2050</v>
      </c>
      <c r="E725" s="105" t="e">
        <f>SUMIFS(#REF!,#REF!,$A725,#REF!,$B725,#REF!,$C725,#REF!,"Storage Demand")</f>
        <v>#REF!</v>
      </c>
      <c r="F725" s="105" t="e">
        <f>SUMIFS(#REF!,#REF!,$A725,#REF!,$B725,#REF!,$C725,#REF!,"&lt;&gt;Other Sector Demand")</f>
        <v>#REF!</v>
      </c>
      <c r="G725" s="106" t="e">
        <f t="shared" si="44"/>
        <v>#REF!</v>
      </c>
      <c r="H725" s="105" t="e">
        <f>SUMIFS(#REF!,#REF!,$A725,#REF!,$B725,#REF!,$C725,#REF!,"Other Sector Demand")</f>
        <v>#REF!</v>
      </c>
      <c r="I725" s="105" t="e">
        <f t="shared" si="45"/>
        <v>#REF!</v>
      </c>
      <c r="J725" s="106" t="e">
        <f t="shared" si="46"/>
        <v>#REF!</v>
      </c>
      <c r="K725" s="107" t="e">
        <f t="shared" si="47"/>
        <v>#REF!</v>
      </c>
    </row>
    <row r="726" spans="1:11" ht="15" customHeight="1" x14ac:dyDescent="0.2">
      <c r="A726" s="104" t="s">
        <v>207</v>
      </c>
      <c r="B726" s="104" t="s">
        <v>208</v>
      </c>
      <c r="C726" s="104" t="s">
        <v>67</v>
      </c>
      <c r="D726" s="104">
        <v>2020</v>
      </c>
      <c r="E726" s="105" t="e">
        <f>SUMIFS(#REF!,#REF!,$A726,#REF!,$B726,#REF!,$C726,#REF!,"Storage Demand")</f>
        <v>#REF!</v>
      </c>
      <c r="F726" s="105" t="e">
        <f>SUMIFS(#REF!,#REF!,$A726,#REF!,$B726,#REF!,$C726,#REF!,"&lt;&gt;Other Sector Demand")</f>
        <v>#REF!</v>
      </c>
      <c r="G726" s="106" t="e">
        <f t="shared" si="44"/>
        <v>#REF!</v>
      </c>
      <c r="H726" s="105" t="e">
        <f>SUMIFS(#REF!,#REF!,$A726,#REF!,$B726,#REF!,$C726,#REF!,"Other Sector Demand")</f>
        <v>#REF!</v>
      </c>
      <c r="I726" s="105" t="e">
        <f t="shared" si="45"/>
        <v>#REF!</v>
      </c>
      <c r="J726" s="106" t="e">
        <f t="shared" si="46"/>
        <v>#REF!</v>
      </c>
      <c r="K726" s="107" t="e">
        <f t="shared" si="47"/>
        <v>#REF!</v>
      </c>
    </row>
    <row r="727" spans="1:11" ht="15" customHeight="1" x14ac:dyDescent="0.2">
      <c r="A727" s="104" t="s">
        <v>207</v>
      </c>
      <c r="B727" s="104" t="s">
        <v>208</v>
      </c>
      <c r="C727" s="104" t="s">
        <v>67</v>
      </c>
      <c r="D727" s="104">
        <v>2030</v>
      </c>
      <c r="E727" s="105" t="e">
        <f>SUMIFS(#REF!,#REF!,$A727,#REF!,$B727,#REF!,$C727,#REF!,"Storage Demand")</f>
        <v>#REF!</v>
      </c>
      <c r="F727" s="105" t="e">
        <f>SUMIFS(#REF!,#REF!,$A727,#REF!,$B727,#REF!,$C727,#REF!,"&lt;&gt;Other Sector Demand")</f>
        <v>#REF!</v>
      </c>
      <c r="G727" s="106" t="e">
        <f t="shared" si="44"/>
        <v>#REF!</v>
      </c>
      <c r="H727" s="105" t="e">
        <f>SUMIFS(#REF!,#REF!,$A727,#REF!,$B727,#REF!,$C727,#REF!,"Other Sector Demand")</f>
        <v>#REF!</v>
      </c>
      <c r="I727" s="105" t="e">
        <f t="shared" si="45"/>
        <v>#REF!</v>
      </c>
      <c r="J727" s="106" t="e">
        <f t="shared" si="46"/>
        <v>#REF!</v>
      </c>
      <c r="K727" s="107" t="e">
        <f t="shared" si="47"/>
        <v>#REF!</v>
      </c>
    </row>
    <row r="728" spans="1:11" ht="15" customHeight="1" x14ac:dyDescent="0.2">
      <c r="A728" s="104" t="s">
        <v>207</v>
      </c>
      <c r="B728" s="104" t="s">
        <v>208</v>
      </c>
      <c r="C728" s="104" t="s">
        <v>67</v>
      </c>
      <c r="D728" s="104">
        <v>2040</v>
      </c>
      <c r="E728" s="105" t="e">
        <f>SUMIFS(#REF!,#REF!,$A728,#REF!,$B728,#REF!,$C728,#REF!,"Storage Demand")</f>
        <v>#REF!</v>
      </c>
      <c r="F728" s="105" t="e">
        <f>SUMIFS(#REF!,#REF!,$A728,#REF!,$B728,#REF!,$C728,#REF!,"&lt;&gt;Other Sector Demand")</f>
        <v>#REF!</v>
      </c>
      <c r="G728" s="106" t="e">
        <f t="shared" si="44"/>
        <v>#REF!</v>
      </c>
      <c r="H728" s="105" t="e">
        <f>SUMIFS(#REF!,#REF!,$A728,#REF!,$B728,#REF!,$C728,#REF!,"Other Sector Demand")</f>
        <v>#REF!</v>
      </c>
      <c r="I728" s="105" t="e">
        <f t="shared" si="45"/>
        <v>#REF!</v>
      </c>
      <c r="J728" s="106" t="e">
        <f t="shared" si="46"/>
        <v>#REF!</v>
      </c>
      <c r="K728" s="107" t="e">
        <f t="shared" si="47"/>
        <v>#REF!</v>
      </c>
    </row>
    <row r="729" spans="1:11" ht="15" customHeight="1" x14ac:dyDescent="0.2">
      <c r="A729" s="104" t="s">
        <v>207</v>
      </c>
      <c r="B729" s="104" t="s">
        <v>208</v>
      </c>
      <c r="C729" s="104" t="s">
        <v>67</v>
      </c>
      <c r="D729" s="104">
        <v>2050</v>
      </c>
      <c r="E729" s="105" t="e">
        <f>SUMIFS(#REF!,#REF!,$A729,#REF!,$B729,#REF!,$C729,#REF!,"Storage Demand")</f>
        <v>#REF!</v>
      </c>
      <c r="F729" s="105" t="e">
        <f>SUMIFS(#REF!,#REF!,$A729,#REF!,$B729,#REF!,$C729,#REF!,"&lt;&gt;Other Sector Demand")</f>
        <v>#REF!</v>
      </c>
      <c r="G729" s="106" t="e">
        <f t="shared" si="44"/>
        <v>#REF!</v>
      </c>
      <c r="H729" s="105" t="e">
        <f>SUMIFS(#REF!,#REF!,$A729,#REF!,$B729,#REF!,$C729,#REF!,"Other Sector Demand")</f>
        <v>#REF!</v>
      </c>
      <c r="I729" s="105" t="e">
        <f t="shared" si="45"/>
        <v>#REF!</v>
      </c>
      <c r="J729" s="106" t="e">
        <f t="shared" si="46"/>
        <v>#REF!</v>
      </c>
      <c r="K729" s="107" t="e">
        <f t="shared" si="47"/>
        <v>#REF!</v>
      </c>
    </row>
    <row r="730" spans="1:11" ht="15" customHeight="1" x14ac:dyDescent="0.2">
      <c r="A730" s="104" t="s">
        <v>207</v>
      </c>
      <c r="B730" s="104" t="s">
        <v>208</v>
      </c>
      <c r="C730" s="104" t="s">
        <v>68</v>
      </c>
      <c r="D730" s="104">
        <v>2020</v>
      </c>
      <c r="E730" s="105" t="e">
        <f>SUMIFS(#REF!,#REF!,$A730,#REF!,$B730,#REF!,$C730,#REF!,"Storage Demand")</f>
        <v>#REF!</v>
      </c>
      <c r="F730" s="105" t="e">
        <f>SUMIFS(#REF!,#REF!,$A730,#REF!,$B730,#REF!,$C730,#REF!,"&lt;&gt;Other Sector Demand")</f>
        <v>#REF!</v>
      </c>
      <c r="G730" s="106" t="e">
        <f t="shared" si="44"/>
        <v>#REF!</v>
      </c>
      <c r="H730" s="105" t="e">
        <f>SUMIFS(#REF!,#REF!,$A730,#REF!,$B730,#REF!,$C730,#REF!,"Other Sector Demand")</f>
        <v>#REF!</v>
      </c>
      <c r="I730" s="105" t="e">
        <f t="shared" si="45"/>
        <v>#REF!</v>
      </c>
      <c r="J730" s="106" t="e">
        <f t="shared" si="46"/>
        <v>#REF!</v>
      </c>
      <c r="K730" s="107" t="e">
        <f t="shared" si="47"/>
        <v>#REF!</v>
      </c>
    </row>
    <row r="731" spans="1:11" ht="15" customHeight="1" x14ac:dyDescent="0.2">
      <c r="A731" s="104" t="s">
        <v>207</v>
      </c>
      <c r="B731" s="104" t="s">
        <v>208</v>
      </c>
      <c r="C731" s="104" t="s">
        <v>68</v>
      </c>
      <c r="D731" s="104">
        <v>2030</v>
      </c>
      <c r="E731" s="105" t="e">
        <f>SUMIFS(#REF!,#REF!,$A731,#REF!,$B731,#REF!,$C731,#REF!,"Storage Demand")</f>
        <v>#REF!</v>
      </c>
      <c r="F731" s="105" t="e">
        <f>SUMIFS(#REF!,#REF!,$A731,#REF!,$B731,#REF!,$C731,#REF!,"&lt;&gt;Other Sector Demand")</f>
        <v>#REF!</v>
      </c>
      <c r="G731" s="106" t="e">
        <f t="shared" si="44"/>
        <v>#REF!</v>
      </c>
      <c r="H731" s="105" t="e">
        <f>SUMIFS(#REF!,#REF!,$A731,#REF!,$B731,#REF!,$C731,#REF!,"Other Sector Demand")</f>
        <v>#REF!</v>
      </c>
      <c r="I731" s="105" t="e">
        <f t="shared" si="45"/>
        <v>#REF!</v>
      </c>
      <c r="J731" s="106" t="e">
        <f t="shared" si="46"/>
        <v>#REF!</v>
      </c>
      <c r="K731" s="107" t="e">
        <f t="shared" si="47"/>
        <v>#REF!</v>
      </c>
    </row>
    <row r="732" spans="1:11" ht="15" customHeight="1" x14ac:dyDescent="0.2">
      <c r="A732" s="104" t="s">
        <v>207</v>
      </c>
      <c r="B732" s="104" t="s">
        <v>208</v>
      </c>
      <c r="C732" s="104" t="s">
        <v>68</v>
      </c>
      <c r="D732" s="104">
        <v>2040</v>
      </c>
      <c r="E732" s="105" t="e">
        <f>SUMIFS(#REF!,#REF!,$A732,#REF!,$B732,#REF!,$C732,#REF!,"Storage Demand")</f>
        <v>#REF!</v>
      </c>
      <c r="F732" s="105" t="e">
        <f>SUMIFS(#REF!,#REF!,$A732,#REF!,$B732,#REF!,$C732,#REF!,"&lt;&gt;Other Sector Demand")</f>
        <v>#REF!</v>
      </c>
      <c r="G732" s="106" t="e">
        <f t="shared" si="44"/>
        <v>#REF!</v>
      </c>
      <c r="H732" s="105" t="e">
        <f>SUMIFS(#REF!,#REF!,$A732,#REF!,$B732,#REF!,$C732,#REF!,"Other Sector Demand")</f>
        <v>#REF!</v>
      </c>
      <c r="I732" s="105" t="e">
        <f t="shared" si="45"/>
        <v>#REF!</v>
      </c>
      <c r="J732" s="106" t="e">
        <f t="shared" si="46"/>
        <v>#REF!</v>
      </c>
      <c r="K732" s="107" t="e">
        <f t="shared" si="47"/>
        <v>#REF!</v>
      </c>
    </row>
    <row r="733" spans="1:11" ht="15" customHeight="1" x14ac:dyDescent="0.2">
      <c r="A733" s="104" t="s">
        <v>207</v>
      </c>
      <c r="B733" s="104" t="s">
        <v>208</v>
      </c>
      <c r="C733" s="104" t="s">
        <v>68</v>
      </c>
      <c r="D733" s="104">
        <v>2050</v>
      </c>
      <c r="E733" s="105" t="e">
        <f>SUMIFS(#REF!,#REF!,$A733,#REF!,$B733,#REF!,$C733,#REF!,"Storage Demand")</f>
        <v>#REF!</v>
      </c>
      <c r="F733" s="105" t="e">
        <f>SUMIFS(#REF!,#REF!,$A733,#REF!,$B733,#REF!,$C733,#REF!,"&lt;&gt;Other Sector Demand")</f>
        <v>#REF!</v>
      </c>
      <c r="G733" s="106" t="e">
        <f t="shared" si="44"/>
        <v>#REF!</v>
      </c>
      <c r="H733" s="105" t="e">
        <f>SUMIFS(#REF!,#REF!,$A733,#REF!,$B733,#REF!,$C733,#REF!,"Other Sector Demand")</f>
        <v>#REF!</v>
      </c>
      <c r="I733" s="105" t="e">
        <f t="shared" si="45"/>
        <v>#REF!</v>
      </c>
      <c r="J733" s="106" t="e">
        <f t="shared" si="46"/>
        <v>#REF!</v>
      </c>
      <c r="K733" s="107" t="e">
        <f t="shared" si="47"/>
        <v>#REF!</v>
      </c>
    </row>
    <row r="734" spans="1:11" ht="15" customHeight="1" x14ac:dyDescent="0.2">
      <c r="A734" s="104" t="s">
        <v>207</v>
      </c>
      <c r="B734" s="104" t="s">
        <v>208</v>
      </c>
      <c r="C734" s="104" t="s">
        <v>69</v>
      </c>
      <c r="D734" s="104">
        <v>2020</v>
      </c>
      <c r="E734" s="105" t="e">
        <f>SUMIFS(#REF!,#REF!,$A734,#REF!,$B734,#REF!,$C734,#REF!,"Storage Demand")</f>
        <v>#REF!</v>
      </c>
      <c r="F734" s="105" t="e">
        <f>SUMIFS(#REF!,#REF!,$A734,#REF!,$B734,#REF!,$C734,#REF!,"&lt;&gt;Other Sector Demand")</f>
        <v>#REF!</v>
      </c>
      <c r="G734" s="106" t="e">
        <f t="shared" si="44"/>
        <v>#REF!</v>
      </c>
      <c r="H734" s="105" t="e">
        <f>SUMIFS(#REF!,#REF!,$A734,#REF!,$B734,#REF!,$C734,#REF!,"Other Sector Demand")</f>
        <v>#REF!</v>
      </c>
      <c r="I734" s="105" t="e">
        <f t="shared" si="45"/>
        <v>#REF!</v>
      </c>
      <c r="J734" s="106" t="e">
        <f t="shared" si="46"/>
        <v>#REF!</v>
      </c>
      <c r="K734" s="107" t="e">
        <f t="shared" si="47"/>
        <v>#REF!</v>
      </c>
    </row>
    <row r="735" spans="1:11" ht="15" customHeight="1" x14ac:dyDescent="0.2">
      <c r="A735" s="104" t="s">
        <v>207</v>
      </c>
      <c r="B735" s="104" t="s">
        <v>208</v>
      </c>
      <c r="C735" s="104" t="s">
        <v>69</v>
      </c>
      <c r="D735" s="104">
        <v>2030</v>
      </c>
      <c r="E735" s="105" t="e">
        <f>SUMIFS(#REF!,#REF!,$A735,#REF!,$B735,#REF!,$C735,#REF!,"Storage Demand")</f>
        <v>#REF!</v>
      </c>
      <c r="F735" s="105" t="e">
        <f>SUMIFS(#REF!,#REF!,$A735,#REF!,$B735,#REF!,$C735,#REF!,"&lt;&gt;Other Sector Demand")</f>
        <v>#REF!</v>
      </c>
      <c r="G735" s="106" t="e">
        <f t="shared" si="44"/>
        <v>#REF!</v>
      </c>
      <c r="H735" s="105" t="e">
        <f>SUMIFS(#REF!,#REF!,$A735,#REF!,$B735,#REF!,$C735,#REF!,"Other Sector Demand")</f>
        <v>#REF!</v>
      </c>
      <c r="I735" s="105" t="e">
        <f t="shared" si="45"/>
        <v>#REF!</v>
      </c>
      <c r="J735" s="106" t="e">
        <f t="shared" si="46"/>
        <v>#REF!</v>
      </c>
      <c r="K735" s="107" t="e">
        <f t="shared" si="47"/>
        <v>#REF!</v>
      </c>
    </row>
    <row r="736" spans="1:11" ht="15" customHeight="1" x14ac:dyDescent="0.2">
      <c r="A736" s="104" t="s">
        <v>207</v>
      </c>
      <c r="B736" s="104" t="s">
        <v>208</v>
      </c>
      <c r="C736" s="104" t="s">
        <v>69</v>
      </c>
      <c r="D736" s="104">
        <v>2040</v>
      </c>
      <c r="E736" s="105" t="e">
        <f>SUMIFS(#REF!,#REF!,$A736,#REF!,$B736,#REF!,$C736,#REF!,"Storage Demand")</f>
        <v>#REF!</v>
      </c>
      <c r="F736" s="105" t="e">
        <f>SUMIFS(#REF!,#REF!,$A736,#REF!,$B736,#REF!,$C736,#REF!,"&lt;&gt;Other Sector Demand")</f>
        <v>#REF!</v>
      </c>
      <c r="G736" s="106" t="e">
        <f t="shared" si="44"/>
        <v>#REF!</v>
      </c>
      <c r="H736" s="105" t="e">
        <f>SUMIFS(#REF!,#REF!,$A736,#REF!,$B736,#REF!,$C736,#REF!,"Other Sector Demand")</f>
        <v>#REF!</v>
      </c>
      <c r="I736" s="105" t="e">
        <f t="shared" si="45"/>
        <v>#REF!</v>
      </c>
      <c r="J736" s="106" t="e">
        <f t="shared" si="46"/>
        <v>#REF!</v>
      </c>
      <c r="K736" s="107" t="e">
        <f t="shared" si="47"/>
        <v>#REF!</v>
      </c>
    </row>
    <row r="737" spans="1:11" ht="15" customHeight="1" x14ac:dyDescent="0.2">
      <c r="A737" s="104" t="s">
        <v>207</v>
      </c>
      <c r="B737" s="104" t="s">
        <v>208</v>
      </c>
      <c r="C737" s="104" t="s">
        <v>69</v>
      </c>
      <c r="D737" s="104">
        <v>2050</v>
      </c>
      <c r="E737" s="105" t="e">
        <f>SUMIFS(#REF!,#REF!,$A737,#REF!,$B737,#REF!,$C737,#REF!,"Storage Demand")</f>
        <v>#REF!</v>
      </c>
      <c r="F737" s="105" t="e">
        <f>SUMIFS(#REF!,#REF!,$A737,#REF!,$B737,#REF!,$C737,#REF!,"&lt;&gt;Other Sector Demand")</f>
        <v>#REF!</v>
      </c>
      <c r="G737" s="106" t="e">
        <f t="shared" si="44"/>
        <v>#REF!</v>
      </c>
      <c r="H737" s="105" t="e">
        <f>SUMIFS(#REF!,#REF!,$A737,#REF!,$B737,#REF!,$C737,#REF!,"Other Sector Demand")</f>
        <v>#REF!</v>
      </c>
      <c r="I737" s="105" t="e">
        <f t="shared" si="45"/>
        <v>#REF!</v>
      </c>
      <c r="J737" s="106" t="e">
        <f t="shared" si="46"/>
        <v>#REF!</v>
      </c>
      <c r="K737" s="107" t="e">
        <f t="shared" si="47"/>
        <v>#REF!</v>
      </c>
    </row>
    <row r="738" spans="1:11" ht="15" customHeight="1" x14ac:dyDescent="0.2">
      <c r="A738" s="104" t="s">
        <v>207</v>
      </c>
      <c r="B738" s="104" t="s">
        <v>208</v>
      </c>
      <c r="C738" s="104" t="s">
        <v>70</v>
      </c>
      <c r="D738" s="104">
        <v>2020</v>
      </c>
      <c r="E738" s="105" t="e">
        <f>SUMIFS(#REF!,#REF!,$A738,#REF!,$B738,#REF!,$C738,#REF!,"Storage Demand")</f>
        <v>#REF!</v>
      </c>
      <c r="F738" s="105" t="e">
        <f>SUMIFS(#REF!,#REF!,$A738,#REF!,$B738,#REF!,$C738,#REF!,"&lt;&gt;Other Sector Demand")</f>
        <v>#REF!</v>
      </c>
      <c r="G738" s="106" t="e">
        <f t="shared" si="44"/>
        <v>#REF!</v>
      </c>
      <c r="H738" s="105" t="e">
        <f>SUMIFS(#REF!,#REF!,$A738,#REF!,$B738,#REF!,$C738,#REF!,"Other Sector Demand")</f>
        <v>#REF!</v>
      </c>
      <c r="I738" s="105" t="e">
        <f t="shared" si="45"/>
        <v>#REF!</v>
      </c>
      <c r="J738" s="106" t="e">
        <f t="shared" si="46"/>
        <v>#REF!</v>
      </c>
      <c r="K738" s="107" t="e">
        <f t="shared" si="47"/>
        <v>#REF!</v>
      </c>
    </row>
    <row r="739" spans="1:11" ht="15" customHeight="1" x14ac:dyDescent="0.2">
      <c r="A739" s="104" t="s">
        <v>207</v>
      </c>
      <c r="B739" s="104" t="s">
        <v>208</v>
      </c>
      <c r="C739" s="104" t="s">
        <v>70</v>
      </c>
      <c r="D739" s="104">
        <v>2030</v>
      </c>
      <c r="E739" s="105" t="e">
        <f>SUMIFS(#REF!,#REF!,$A739,#REF!,$B739,#REF!,$C739,#REF!,"Storage Demand")</f>
        <v>#REF!</v>
      </c>
      <c r="F739" s="105" t="e">
        <f>SUMIFS(#REF!,#REF!,$A739,#REF!,$B739,#REF!,$C739,#REF!,"&lt;&gt;Other Sector Demand")</f>
        <v>#REF!</v>
      </c>
      <c r="G739" s="106" t="e">
        <f t="shared" si="44"/>
        <v>#REF!</v>
      </c>
      <c r="H739" s="105" t="e">
        <f>SUMIFS(#REF!,#REF!,$A739,#REF!,$B739,#REF!,$C739,#REF!,"Other Sector Demand")</f>
        <v>#REF!</v>
      </c>
      <c r="I739" s="105" t="e">
        <f t="shared" si="45"/>
        <v>#REF!</v>
      </c>
      <c r="J739" s="106" t="e">
        <f t="shared" si="46"/>
        <v>#REF!</v>
      </c>
      <c r="K739" s="107" t="e">
        <f t="shared" si="47"/>
        <v>#REF!</v>
      </c>
    </row>
    <row r="740" spans="1:11" ht="15" customHeight="1" x14ac:dyDescent="0.2">
      <c r="A740" s="104" t="s">
        <v>207</v>
      </c>
      <c r="B740" s="104" t="s">
        <v>208</v>
      </c>
      <c r="C740" s="104" t="s">
        <v>70</v>
      </c>
      <c r="D740" s="104">
        <v>2040</v>
      </c>
      <c r="E740" s="105" t="e">
        <f>SUMIFS(#REF!,#REF!,$A740,#REF!,$B740,#REF!,$C740,#REF!,"Storage Demand")</f>
        <v>#REF!</v>
      </c>
      <c r="F740" s="105" t="e">
        <f>SUMIFS(#REF!,#REF!,$A740,#REF!,$B740,#REF!,$C740,#REF!,"&lt;&gt;Other Sector Demand")</f>
        <v>#REF!</v>
      </c>
      <c r="G740" s="106" t="e">
        <f t="shared" si="44"/>
        <v>#REF!</v>
      </c>
      <c r="H740" s="105" t="e">
        <f>SUMIFS(#REF!,#REF!,$A740,#REF!,$B740,#REF!,$C740,#REF!,"Other Sector Demand")</f>
        <v>#REF!</v>
      </c>
      <c r="I740" s="105" t="e">
        <f t="shared" si="45"/>
        <v>#REF!</v>
      </c>
      <c r="J740" s="106" t="e">
        <f t="shared" si="46"/>
        <v>#REF!</v>
      </c>
      <c r="K740" s="107" t="e">
        <f t="shared" si="47"/>
        <v>#REF!</v>
      </c>
    </row>
    <row r="741" spans="1:11" ht="15" customHeight="1" x14ac:dyDescent="0.2">
      <c r="A741" s="104" t="s">
        <v>207</v>
      </c>
      <c r="B741" s="104" t="s">
        <v>208</v>
      </c>
      <c r="C741" s="104" t="s">
        <v>70</v>
      </c>
      <c r="D741" s="104">
        <v>2050</v>
      </c>
      <c r="E741" s="105" t="e">
        <f>SUMIFS(#REF!,#REF!,$A741,#REF!,$B741,#REF!,$C741,#REF!,"Storage Demand")</f>
        <v>#REF!</v>
      </c>
      <c r="F741" s="105" t="e">
        <f>SUMIFS(#REF!,#REF!,$A741,#REF!,$B741,#REF!,$C741,#REF!,"&lt;&gt;Other Sector Demand")</f>
        <v>#REF!</v>
      </c>
      <c r="G741" s="106" t="e">
        <f t="shared" si="44"/>
        <v>#REF!</v>
      </c>
      <c r="H741" s="105" t="e">
        <f>SUMIFS(#REF!,#REF!,$A741,#REF!,$B741,#REF!,$C741,#REF!,"Other Sector Demand")</f>
        <v>#REF!</v>
      </c>
      <c r="I741" s="105" t="e">
        <f t="shared" si="45"/>
        <v>#REF!</v>
      </c>
      <c r="J741" s="106" t="e">
        <f t="shared" si="46"/>
        <v>#REF!</v>
      </c>
      <c r="K741" s="107" t="e">
        <f t="shared" si="47"/>
        <v>#REF!</v>
      </c>
    </row>
    <row r="742" spans="1:11" ht="15" customHeight="1" x14ac:dyDescent="0.2">
      <c r="A742" s="104" t="s">
        <v>207</v>
      </c>
      <c r="B742" s="104" t="s">
        <v>208</v>
      </c>
      <c r="C742" s="104" t="s">
        <v>71</v>
      </c>
      <c r="D742" s="104">
        <v>2020</v>
      </c>
      <c r="E742" s="105" t="e">
        <f>SUMIFS(#REF!,#REF!,$A742,#REF!,$B742,#REF!,$C742,#REF!,"Storage Demand")</f>
        <v>#REF!</v>
      </c>
      <c r="F742" s="105" t="e">
        <f>SUMIFS(#REF!,#REF!,$A742,#REF!,$B742,#REF!,$C742,#REF!,"&lt;&gt;Other Sector Demand")</f>
        <v>#REF!</v>
      </c>
      <c r="G742" s="106" t="e">
        <f t="shared" si="44"/>
        <v>#REF!</v>
      </c>
      <c r="H742" s="105" t="e">
        <f>SUMIFS(#REF!,#REF!,$A742,#REF!,$B742,#REF!,$C742,#REF!,"Other Sector Demand")</f>
        <v>#REF!</v>
      </c>
      <c r="I742" s="105" t="e">
        <f t="shared" si="45"/>
        <v>#REF!</v>
      </c>
      <c r="J742" s="106" t="e">
        <f t="shared" si="46"/>
        <v>#REF!</v>
      </c>
      <c r="K742" s="107" t="e">
        <f t="shared" si="47"/>
        <v>#REF!</v>
      </c>
    </row>
    <row r="743" spans="1:11" ht="15" customHeight="1" x14ac:dyDescent="0.2">
      <c r="A743" s="104" t="s">
        <v>207</v>
      </c>
      <c r="B743" s="104" t="s">
        <v>208</v>
      </c>
      <c r="C743" s="104" t="s">
        <v>71</v>
      </c>
      <c r="D743" s="104">
        <v>2030</v>
      </c>
      <c r="E743" s="105" t="e">
        <f>SUMIFS(#REF!,#REF!,$A743,#REF!,$B743,#REF!,$C743,#REF!,"Storage Demand")</f>
        <v>#REF!</v>
      </c>
      <c r="F743" s="105" t="e">
        <f>SUMIFS(#REF!,#REF!,$A743,#REF!,$B743,#REF!,$C743,#REF!,"&lt;&gt;Other Sector Demand")</f>
        <v>#REF!</v>
      </c>
      <c r="G743" s="106" t="e">
        <f t="shared" si="44"/>
        <v>#REF!</v>
      </c>
      <c r="H743" s="105" t="e">
        <f>SUMIFS(#REF!,#REF!,$A743,#REF!,$B743,#REF!,$C743,#REF!,"Other Sector Demand")</f>
        <v>#REF!</v>
      </c>
      <c r="I743" s="105" t="e">
        <f t="shared" si="45"/>
        <v>#REF!</v>
      </c>
      <c r="J743" s="106" t="e">
        <f t="shared" si="46"/>
        <v>#REF!</v>
      </c>
      <c r="K743" s="107" t="e">
        <f t="shared" si="47"/>
        <v>#REF!</v>
      </c>
    </row>
    <row r="744" spans="1:11" ht="15" customHeight="1" x14ac:dyDescent="0.2">
      <c r="A744" s="104" t="s">
        <v>207</v>
      </c>
      <c r="B744" s="104" t="s">
        <v>208</v>
      </c>
      <c r="C744" s="104" t="s">
        <v>71</v>
      </c>
      <c r="D744" s="104">
        <v>2040</v>
      </c>
      <c r="E744" s="105" t="e">
        <f>SUMIFS(#REF!,#REF!,$A744,#REF!,$B744,#REF!,$C744,#REF!,"Storage Demand")</f>
        <v>#REF!</v>
      </c>
      <c r="F744" s="105" t="e">
        <f>SUMIFS(#REF!,#REF!,$A744,#REF!,$B744,#REF!,$C744,#REF!,"&lt;&gt;Other Sector Demand")</f>
        <v>#REF!</v>
      </c>
      <c r="G744" s="106" t="e">
        <f t="shared" si="44"/>
        <v>#REF!</v>
      </c>
      <c r="H744" s="105" t="e">
        <f>SUMIFS(#REF!,#REF!,$A744,#REF!,$B744,#REF!,$C744,#REF!,"Other Sector Demand")</f>
        <v>#REF!</v>
      </c>
      <c r="I744" s="105" t="e">
        <f t="shared" si="45"/>
        <v>#REF!</v>
      </c>
      <c r="J744" s="106" t="e">
        <f t="shared" si="46"/>
        <v>#REF!</v>
      </c>
      <c r="K744" s="107" t="e">
        <f t="shared" si="47"/>
        <v>#REF!</v>
      </c>
    </row>
    <row r="745" spans="1:11" ht="15" customHeight="1" x14ac:dyDescent="0.2">
      <c r="A745" s="104" t="s">
        <v>207</v>
      </c>
      <c r="B745" s="104" t="s">
        <v>208</v>
      </c>
      <c r="C745" s="104" t="s">
        <v>71</v>
      </c>
      <c r="D745" s="104">
        <v>2050</v>
      </c>
      <c r="E745" s="105" t="e">
        <f>SUMIFS(#REF!,#REF!,$A745,#REF!,$B745,#REF!,$C745,#REF!,"Storage Demand")</f>
        <v>#REF!</v>
      </c>
      <c r="F745" s="105" t="e">
        <f>SUMIFS(#REF!,#REF!,$A745,#REF!,$B745,#REF!,$C745,#REF!,"&lt;&gt;Other Sector Demand")</f>
        <v>#REF!</v>
      </c>
      <c r="G745" s="106" t="e">
        <f t="shared" si="44"/>
        <v>#REF!</v>
      </c>
      <c r="H745" s="105" t="e">
        <f>SUMIFS(#REF!,#REF!,$A745,#REF!,$B745,#REF!,$C745,#REF!,"Other Sector Demand")</f>
        <v>#REF!</v>
      </c>
      <c r="I745" s="105" t="e">
        <f t="shared" si="45"/>
        <v>#REF!</v>
      </c>
      <c r="J745" s="106" t="e">
        <f t="shared" si="46"/>
        <v>#REF!</v>
      </c>
      <c r="K745" s="107" t="e">
        <f t="shared" si="47"/>
        <v>#REF!</v>
      </c>
    </row>
    <row r="746" spans="1:11" ht="15" customHeight="1" x14ac:dyDescent="0.2">
      <c r="A746" s="104" t="s">
        <v>207</v>
      </c>
      <c r="B746" s="104" t="s">
        <v>208</v>
      </c>
      <c r="C746" s="104" t="s">
        <v>73</v>
      </c>
      <c r="D746" s="104">
        <v>2020</v>
      </c>
      <c r="E746" s="105" t="e">
        <f>SUMIFS(#REF!,#REF!,$A746,#REF!,$B746,#REF!,$C746,#REF!,"Storage Demand")</f>
        <v>#REF!</v>
      </c>
      <c r="F746" s="105" t="e">
        <f>SUMIFS(#REF!,#REF!,$A746,#REF!,$B746,#REF!,$C746,#REF!,"&lt;&gt;Other Sector Demand")</f>
        <v>#REF!</v>
      </c>
      <c r="G746" s="106" t="e">
        <f t="shared" si="44"/>
        <v>#REF!</v>
      </c>
      <c r="H746" s="105" t="e">
        <f>SUMIFS(#REF!,#REF!,$A746,#REF!,$B746,#REF!,$C746,#REF!,"Other Sector Demand")</f>
        <v>#REF!</v>
      </c>
      <c r="I746" s="105" t="e">
        <f t="shared" si="45"/>
        <v>#REF!</v>
      </c>
      <c r="J746" s="106" t="e">
        <f t="shared" si="46"/>
        <v>#REF!</v>
      </c>
      <c r="K746" s="107" t="e">
        <f t="shared" si="47"/>
        <v>#REF!</v>
      </c>
    </row>
    <row r="747" spans="1:11" ht="15" customHeight="1" x14ac:dyDescent="0.2">
      <c r="A747" s="104" t="s">
        <v>207</v>
      </c>
      <c r="B747" s="104" t="s">
        <v>208</v>
      </c>
      <c r="C747" s="104" t="s">
        <v>73</v>
      </c>
      <c r="D747" s="104">
        <v>2030</v>
      </c>
      <c r="E747" s="105" t="e">
        <f>SUMIFS(#REF!,#REF!,$A747,#REF!,$B747,#REF!,$C747,#REF!,"Storage Demand")</f>
        <v>#REF!</v>
      </c>
      <c r="F747" s="105" t="e">
        <f>SUMIFS(#REF!,#REF!,$A747,#REF!,$B747,#REF!,$C747,#REF!,"&lt;&gt;Other Sector Demand")</f>
        <v>#REF!</v>
      </c>
      <c r="G747" s="106" t="e">
        <f t="shared" si="44"/>
        <v>#REF!</v>
      </c>
      <c r="H747" s="105" t="e">
        <f>SUMIFS(#REF!,#REF!,$A747,#REF!,$B747,#REF!,$C747,#REF!,"Other Sector Demand")</f>
        <v>#REF!</v>
      </c>
      <c r="I747" s="105" t="e">
        <f t="shared" si="45"/>
        <v>#REF!</v>
      </c>
      <c r="J747" s="106" t="e">
        <f t="shared" si="46"/>
        <v>#REF!</v>
      </c>
      <c r="K747" s="107" t="e">
        <f t="shared" si="47"/>
        <v>#REF!</v>
      </c>
    </row>
    <row r="748" spans="1:11" ht="15" customHeight="1" x14ac:dyDescent="0.2">
      <c r="A748" s="104" t="s">
        <v>207</v>
      </c>
      <c r="B748" s="104" t="s">
        <v>208</v>
      </c>
      <c r="C748" s="104" t="s">
        <v>73</v>
      </c>
      <c r="D748" s="104">
        <v>2040</v>
      </c>
      <c r="E748" s="105" t="e">
        <f>SUMIFS(#REF!,#REF!,$A748,#REF!,$B748,#REF!,$C748,#REF!,"Storage Demand")</f>
        <v>#REF!</v>
      </c>
      <c r="F748" s="105" t="e">
        <f>SUMIFS(#REF!,#REF!,$A748,#REF!,$B748,#REF!,$C748,#REF!,"&lt;&gt;Other Sector Demand")</f>
        <v>#REF!</v>
      </c>
      <c r="G748" s="106" t="e">
        <f t="shared" si="44"/>
        <v>#REF!</v>
      </c>
      <c r="H748" s="105" t="e">
        <f>SUMIFS(#REF!,#REF!,$A748,#REF!,$B748,#REF!,$C748,#REF!,"Other Sector Demand")</f>
        <v>#REF!</v>
      </c>
      <c r="I748" s="105" t="e">
        <f t="shared" si="45"/>
        <v>#REF!</v>
      </c>
      <c r="J748" s="106" t="e">
        <f t="shared" si="46"/>
        <v>#REF!</v>
      </c>
      <c r="K748" s="107" t="e">
        <f t="shared" si="47"/>
        <v>#REF!</v>
      </c>
    </row>
    <row r="749" spans="1:11" ht="15" customHeight="1" x14ac:dyDescent="0.2">
      <c r="A749" s="104" t="s">
        <v>207</v>
      </c>
      <c r="B749" s="104" t="s">
        <v>208</v>
      </c>
      <c r="C749" s="104" t="s">
        <v>73</v>
      </c>
      <c r="D749" s="104">
        <v>2050</v>
      </c>
      <c r="E749" s="105" t="e">
        <f>SUMIFS(#REF!,#REF!,$A749,#REF!,$B749,#REF!,$C749,#REF!,"Storage Demand")</f>
        <v>#REF!</v>
      </c>
      <c r="F749" s="105" t="e">
        <f>SUMIFS(#REF!,#REF!,$A749,#REF!,$B749,#REF!,$C749,#REF!,"&lt;&gt;Other Sector Demand")</f>
        <v>#REF!</v>
      </c>
      <c r="G749" s="106" t="e">
        <f t="shared" si="44"/>
        <v>#REF!</v>
      </c>
      <c r="H749" s="105" t="e">
        <f>SUMIFS(#REF!,#REF!,$A749,#REF!,$B749,#REF!,$C749,#REF!,"Other Sector Demand")</f>
        <v>#REF!</v>
      </c>
      <c r="I749" s="105" t="e">
        <f t="shared" si="45"/>
        <v>#REF!</v>
      </c>
      <c r="J749" s="106" t="e">
        <f t="shared" si="46"/>
        <v>#REF!</v>
      </c>
      <c r="K749" s="107" t="e">
        <f t="shared" si="47"/>
        <v>#REF!</v>
      </c>
    </row>
    <row r="750" spans="1:11" ht="15" customHeight="1" x14ac:dyDescent="0.2">
      <c r="A750" s="104" t="s">
        <v>207</v>
      </c>
      <c r="B750" s="104" t="s">
        <v>208</v>
      </c>
      <c r="C750" s="104" t="s">
        <v>74</v>
      </c>
      <c r="D750" s="104">
        <v>2020</v>
      </c>
      <c r="E750" s="105" t="e">
        <f>SUMIFS(#REF!,#REF!,$A750,#REF!,$B750,#REF!,$C750,#REF!,"Storage Demand")</f>
        <v>#REF!</v>
      </c>
      <c r="F750" s="105" t="e">
        <f>SUMIFS(#REF!,#REF!,$A750,#REF!,$B750,#REF!,$C750,#REF!,"&lt;&gt;Other Sector Demand")</f>
        <v>#REF!</v>
      </c>
      <c r="G750" s="106" t="e">
        <f t="shared" si="44"/>
        <v>#REF!</v>
      </c>
      <c r="H750" s="105" t="e">
        <f>SUMIFS(#REF!,#REF!,$A750,#REF!,$B750,#REF!,$C750,#REF!,"Other Sector Demand")</f>
        <v>#REF!</v>
      </c>
      <c r="I750" s="105" t="e">
        <f t="shared" si="45"/>
        <v>#REF!</v>
      </c>
      <c r="J750" s="106" t="e">
        <f t="shared" si="46"/>
        <v>#REF!</v>
      </c>
      <c r="K750" s="107" t="e">
        <f t="shared" si="47"/>
        <v>#REF!</v>
      </c>
    </row>
    <row r="751" spans="1:11" ht="15" customHeight="1" x14ac:dyDescent="0.2">
      <c r="A751" s="104" t="s">
        <v>207</v>
      </c>
      <c r="B751" s="104" t="s">
        <v>208</v>
      </c>
      <c r="C751" s="104" t="s">
        <v>74</v>
      </c>
      <c r="D751" s="104">
        <v>2030</v>
      </c>
      <c r="E751" s="105" t="e">
        <f>SUMIFS(#REF!,#REF!,$A751,#REF!,$B751,#REF!,$C751,#REF!,"Storage Demand")</f>
        <v>#REF!</v>
      </c>
      <c r="F751" s="105" t="e">
        <f>SUMIFS(#REF!,#REF!,$A751,#REF!,$B751,#REF!,$C751,#REF!,"&lt;&gt;Other Sector Demand")</f>
        <v>#REF!</v>
      </c>
      <c r="G751" s="106" t="e">
        <f t="shared" si="44"/>
        <v>#REF!</v>
      </c>
      <c r="H751" s="105" t="e">
        <f>SUMIFS(#REF!,#REF!,$A751,#REF!,$B751,#REF!,$C751,#REF!,"Other Sector Demand")</f>
        <v>#REF!</v>
      </c>
      <c r="I751" s="105" t="e">
        <f t="shared" si="45"/>
        <v>#REF!</v>
      </c>
      <c r="J751" s="106" t="e">
        <f t="shared" si="46"/>
        <v>#REF!</v>
      </c>
      <c r="K751" s="107" t="e">
        <f t="shared" si="47"/>
        <v>#REF!</v>
      </c>
    </row>
    <row r="752" spans="1:11" ht="15" customHeight="1" x14ac:dyDescent="0.2">
      <c r="A752" s="104" t="s">
        <v>207</v>
      </c>
      <c r="B752" s="104" t="s">
        <v>208</v>
      </c>
      <c r="C752" s="104" t="s">
        <v>74</v>
      </c>
      <c r="D752" s="104">
        <v>2040</v>
      </c>
      <c r="E752" s="105" t="e">
        <f>SUMIFS(#REF!,#REF!,$A752,#REF!,$B752,#REF!,$C752,#REF!,"Storage Demand")</f>
        <v>#REF!</v>
      </c>
      <c r="F752" s="105" t="e">
        <f>SUMIFS(#REF!,#REF!,$A752,#REF!,$B752,#REF!,$C752,#REF!,"&lt;&gt;Other Sector Demand")</f>
        <v>#REF!</v>
      </c>
      <c r="G752" s="106" t="e">
        <f t="shared" si="44"/>
        <v>#REF!</v>
      </c>
      <c r="H752" s="105" t="e">
        <f>SUMIFS(#REF!,#REF!,$A752,#REF!,$B752,#REF!,$C752,#REF!,"Other Sector Demand")</f>
        <v>#REF!</v>
      </c>
      <c r="I752" s="105" t="e">
        <f t="shared" si="45"/>
        <v>#REF!</v>
      </c>
      <c r="J752" s="106" t="e">
        <f t="shared" si="46"/>
        <v>#REF!</v>
      </c>
      <c r="K752" s="107" t="e">
        <f t="shared" si="47"/>
        <v>#REF!</v>
      </c>
    </row>
    <row r="753" spans="1:11" ht="15" customHeight="1" x14ac:dyDescent="0.2">
      <c r="A753" s="104" t="s">
        <v>207</v>
      </c>
      <c r="B753" s="104" t="s">
        <v>208</v>
      </c>
      <c r="C753" s="104" t="s">
        <v>74</v>
      </c>
      <c r="D753" s="104">
        <v>2050</v>
      </c>
      <c r="E753" s="105" t="e">
        <f>SUMIFS(#REF!,#REF!,$A753,#REF!,$B753,#REF!,$C753,#REF!,"Storage Demand")</f>
        <v>#REF!</v>
      </c>
      <c r="F753" s="105" t="e">
        <f>SUMIFS(#REF!,#REF!,$A753,#REF!,$B753,#REF!,$C753,#REF!,"&lt;&gt;Other Sector Demand")</f>
        <v>#REF!</v>
      </c>
      <c r="G753" s="106" t="e">
        <f t="shared" si="44"/>
        <v>#REF!</v>
      </c>
      <c r="H753" s="105" t="e">
        <f>SUMIFS(#REF!,#REF!,$A753,#REF!,$B753,#REF!,$C753,#REF!,"Other Sector Demand")</f>
        <v>#REF!</v>
      </c>
      <c r="I753" s="105" t="e">
        <f t="shared" si="45"/>
        <v>#REF!</v>
      </c>
      <c r="J753" s="106" t="e">
        <f t="shared" si="46"/>
        <v>#REF!</v>
      </c>
      <c r="K753" s="107" t="e">
        <f t="shared" si="47"/>
        <v>#REF!</v>
      </c>
    </row>
    <row r="754" spans="1:11" ht="15" customHeight="1" x14ac:dyDescent="0.2">
      <c r="A754" s="104" t="s">
        <v>207</v>
      </c>
      <c r="B754" s="104" t="s">
        <v>208</v>
      </c>
      <c r="C754" s="104" t="s">
        <v>75</v>
      </c>
      <c r="D754" s="104">
        <v>2020</v>
      </c>
      <c r="E754" s="105" t="e">
        <f>SUMIFS(#REF!,#REF!,$A754,#REF!,$B754,#REF!,$C754,#REF!,"Storage Demand")</f>
        <v>#REF!</v>
      </c>
      <c r="F754" s="105" t="e">
        <f>SUMIFS(#REF!,#REF!,$A754,#REF!,$B754,#REF!,$C754,#REF!,"&lt;&gt;Other Sector Demand")</f>
        <v>#REF!</v>
      </c>
      <c r="G754" s="106" t="e">
        <f t="shared" si="44"/>
        <v>#REF!</v>
      </c>
      <c r="H754" s="105" t="e">
        <f>SUMIFS(#REF!,#REF!,$A754,#REF!,$B754,#REF!,$C754,#REF!,"Other Sector Demand")</f>
        <v>#REF!</v>
      </c>
      <c r="I754" s="105" t="e">
        <f t="shared" si="45"/>
        <v>#REF!</v>
      </c>
      <c r="J754" s="106" t="e">
        <f t="shared" si="46"/>
        <v>#REF!</v>
      </c>
      <c r="K754" s="107" t="e">
        <f t="shared" si="47"/>
        <v>#REF!</v>
      </c>
    </row>
    <row r="755" spans="1:11" ht="15" customHeight="1" x14ac:dyDescent="0.2">
      <c r="A755" s="104" t="s">
        <v>207</v>
      </c>
      <c r="B755" s="104" t="s">
        <v>208</v>
      </c>
      <c r="C755" s="104" t="s">
        <v>75</v>
      </c>
      <c r="D755" s="104">
        <v>2030</v>
      </c>
      <c r="E755" s="105" t="e">
        <f>SUMIFS(#REF!,#REF!,$A755,#REF!,$B755,#REF!,$C755,#REF!,"Storage Demand")</f>
        <v>#REF!</v>
      </c>
      <c r="F755" s="105" t="e">
        <f>SUMIFS(#REF!,#REF!,$A755,#REF!,$B755,#REF!,$C755,#REF!,"&lt;&gt;Other Sector Demand")</f>
        <v>#REF!</v>
      </c>
      <c r="G755" s="106" t="e">
        <f t="shared" si="44"/>
        <v>#REF!</v>
      </c>
      <c r="H755" s="105" t="e">
        <f>SUMIFS(#REF!,#REF!,$A755,#REF!,$B755,#REF!,$C755,#REF!,"Other Sector Demand")</f>
        <v>#REF!</v>
      </c>
      <c r="I755" s="105" t="e">
        <f t="shared" si="45"/>
        <v>#REF!</v>
      </c>
      <c r="J755" s="106" t="e">
        <f t="shared" si="46"/>
        <v>#REF!</v>
      </c>
      <c r="K755" s="107" t="e">
        <f t="shared" si="47"/>
        <v>#REF!</v>
      </c>
    </row>
    <row r="756" spans="1:11" ht="15" customHeight="1" x14ac:dyDescent="0.2">
      <c r="A756" s="104" t="s">
        <v>207</v>
      </c>
      <c r="B756" s="104" t="s">
        <v>208</v>
      </c>
      <c r="C756" s="104" t="s">
        <v>75</v>
      </c>
      <c r="D756" s="104">
        <v>2040</v>
      </c>
      <c r="E756" s="105" t="e">
        <f>SUMIFS(#REF!,#REF!,$A756,#REF!,$B756,#REF!,$C756,#REF!,"Storage Demand")</f>
        <v>#REF!</v>
      </c>
      <c r="F756" s="105" t="e">
        <f>SUMIFS(#REF!,#REF!,$A756,#REF!,$B756,#REF!,$C756,#REF!,"&lt;&gt;Other Sector Demand")</f>
        <v>#REF!</v>
      </c>
      <c r="G756" s="106" t="e">
        <f t="shared" si="44"/>
        <v>#REF!</v>
      </c>
      <c r="H756" s="105" t="e">
        <f>SUMIFS(#REF!,#REF!,$A756,#REF!,$B756,#REF!,$C756,#REF!,"Other Sector Demand")</f>
        <v>#REF!</v>
      </c>
      <c r="I756" s="105" t="e">
        <f t="shared" si="45"/>
        <v>#REF!</v>
      </c>
      <c r="J756" s="106" t="e">
        <f t="shared" si="46"/>
        <v>#REF!</v>
      </c>
      <c r="K756" s="107" t="e">
        <f t="shared" si="47"/>
        <v>#REF!</v>
      </c>
    </row>
    <row r="757" spans="1:11" ht="15" customHeight="1" x14ac:dyDescent="0.2">
      <c r="A757" s="104" t="s">
        <v>207</v>
      </c>
      <c r="B757" s="104" t="s">
        <v>208</v>
      </c>
      <c r="C757" s="104" t="s">
        <v>75</v>
      </c>
      <c r="D757" s="104">
        <v>2050</v>
      </c>
      <c r="E757" s="105" t="e">
        <f>SUMIFS(#REF!,#REF!,$A757,#REF!,$B757,#REF!,$C757,#REF!,"Storage Demand")</f>
        <v>#REF!</v>
      </c>
      <c r="F757" s="105" t="e">
        <f>SUMIFS(#REF!,#REF!,$A757,#REF!,$B757,#REF!,$C757,#REF!,"&lt;&gt;Other Sector Demand")</f>
        <v>#REF!</v>
      </c>
      <c r="G757" s="106" t="e">
        <f t="shared" si="44"/>
        <v>#REF!</v>
      </c>
      <c r="H757" s="105" t="e">
        <f>SUMIFS(#REF!,#REF!,$A757,#REF!,$B757,#REF!,$C757,#REF!,"Other Sector Demand")</f>
        <v>#REF!</v>
      </c>
      <c r="I757" s="105" t="e">
        <f t="shared" si="45"/>
        <v>#REF!</v>
      </c>
      <c r="J757" s="106" t="e">
        <f t="shared" si="46"/>
        <v>#REF!</v>
      </c>
      <c r="K757" s="107" t="e">
        <f t="shared" si="47"/>
        <v>#REF!</v>
      </c>
    </row>
    <row r="758" spans="1:11" ht="15" customHeight="1" x14ac:dyDescent="0.2">
      <c r="A758" s="104" t="s">
        <v>207</v>
      </c>
      <c r="B758" s="104" t="s">
        <v>208</v>
      </c>
      <c r="C758" s="104" t="s">
        <v>76</v>
      </c>
      <c r="D758" s="104">
        <v>2020</v>
      </c>
      <c r="E758" s="105" t="e">
        <f>SUMIFS(#REF!,#REF!,$A758,#REF!,$B758,#REF!,$C758,#REF!,"Storage Demand")</f>
        <v>#REF!</v>
      </c>
      <c r="F758" s="105" t="e">
        <f>SUMIFS(#REF!,#REF!,$A758,#REF!,$B758,#REF!,$C758,#REF!,"&lt;&gt;Other Sector Demand")</f>
        <v>#REF!</v>
      </c>
      <c r="G758" s="106" t="e">
        <f t="shared" si="44"/>
        <v>#REF!</v>
      </c>
      <c r="H758" s="105" t="e">
        <f>SUMIFS(#REF!,#REF!,$A758,#REF!,$B758,#REF!,$C758,#REF!,"Other Sector Demand")</f>
        <v>#REF!</v>
      </c>
      <c r="I758" s="105" t="e">
        <f t="shared" si="45"/>
        <v>#REF!</v>
      </c>
      <c r="J758" s="106" t="e">
        <f t="shared" si="46"/>
        <v>#REF!</v>
      </c>
      <c r="K758" s="107" t="e">
        <f t="shared" si="47"/>
        <v>#REF!</v>
      </c>
    </row>
    <row r="759" spans="1:11" ht="15" customHeight="1" x14ac:dyDescent="0.2">
      <c r="A759" s="104" t="s">
        <v>207</v>
      </c>
      <c r="B759" s="104" t="s">
        <v>208</v>
      </c>
      <c r="C759" s="104" t="s">
        <v>76</v>
      </c>
      <c r="D759" s="104">
        <v>2030</v>
      </c>
      <c r="E759" s="105" t="e">
        <f>SUMIFS(#REF!,#REF!,$A759,#REF!,$B759,#REF!,$C759,#REF!,"Storage Demand")</f>
        <v>#REF!</v>
      </c>
      <c r="F759" s="105" t="e">
        <f>SUMIFS(#REF!,#REF!,$A759,#REF!,$B759,#REF!,$C759,#REF!,"&lt;&gt;Other Sector Demand")</f>
        <v>#REF!</v>
      </c>
      <c r="G759" s="106" t="e">
        <f t="shared" si="44"/>
        <v>#REF!</v>
      </c>
      <c r="H759" s="105" t="e">
        <f>SUMIFS(#REF!,#REF!,$A759,#REF!,$B759,#REF!,$C759,#REF!,"Other Sector Demand")</f>
        <v>#REF!</v>
      </c>
      <c r="I759" s="105" t="e">
        <f t="shared" si="45"/>
        <v>#REF!</v>
      </c>
      <c r="J759" s="106" t="e">
        <f t="shared" si="46"/>
        <v>#REF!</v>
      </c>
      <c r="K759" s="107" t="e">
        <f t="shared" si="47"/>
        <v>#REF!</v>
      </c>
    </row>
    <row r="760" spans="1:11" ht="15" customHeight="1" x14ac:dyDescent="0.2">
      <c r="A760" s="104" t="s">
        <v>207</v>
      </c>
      <c r="B760" s="104" t="s">
        <v>208</v>
      </c>
      <c r="C760" s="104" t="s">
        <v>76</v>
      </c>
      <c r="D760" s="104">
        <v>2040</v>
      </c>
      <c r="E760" s="105" t="e">
        <f>SUMIFS(#REF!,#REF!,$A760,#REF!,$B760,#REF!,$C760,#REF!,"Storage Demand")</f>
        <v>#REF!</v>
      </c>
      <c r="F760" s="105" t="e">
        <f>SUMIFS(#REF!,#REF!,$A760,#REF!,$B760,#REF!,$C760,#REF!,"&lt;&gt;Other Sector Demand")</f>
        <v>#REF!</v>
      </c>
      <c r="G760" s="106" t="e">
        <f t="shared" si="44"/>
        <v>#REF!</v>
      </c>
      <c r="H760" s="105" t="e">
        <f>SUMIFS(#REF!,#REF!,$A760,#REF!,$B760,#REF!,$C760,#REF!,"Other Sector Demand")</f>
        <v>#REF!</v>
      </c>
      <c r="I760" s="105" t="e">
        <f t="shared" si="45"/>
        <v>#REF!</v>
      </c>
      <c r="J760" s="106" t="e">
        <f t="shared" si="46"/>
        <v>#REF!</v>
      </c>
      <c r="K760" s="107" t="e">
        <f t="shared" si="47"/>
        <v>#REF!</v>
      </c>
    </row>
    <row r="761" spans="1:11" ht="15" customHeight="1" x14ac:dyDescent="0.2">
      <c r="A761" s="104" t="s">
        <v>207</v>
      </c>
      <c r="B761" s="104" t="s">
        <v>208</v>
      </c>
      <c r="C761" s="104" t="s">
        <v>76</v>
      </c>
      <c r="D761" s="104">
        <v>2050</v>
      </c>
      <c r="E761" s="105" t="e">
        <f>SUMIFS(#REF!,#REF!,$A761,#REF!,$B761,#REF!,$C761,#REF!,"Storage Demand")</f>
        <v>#REF!</v>
      </c>
      <c r="F761" s="105" t="e">
        <f>SUMIFS(#REF!,#REF!,$A761,#REF!,$B761,#REF!,$C761,#REF!,"&lt;&gt;Other Sector Demand")</f>
        <v>#REF!</v>
      </c>
      <c r="G761" s="106" t="e">
        <f t="shared" si="44"/>
        <v>#REF!</v>
      </c>
      <c r="H761" s="105" t="e">
        <f>SUMIFS(#REF!,#REF!,$A761,#REF!,$B761,#REF!,$C761,#REF!,"Other Sector Demand")</f>
        <v>#REF!</v>
      </c>
      <c r="I761" s="105" t="e">
        <f t="shared" si="45"/>
        <v>#REF!</v>
      </c>
      <c r="J761" s="106" t="e">
        <f t="shared" si="46"/>
        <v>#REF!</v>
      </c>
      <c r="K761" s="107" t="e">
        <f t="shared" si="47"/>
        <v>#REF!</v>
      </c>
    </row>
    <row r="762" spans="1:11" ht="15" customHeight="1" x14ac:dyDescent="0.2">
      <c r="A762" s="104" t="s">
        <v>207</v>
      </c>
      <c r="B762" s="104" t="s">
        <v>208</v>
      </c>
      <c r="C762" s="104" t="s">
        <v>77</v>
      </c>
      <c r="D762" s="104">
        <v>2020</v>
      </c>
      <c r="E762" s="105" t="e">
        <f>SUMIFS(#REF!,#REF!,$A762,#REF!,$B762,#REF!,$C762,#REF!,"Storage Demand")</f>
        <v>#REF!</v>
      </c>
      <c r="F762" s="105" t="e">
        <f>SUMIFS(#REF!,#REF!,$A762,#REF!,$B762,#REF!,$C762,#REF!,"&lt;&gt;Other Sector Demand")</f>
        <v>#REF!</v>
      </c>
      <c r="G762" s="106" t="e">
        <f t="shared" si="44"/>
        <v>#REF!</v>
      </c>
      <c r="H762" s="105" t="e">
        <f>SUMIFS(#REF!,#REF!,$A762,#REF!,$B762,#REF!,$C762,#REF!,"Other Sector Demand")</f>
        <v>#REF!</v>
      </c>
      <c r="I762" s="105" t="e">
        <f t="shared" si="45"/>
        <v>#REF!</v>
      </c>
      <c r="J762" s="106" t="e">
        <f t="shared" si="46"/>
        <v>#REF!</v>
      </c>
      <c r="K762" s="107" t="e">
        <f t="shared" si="47"/>
        <v>#REF!</v>
      </c>
    </row>
    <row r="763" spans="1:11" ht="15" customHeight="1" x14ac:dyDescent="0.2">
      <c r="A763" s="104" t="s">
        <v>207</v>
      </c>
      <c r="B763" s="104" t="s">
        <v>208</v>
      </c>
      <c r="C763" s="104" t="s">
        <v>77</v>
      </c>
      <c r="D763" s="104">
        <v>2030</v>
      </c>
      <c r="E763" s="105" t="e">
        <f>SUMIFS(#REF!,#REF!,$A763,#REF!,$B763,#REF!,$C763,#REF!,"Storage Demand")</f>
        <v>#REF!</v>
      </c>
      <c r="F763" s="105" t="e">
        <f>SUMIFS(#REF!,#REF!,$A763,#REF!,$B763,#REF!,$C763,#REF!,"&lt;&gt;Other Sector Demand")</f>
        <v>#REF!</v>
      </c>
      <c r="G763" s="106" t="e">
        <f t="shared" si="44"/>
        <v>#REF!</v>
      </c>
      <c r="H763" s="105" t="e">
        <f>SUMIFS(#REF!,#REF!,$A763,#REF!,$B763,#REF!,$C763,#REF!,"Other Sector Demand")</f>
        <v>#REF!</v>
      </c>
      <c r="I763" s="105" t="e">
        <f t="shared" si="45"/>
        <v>#REF!</v>
      </c>
      <c r="J763" s="106" t="e">
        <f t="shared" si="46"/>
        <v>#REF!</v>
      </c>
      <c r="K763" s="107" t="e">
        <f t="shared" si="47"/>
        <v>#REF!</v>
      </c>
    </row>
    <row r="764" spans="1:11" ht="15" customHeight="1" x14ac:dyDescent="0.2">
      <c r="A764" s="104" t="s">
        <v>207</v>
      </c>
      <c r="B764" s="104" t="s">
        <v>208</v>
      </c>
      <c r="C764" s="104" t="s">
        <v>77</v>
      </c>
      <c r="D764" s="104">
        <v>2040</v>
      </c>
      <c r="E764" s="105" t="e">
        <f>SUMIFS(#REF!,#REF!,$A764,#REF!,$B764,#REF!,$C764,#REF!,"Storage Demand")</f>
        <v>#REF!</v>
      </c>
      <c r="F764" s="105" t="e">
        <f>SUMIFS(#REF!,#REF!,$A764,#REF!,$B764,#REF!,$C764,#REF!,"&lt;&gt;Other Sector Demand")</f>
        <v>#REF!</v>
      </c>
      <c r="G764" s="106" t="e">
        <f t="shared" si="44"/>
        <v>#REF!</v>
      </c>
      <c r="H764" s="105" t="e">
        <f>SUMIFS(#REF!,#REF!,$A764,#REF!,$B764,#REF!,$C764,#REF!,"Other Sector Demand")</f>
        <v>#REF!</v>
      </c>
      <c r="I764" s="105" t="e">
        <f t="shared" si="45"/>
        <v>#REF!</v>
      </c>
      <c r="J764" s="106" t="e">
        <f t="shared" si="46"/>
        <v>#REF!</v>
      </c>
      <c r="K764" s="107" t="e">
        <f t="shared" si="47"/>
        <v>#REF!</v>
      </c>
    </row>
    <row r="765" spans="1:11" ht="15" customHeight="1" x14ac:dyDescent="0.2">
      <c r="A765" s="104" t="s">
        <v>207</v>
      </c>
      <c r="B765" s="104" t="s">
        <v>208</v>
      </c>
      <c r="C765" s="104" t="s">
        <v>77</v>
      </c>
      <c r="D765" s="104">
        <v>2050</v>
      </c>
      <c r="E765" s="105" t="e">
        <f>SUMIFS(#REF!,#REF!,$A765,#REF!,$B765,#REF!,$C765,#REF!,"Storage Demand")</f>
        <v>#REF!</v>
      </c>
      <c r="F765" s="105" t="e">
        <f>SUMIFS(#REF!,#REF!,$A765,#REF!,$B765,#REF!,$C765,#REF!,"&lt;&gt;Other Sector Demand")</f>
        <v>#REF!</v>
      </c>
      <c r="G765" s="106" t="e">
        <f t="shared" si="44"/>
        <v>#REF!</v>
      </c>
      <c r="H765" s="105" t="e">
        <f>SUMIFS(#REF!,#REF!,$A765,#REF!,$B765,#REF!,$C765,#REF!,"Other Sector Demand")</f>
        <v>#REF!</v>
      </c>
      <c r="I765" s="105" t="e">
        <f t="shared" si="45"/>
        <v>#REF!</v>
      </c>
      <c r="J765" s="106" t="e">
        <f t="shared" si="46"/>
        <v>#REF!</v>
      </c>
      <c r="K765" s="107" t="e">
        <f t="shared" si="47"/>
        <v>#REF!</v>
      </c>
    </row>
    <row r="766" spans="1:11" ht="15" customHeight="1" x14ac:dyDescent="0.2">
      <c r="A766" s="104" t="s">
        <v>207</v>
      </c>
      <c r="B766" s="104" t="s">
        <v>208</v>
      </c>
      <c r="C766" s="104" t="s">
        <v>78</v>
      </c>
      <c r="D766" s="104">
        <v>2020</v>
      </c>
      <c r="E766" s="105" t="e">
        <f>SUMIFS(#REF!,#REF!,$A766,#REF!,$B766,#REF!,$C766,#REF!,"Storage Demand")</f>
        <v>#REF!</v>
      </c>
      <c r="F766" s="105" t="e">
        <f>SUMIFS(#REF!,#REF!,$A766,#REF!,$B766,#REF!,$C766,#REF!,"&lt;&gt;Other Sector Demand")</f>
        <v>#REF!</v>
      </c>
      <c r="G766" s="106" t="e">
        <f t="shared" si="44"/>
        <v>#REF!</v>
      </c>
      <c r="H766" s="105" t="e">
        <f>SUMIFS(#REF!,#REF!,$A766,#REF!,$B766,#REF!,$C766,#REF!,"Other Sector Demand")</f>
        <v>#REF!</v>
      </c>
      <c r="I766" s="105" t="e">
        <f t="shared" si="45"/>
        <v>#REF!</v>
      </c>
      <c r="J766" s="106" t="e">
        <f t="shared" si="46"/>
        <v>#REF!</v>
      </c>
      <c r="K766" s="107" t="e">
        <f t="shared" si="47"/>
        <v>#REF!</v>
      </c>
    </row>
    <row r="767" spans="1:11" ht="15" customHeight="1" x14ac:dyDescent="0.2">
      <c r="A767" s="104" t="s">
        <v>207</v>
      </c>
      <c r="B767" s="104" t="s">
        <v>208</v>
      </c>
      <c r="C767" s="104" t="s">
        <v>78</v>
      </c>
      <c r="D767" s="104">
        <v>2030</v>
      </c>
      <c r="E767" s="105" t="e">
        <f>SUMIFS(#REF!,#REF!,$A767,#REF!,$B767,#REF!,$C767,#REF!,"Storage Demand")</f>
        <v>#REF!</v>
      </c>
      <c r="F767" s="105" t="e">
        <f>SUMIFS(#REF!,#REF!,$A767,#REF!,$B767,#REF!,$C767,#REF!,"&lt;&gt;Other Sector Demand")</f>
        <v>#REF!</v>
      </c>
      <c r="G767" s="106" t="e">
        <f t="shared" si="44"/>
        <v>#REF!</v>
      </c>
      <c r="H767" s="105" t="e">
        <f>SUMIFS(#REF!,#REF!,$A767,#REF!,$B767,#REF!,$C767,#REF!,"Other Sector Demand")</f>
        <v>#REF!</v>
      </c>
      <c r="I767" s="105" t="e">
        <f t="shared" si="45"/>
        <v>#REF!</v>
      </c>
      <c r="J767" s="106" t="e">
        <f t="shared" si="46"/>
        <v>#REF!</v>
      </c>
      <c r="K767" s="107" t="e">
        <f t="shared" si="47"/>
        <v>#REF!</v>
      </c>
    </row>
    <row r="768" spans="1:11" ht="15" customHeight="1" x14ac:dyDescent="0.2">
      <c r="A768" s="104" t="s">
        <v>207</v>
      </c>
      <c r="B768" s="104" t="s">
        <v>208</v>
      </c>
      <c r="C768" s="104" t="s">
        <v>78</v>
      </c>
      <c r="D768" s="104">
        <v>2040</v>
      </c>
      <c r="E768" s="105" t="e">
        <f>SUMIFS(#REF!,#REF!,$A768,#REF!,$B768,#REF!,$C768,#REF!,"Storage Demand")</f>
        <v>#REF!</v>
      </c>
      <c r="F768" s="105" t="e">
        <f>SUMIFS(#REF!,#REF!,$A768,#REF!,$B768,#REF!,$C768,#REF!,"&lt;&gt;Other Sector Demand")</f>
        <v>#REF!</v>
      </c>
      <c r="G768" s="106" t="e">
        <f t="shared" si="44"/>
        <v>#REF!</v>
      </c>
      <c r="H768" s="105" t="e">
        <f>SUMIFS(#REF!,#REF!,$A768,#REF!,$B768,#REF!,$C768,#REF!,"Other Sector Demand")</f>
        <v>#REF!</v>
      </c>
      <c r="I768" s="105" t="e">
        <f t="shared" si="45"/>
        <v>#REF!</v>
      </c>
      <c r="J768" s="106" t="e">
        <f t="shared" si="46"/>
        <v>#REF!</v>
      </c>
      <c r="K768" s="107" t="e">
        <f t="shared" si="47"/>
        <v>#REF!</v>
      </c>
    </row>
    <row r="769" spans="1:11" ht="15" customHeight="1" x14ac:dyDescent="0.2">
      <c r="A769" s="104" t="s">
        <v>207</v>
      </c>
      <c r="B769" s="104" t="s">
        <v>208</v>
      </c>
      <c r="C769" s="104" t="s">
        <v>78</v>
      </c>
      <c r="D769" s="104">
        <v>2050</v>
      </c>
      <c r="E769" s="105" t="e">
        <f>SUMIFS(#REF!,#REF!,$A769,#REF!,$B769,#REF!,$C769,#REF!,"Storage Demand")</f>
        <v>#REF!</v>
      </c>
      <c r="F769" s="105" t="e">
        <f>SUMIFS(#REF!,#REF!,$A769,#REF!,$B769,#REF!,$C769,#REF!,"&lt;&gt;Other Sector Demand")</f>
        <v>#REF!</v>
      </c>
      <c r="G769" s="106" t="e">
        <f t="shared" si="44"/>
        <v>#REF!</v>
      </c>
      <c r="H769" s="105" t="e">
        <f>SUMIFS(#REF!,#REF!,$A769,#REF!,$B769,#REF!,$C769,#REF!,"Other Sector Demand")</f>
        <v>#REF!</v>
      </c>
      <c r="I769" s="105" t="e">
        <f t="shared" si="45"/>
        <v>#REF!</v>
      </c>
      <c r="J769" s="106" t="e">
        <f t="shared" si="46"/>
        <v>#REF!</v>
      </c>
      <c r="K769" s="107" t="e">
        <f t="shared" si="47"/>
        <v>#REF!</v>
      </c>
    </row>
    <row r="770" spans="1:11" ht="15" customHeight="1" x14ac:dyDescent="0.2">
      <c r="A770" s="104" t="s">
        <v>207</v>
      </c>
      <c r="B770" s="104" t="s">
        <v>209</v>
      </c>
      <c r="C770" s="104" t="s">
        <v>38</v>
      </c>
      <c r="D770" s="104">
        <v>2020</v>
      </c>
      <c r="E770" s="105" t="e">
        <f>SUMIFS(#REF!,#REF!,$A770,#REF!,$B770,#REF!,$C770,#REF!,"Storage Demand")</f>
        <v>#REF!</v>
      </c>
      <c r="F770" s="105" t="e">
        <f>SUMIFS(#REF!,#REF!,$A770,#REF!,$B770,#REF!,$C770,#REF!,"&lt;&gt;Other Sector Demand")</f>
        <v>#REF!</v>
      </c>
      <c r="G770" s="106" t="e">
        <f t="shared" ref="G770:G833" si="48">IF($F770=0,0,$E770/$F770)</f>
        <v>#REF!</v>
      </c>
      <c r="H770" s="105" t="e">
        <f>SUMIFS(#REF!,#REF!,$A770,#REF!,$B770,#REF!,$C770,#REF!,"Other Sector Demand")</f>
        <v>#REF!</v>
      </c>
      <c r="I770" s="105" t="e">
        <f t="shared" ref="I770:I833" si="49">$F770+$H770</f>
        <v>#REF!</v>
      </c>
      <c r="J770" s="106" t="e">
        <f t="shared" ref="J770:J833" si="50">IF($I770=0,0,$E770/$I770)</f>
        <v>#REF!</v>
      </c>
      <c r="K770" s="107" t="e">
        <f t="shared" ref="K770:K833" si="51">IF(SUMIFS($F$2:$F$1025,$A$2:$A$1025,$A770,$B$2:$B$1025,$B770,$C$2:$C$1025,$C770)=0,0,SUMIFS($E$2:$E$1025,$A$2:$A$1025,$A770,$B$2:$B$1025,$B770,$C$2:$C$1025,$C770)/SUMIFS($F$2:$F$1025,$A$2:$A$1025,$A770,$B$2:$B$1025,$B770,$C$2:$C$1025,$C770))</f>
        <v>#REF!</v>
      </c>
    </row>
    <row r="771" spans="1:11" ht="15" customHeight="1" x14ac:dyDescent="0.2">
      <c r="A771" s="104" t="s">
        <v>207</v>
      </c>
      <c r="B771" s="104" t="s">
        <v>209</v>
      </c>
      <c r="C771" s="104" t="s">
        <v>38</v>
      </c>
      <c r="D771" s="104">
        <v>2030</v>
      </c>
      <c r="E771" s="105" t="e">
        <f>SUMIFS(#REF!,#REF!,$A771,#REF!,$B771,#REF!,$C771,#REF!,"Storage Demand")</f>
        <v>#REF!</v>
      </c>
      <c r="F771" s="105" t="e">
        <f>SUMIFS(#REF!,#REF!,$A771,#REF!,$B771,#REF!,$C771,#REF!,"&lt;&gt;Other Sector Demand")</f>
        <v>#REF!</v>
      </c>
      <c r="G771" s="106" t="e">
        <f t="shared" si="48"/>
        <v>#REF!</v>
      </c>
      <c r="H771" s="105" t="e">
        <f>SUMIFS(#REF!,#REF!,$A771,#REF!,$B771,#REF!,$C771,#REF!,"Other Sector Demand")</f>
        <v>#REF!</v>
      </c>
      <c r="I771" s="105" t="e">
        <f t="shared" si="49"/>
        <v>#REF!</v>
      </c>
      <c r="J771" s="106" t="e">
        <f t="shared" si="50"/>
        <v>#REF!</v>
      </c>
      <c r="K771" s="107" t="e">
        <f t="shared" si="51"/>
        <v>#REF!</v>
      </c>
    </row>
    <row r="772" spans="1:11" ht="15" customHeight="1" x14ac:dyDescent="0.2">
      <c r="A772" s="104" t="s">
        <v>207</v>
      </c>
      <c r="B772" s="104" t="s">
        <v>209</v>
      </c>
      <c r="C772" s="104" t="s">
        <v>38</v>
      </c>
      <c r="D772" s="104">
        <v>2040</v>
      </c>
      <c r="E772" s="105" t="e">
        <f>SUMIFS(#REF!,#REF!,$A772,#REF!,$B772,#REF!,$C772,#REF!,"Storage Demand")</f>
        <v>#REF!</v>
      </c>
      <c r="F772" s="105" t="e">
        <f>SUMIFS(#REF!,#REF!,$A772,#REF!,$B772,#REF!,$C772,#REF!,"&lt;&gt;Other Sector Demand")</f>
        <v>#REF!</v>
      </c>
      <c r="G772" s="106" t="e">
        <f t="shared" si="48"/>
        <v>#REF!</v>
      </c>
      <c r="H772" s="105" t="e">
        <f>SUMIFS(#REF!,#REF!,$A772,#REF!,$B772,#REF!,$C772,#REF!,"Other Sector Demand")</f>
        <v>#REF!</v>
      </c>
      <c r="I772" s="105" t="e">
        <f t="shared" si="49"/>
        <v>#REF!</v>
      </c>
      <c r="J772" s="106" t="e">
        <f t="shared" si="50"/>
        <v>#REF!</v>
      </c>
      <c r="K772" s="107" t="e">
        <f t="shared" si="51"/>
        <v>#REF!</v>
      </c>
    </row>
    <row r="773" spans="1:11" ht="15" customHeight="1" x14ac:dyDescent="0.2">
      <c r="A773" s="104" t="s">
        <v>207</v>
      </c>
      <c r="B773" s="104" t="s">
        <v>209</v>
      </c>
      <c r="C773" s="104" t="s">
        <v>38</v>
      </c>
      <c r="D773" s="104">
        <v>2050</v>
      </c>
      <c r="E773" s="105" t="e">
        <f>SUMIFS(#REF!,#REF!,$A773,#REF!,$B773,#REF!,$C773,#REF!,"Storage Demand")</f>
        <v>#REF!</v>
      </c>
      <c r="F773" s="105" t="e">
        <f>SUMIFS(#REF!,#REF!,$A773,#REF!,$B773,#REF!,$C773,#REF!,"&lt;&gt;Other Sector Demand")</f>
        <v>#REF!</v>
      </c>
      <c r="G773" s="106" t="e">
        <f t="shared" si="48"/>
        <v>#REF!</v>
      </c>
      <c r="H773" s="105" t="e">
        <f>SUMIFS(#REF!,#REF!,$A773,#REF!,$B773,#REF!,$C773,#REF!,"Other Sector Demand")</f>
        <v>#REF!</v>
      </c>
      <c r="I773" s="105" t="e">
        <f t="shared" si="49"/>
        <v>#REF!</v>
      </c>
      <c r="J773" s="106" t="e">
        <f t="shared" si="50"/>
        <v>#REF!</v>
      </c>
      <c r="K773" s="107" t="e">
        <f t="shared" si="51"/>
        <v>#REF!</v>
      </c>
    </row>
    <row r="774" spans="1:11" ht="15" customHeight="1" x14ac:dyDescent="0.2">
      <c r="A774" s="104" t="s">
        <v>207</v>
      </c>
      <c r="B774" s="104" t="s">
        <v>209</v>
      </c>
      <c r="C774" s="104" t="s">
        <v>39</v>
      </c>
      <c r="D774" s="104">
        <v>2020</v>
      </c>
      <c r="E774" s="105" t="e">
        <f>SUMIFS(#REF!,#REF!,$A774,#REF!,$B774,#REF!,$C774,#REF!,"Storage Demand")</f>
        <v>#REF!</v>
      </c>
      <c r="F774" s="105" t="e">
        <f>SUMIFS(#REF!,#REF!,$A774,#REF!,$B774,#REF!,$C774,#REF!,"&lt;&gt;Other Sector Demand")</f>
        <v>#REF!</v>
      </c>
      <c r="G774" s="106" t="e">
        <f t="shared" si="48"/>
        <v>#REF!</v>
      </c>
      <c r="H774" s="105" t="e">
        <f>SUMIFS(#REF!,#REF!,$A774,#REF!,$B774,#REF!,$C774,#REF!,"Other Sector Demand")</f>
        <v>#REF!</v>
      </c>
      <c r="I774" s="105" t="e">
        <f t="shared" si="49"/>
        <v>#REF!</v>
      </c>
      <c r="J774" s="106" t="e">
        <f t="shared" si="50"/>
        <v>#REF!</v>
      </c>
      <c r="K774" s="107" t="e">
        <f t="shared" si="51"/>
        <v>#REF!</v>
      </c>
    </row>
    <row r="775" spans="1:11" ht="15" customHeight="1" x14ac:dyDescent="0.2">
      <c r="A775" s="104" t="s">
        <v>207</v>
      </c>
      <c r="B775" s="104" t="s">
        <v>209</v>
      </c>
      <c r="C775" s="104" t="s">
        <v>39</v>
      </c>
      <c r="D775" s="104">
        <v>2030</v>
      </c>
      <c r="E775" s="105" t="e">
        <f>SUMIFS(#REF!,#REF!,$A775,#REF!,$B775,#REF!,$C775,#REF!,"Storage Demand")</f>
        <v>#REF!</v>
      </c>
      <c r="F775" s="105" t="e">
        <f>SUMIFS(#REF!,#REF!,$A775,#REF!,$B775,#REF!,$C775,#REF!,"&lt;&gt;Other Sector Demand")</f>
        <v>#REF!</v>
      </c>
      <c r="G775" s="106" t="e">
        <f t="shared" si="48"/>
        <v>#REF!</v>
      </c>
      <c r="H775" s="105" t="e">
        <f>SUMIFS(#REF!,#REF!,$A775,#REF!,$B775,#REF!,$C775,#REF!,"Other Sector Demand")</f>
        <v>#REF!</v>
      </c>
      <c r="I775" s="105" t="e">
        <f t="shared" si="49"/>
        <v>#REF!</v>
      </c>
      <c r="J775" s="106" t="e">
        <f t="shared" si="50"/>
        <v>#REF!</v>
      </c>
      <c r="K775" s="107" t="e">
        <f t="shared" si="51"/>
        <v>#REF!</v>
      </c>
    </row>
    <row r="776" spans="1:11" ht="15" customHeight="1" x14ac:dyDescent="0.2">
      <c r="A776" s="104" t="s">
        <v>207</v>
      </c>
      <c r="B776" s="104" t="s">
        <v>209</v>
      </c>
      <c r="C776" s="104" t="s">
        <v>39</v>
      </c>
      <c r="D776" s="104">
        <v>2040</v>
      </c>
      <c r="E776" s="105" t="e">
        <f>SUMIFS(#REF!,#REF!,$A776,#REF!,$B776,#REF!,$C776,#REF!,"Storage Demand")</f>
        <v>#REF!</v>
      </c>
      <c r="F776" s="105" t="e">
        <f>SUMIFS(#REF!,#REF!,$A776,#REF!,$B776,#REF!,$C776,#REF!,"&lt;&gt;Other Sector Demand")</f>
        <v>#REF!</v>
      </c>
      <c r="G776" s="106" t="e">
        <f t="shared" si="48"/>
        <v>#REF!</v>
      </c>
      <c r="H776" s="105" t="e">
        <f>SUMIFS(#REF!,#REF!,$A776,#REF!,$B776,#REF!,$C776,#REF!,"Other Sector Demand")</f>
        <v>#REF!</v>
      </c>
      <c r="I776" s="105" t="e">
        <f t="shared" si="49"/>
        <v>#REF!</v>
      </c>
      <c r="J776" s="106" t="e">
        <f t="shared" si="50"/>
        <v>#REF!</v>
      </c>
      <c r="K776" s="107" t="e">
        <f t="shared" si="51"/>
        <v>#REF!</v>
      </c>
    </row>
    <row r="777" spans="1:11" ht="15" customHeight="1" x14ac:dyDescent="0.2">
      <c r="A777" s="104" t="s">
        <v>207</v>
      </c>
      <c r="B777" s="104" t="s">
        <v>209</v>
      </c>
      <c r="C777" s="104" t="s">
        <v>39</v>
      </c>
      <c r="D777" s="104">
        <v>2050</v>
      </c>
      <c r="E777" s="105" t="e">
        <f>SUMIFS(#REF!,#REF!,$A777,#REF!,$B777,#REF!,$C777,#REF!,"Storage Demand")</f>
        <v>#REF!</v>
      </c>
      <c r="F777" s="105" t="e">
        <f>SUMIFS(#REF!,#REF!,$A777,#REF!,$B777,#REF!,$C777,#REF!,"&lt;&gt;Other Sector Demand")</f>
        <v>#REF!</v>
      </c>
      <c r="G777" s="106" t="e">
        <f t="shared" si="48"/>
        <v>#REF!</v>
      </c>
      <c r="H777" s="105" t="e">
        <f>SUMIFS(#REF!,#REF!,$A777,#REF!,$B777,#REF!,$C777,#REF!,"Other Sector Demand")</f>
        <v>#REF!</v>
      </c>
      <c r="I777" s="105" t="e">
        <f t="shared" si="49"/>
        <v>#REF!</v>
      </c>
      <c r="J777" s="106" t="e">
        <f t="shared" si="50"/>
        <v>#REF!</v>
      </c>
      <c r="K777" s="107" t="e">
        <f t="shared" si="51"/>
        <v>#REF!</v>
      </c>
    </row>
    <row r="778" spans="1:11" ht="15" customHeight="1" x14ac:dyDescent="0.2">
      <c r="A778" s="104" t="s">
        <v>207</v>
      </c>
      <c r="B778" s="104" t="s">
        <v>209</v>
      </c>
      <c r="C778" s="104" t="s">
        <v>40</v>
      </c>
      <c r="D778" s="104">
        <v>2020</v>
      </c>
      <c r="E778" s="105" t="e">
        <f>SUMIFS(#REF!,#REF!,$A778,#REF!,$B778,#REF!,$C778,#REF!,"Storage Demand")</f>
        <v>#REF!</v>
      </c>
      <c r="F778" s="105" t="e">
        <f>SUMIFS(#REF!,#REF!,$A778,#REF!,$B778,#REF!,$C778,#REF!,"&lt;&gt;Other Sector Demand")</f>
        <v>#REF!</v>
      </c>
      <c r="G778" s="106" t="e">
        <f t="shared" si="48"/>
        <v>#REF!</v>
      </c>
      <c r="H778" s="105" t="e">
        <f>SUMIFS(#REF!,#REF!,$A778,#REF!,$B778,#REF!,$C778,#REF!,"Other Sector Demand")</f>
        <v>#REF!</v>
      </c>
      <c r="I778" s="105" t="e">
        <f t="shared" si="49"/>
        <v>#REF!</v>
      </c>
      <c r="J778" s="106" t="e">
        <f t="shared" si="50"/>
        <v>#REF!</v>
      </c>
      <c r="K778" s="107" t="e">
        <f t="shared" si="51"/>
        <v>#REF!</v>
      </c>
    </row>
    <row r="779" spans="1:11" ht="15" customHeight="1" x14ac:dyDescent="0.2">
      <c r="A779" s="104" t="s">
        <v>207</v>
      </c>
      <c r="B779" s="104" t="s">
        <v>209</v>
      </c>
      <c r="C779" s="104" t="s">
        <v>40</v>
      </c>
      <c r="D779" s="104">
        <v>2030</v>
      </c>
      <c r="E779" s="105" t="e">
        <f>SUMIFS(#REF!,#REF!,$A779,#REF!,$B779,#REF!,$C779,#REF!,"Storage Demand")</f>
        <v>#REF!</v>
      </c>
      <c r="F779" s="105" t="e">
        <f>SUMIFS(#REF!,#REF!,$A779,#REF!,$B779,#REF!,$C779,#REF!,"&lt;&gt;Other Sector Demand")</f>
        <v>#REF!</v>
      </c>
      <c r="G779" s="106" t="e">
        <f t="shared" si="48"/>
        <v>#REF!</v>
      </c>
      <c r="H779" s="105" t="e">
        <f>SUMIFS(#REF!,#REF!,$A779,#REF!,$B779,#REF!,$C779,#REF!,"Other Sector Demand")</f>
        <v>#REF!</v>
      </c>
      <c r="I779" s="105" t="e">
        <f t="shared" si="49"/>
        <v>#REF!</v>
      </c>
      <c r="J779" s="106" t="e">
        <f t="shared" si="50"/>
        <v>#REF!</v>
      </c>
      <c r="K779" s="107" t="e">
        <f t="shared" si="51"/>
        <v>#REF!</v>
      </c>
    </row>
    <row r="780" spans="1:11" ht="15" customHeight="1" x14ac:dyDescent="0.2">
      <c r="A780" s="104" t="s">
        <v>207</v>
      </c>
      <c r="B780" s="104" t="s">
        <v>209</v>
      </c>
      <c r="C780" s="104" t="s">
        <v>40</v>
      </c>
      <c r="D780" s="104">
        <v>2040</v>
      </c>
      <c r="E780" s="105" t="e">
        <f>SUMIFS(#REF!,#REF!,$A780,#REF!,$B780,#REF!,$C780,#REF!,"Storage Demand")</f>
        <v>#REF!</v>
      </c>
      <c r="F780" s="105" t="e">
        <f>SUMIFS(#REF!,#REF!,$A780,#REF!,$B780,#REF!,$C780,#REF!,"&lt;&gt;Other Sector Demand")</f>
        <v>#REF!</v>
      </c>
      <c r="G780" s="106" t="e">
        <f t="shared" si="48"/>
        <v>#REF!</v>
      </c>
      <c r="H780" s="105" t="e">
        <f>SUMIFS(#REF!,#REF!,$A780,#REF!,$B780,#REF!,$C780,#REF!,"Other Sector Demand")</f>
        <v>#REF!</v>
      </c>
      <c r="I780" s="105" t="e">
        <f t="shared" si="49"/>
        <v>#REF!</v>
      </c>
      <c r="J780" s="106" t="e">
        <f t="shared" si="50"/>
        <v>#REF!</v>
      </c>
      <c r="K780" s="107" t="e">
        <f t="shared" si="51"/>
        <v>#REF!</v>
      </c>
    </row>
    <row r="781" spans="1:11" ht="15" customHeight="1" x14ac:dyDescent="0.2">
      <c r="A781" s="104" t="s">
        <v>207</v>
      </c>
      <c r="B781" s="104" t="s">
        <v>209</v>
      </c>
      <c r="C781" s="104" t="s">
        <v>40</v>
      </c>
      <c r="D781" s="104">
        <v>2050</v>
      </c>
      <c r="E781" s="105" t="e">
        <f>SUMIFS(#REF!,#REF!,$A781,#REF!,$B781,#REF!,$C781,#REF!,"Storage Demand")</f>
        <v>#REF!</v>
      </c>
      <c r="F781" s="105" t="e">
        <f>SUMIFS(#REF!,#REF!,$A781,#REF!,$B781,#REF!,$C781,#REF!,"&lt;&gt;Other Sector Demand")</f>
        <v>#REF!</v>
      </c>
      <c r="G781" s="106" t="e">
        <f t="shared" si="48"/>
        <v>#REF!</v>
      </c>
      <c r="H781" s="105" t="e">
        <f>SUMIFS(#REF!,#REF!,$A781,#REF!,$B781,#REF!,$C781,#REF!,"Other Sector Demand")</f>
        <v>#REF!</v>
      </c>
      <c r="I781" s="105" t="e">
        <f t="shared" si="49"/>
        <v>#REF!</v>
      </c>
      <c r="J781" s="106" t="e">
        <f t="shared" si="50"/>
        <v>#REF!</v>
      </c>
      <c r="K781" s="107" t="e">
        <f t="shared" si="51"/>
        <v>#REF!</v>
      </c>
    </row>
    <row r="782" spans="1:11" ht="15" customHeight="1" x14ac:dyDescent="0.2">
      <c r="A782" s="104" t="s">
        <v>207</v>
      </c>
      <c r="B782" s="104" t="s">
        <v>209</v>
      </c>
      <c r="C782" s="104" t="s">
        <v>41</v>
      </c>
      <c r="D782" s="104">
        <v>2020</v>
      </c>
      <c r="E782" s="105" t="e">
        <f>SUMIFS(#REF!,#REF!,$A782,#REF!,$B782,#REF!,$C782,#REF!,"Storage Demand")</f>
        <v>#REF!</v>
      </c>
      <c r="F782" s="105" t="e">
        <f>SUMIFS(#REF!,#REF!,$A782,#REF!,$B782,#REF!,$C782,#REF!,"&lt;&gt;Other Sector Demand")</f>
        <v>#REF!</v>
      </c>
      <c r="G782" s="106" t="e">
        <f t="shared" si="48"/>
        <v>#REF!</v>
      </c>
      <c r="H782" s="105" t="e">
        <f>SUMIFS(#REF!,#REF!,$A782,#REF!,$B782,#REF!,$C782,#REF!,"Other Sector Demand")</f>
        <v>#REF!</v>
      </c>
      <c r="I782" s="105" t="e">
        <f t="shared" si="49"/>
        <v>#REF!</v>
      </c>
      <c r="J782" s="106" t="e">
        <f t="shared" si="50"/>
        <v>#REF!</v>
      </c>
      <c r="K782" s="107" t="e">
        <f t="shared" si="51"/>
        <v>#REF!</v>
      </c>
    </row>
    <row r="783" spans="1:11" ht="15" customHeight="1" x14ac:dyDescent="0.2">
      <c r="A783" s="104" t="s">
        <v>207</v>
      </c>
      <c r="B783" s="104" t="s">
        <v>209</v>
      </c>
      <c r="C783" s="104" t="s">
        <v>41</v>
      </c>
      <c r="D783" s="104">
        <v>2030</v>
      </c>
      <c r="E783" s="105" t="e">
        <f>SUMIFS(#REF!,#REF!,$A783,#REF!,$B783,#REF!,$C783,#REF!,"Storage Demand")</f>
        <v>#REF!</v>
      </c>
      <c r="F783" s="105" t="e">
        <f>SUMIFS(#REF!,#REF!,$A783,#REF!,$B783,#REF!,$C783,#REF!,"&lt;&gt;Other Sector Demand")</f>
        <v>#REF!</v>
      </c>
      <c r="G783" s="106" t="e">
        <f t="shared" si="48"/>
        <v>#REF!</v>
      </c>
      <c r="H783" s="105" t="e">
        <f>SUMIFS(#REF!,#REF!,$A783,#REF!,$B783,#REF!,$C783,#REF!,"Other Sector Demand")</f>
        <v>#REF!</v>
      </c>
      <c r="I783" s="105" t="e">
        <f t="shared" si="49"/>
        <v>#REF!</v>
      </c>
      <c r="J783" s="106" t="e">
        <f t="shared" si="50"/>
        <v>#REF!</v>
      </c>
      <c r="K783" s="107" t="e">
        <f t="shared" si="51"/>
        <v>#REF!</v>
      </c>
    </row>
    <row r="784" spans="1:11" ht="15" customHeight="1" x14ac:dyDescent="0.2">
      <c r="A784" s="104" t="s">
        <v>207</v>
      </c>
      <c r="B784" s="104" t="s">
        <v>209</v>
      </c>
      <c r="C784" s="104" t="s">
        <v>41</v>
      </c>
      <c r="D784" s="104">
        <v>2040</v>
      </c>
      <c r="E784" s="105" t="e">
        <f>SUMIFS(#REF!,#REF!,$A784,#REF!,$B784,#REF!,$C784,#REF!,"Storage Demand")</f>
        <v>#REF!</v>
      </c>
      <c r="F784" s="105" t="e">
        <f>SUMIFS(#REF!,#REF!,$A784,#REF!,$B784,#REF!,$C784,#REF!,"&lt;&gt;Other Sector Demand")</f>
        <v>#REF!</v>
      </c>
      <c r="G784" s="106" t="e">
        <f t="shared" si="48"/>
        <v>#REF!</v>
      </c>
      <c r="H784" s="105" t="e">
        <f>SUMIFS(#REF!,#REF!,$A784,#REF!,$B784,#REF!,$C784,#REF!,"Other Sector Demand")</f>
        <v>#REF!</v>
      </c>
      <c r="I784" s="105" t="e">
        <f t="shared" si="49"/>
        <v>#REF!</v>
      </c>
      <c r="J784" s="106" t="e">
        <f t="shared" si="50"/>
        <v>#REF!</v>
      </c>
      <c r="K784" s="107" t="e">
        <f t="shared" si="51"/>
        <v>#REF!</v>
      </c>
    </row>
    <row r="785" spans="1:11" ht="15" customHeight="1" x14ac:dyDescent="0.2">
      <c r="A785" s="104" t="s">
        <v>207</v>
      </c>
      <c r="B785" s="104" t="s">
        <v>209</v>
      </c>
      <c r="C785" s="104" t="s">
        <v>41</v>
      </c>
      <c r="D785" s="104">
        <v>2050</v>
      </c>
      <c r="E785" s="105" t="e">
        <f>SUMIFS(#REF!,#REF!,$A785,#REF!,$B785,#REF!,$C785,#REF!,"Storage Demand")</f>
        <v>#REF!</v>
      </c>
      <c r="F785" s="105" t="e">
        <f>SUMIFS(#REF!,#REF!,$A785,#REF!,$B785,#REF!,$C785,#REF!,"&lt;&gt;Other Sector Demand")</f>
        <v>#REF!</v>
      </c>
      <c r="G785" s="106" t="e">
        <f t="shared" si="48"/>
        <v>#REF!</v>
      </c>
      <c r="H785" s="105" t="e">
        <f>SUMIFS(#REF!,#REF!,$A785,#REF!,$B785,#REF!,$C785,#REF!,"Other Sector Demand")</f>
        <v>#REF!</v>
      </c>
      <c r="I785" s="105" t="e">
        <f t="shared" si="49"/>
        <v>#REF!</v>
      </c>
      <c r="J785" s="106" t="e">
        <f t="shared" si="50"/>
        <v>#REF!</v>
      </c>
      <c r="K785" s="107" t="e">
        <f t="shared" si="51"/>
        <v>#REF!</v>
      </c>
    </row>
    <row r="786" spans="1:11" ht="15" customHeight="1" x14ac:dyDescent="0.2">
      <c r="A786" s="104" t="s">
        <v>207</v>
      </c>
      <c r="B786" s="104" t="s">
        <v>209</v>
      </c>
      <c r="C786" s="104" t="s">
        <v>42</v>
      </c>
      <c r="D786" s="104">
        <v>2020</v>
      </c>
      <c r="E786" s="105" t="e">
        <f>SUMIFS(#REF!,#REF!,$A786,#REF!,$B786,#REF!,$C786,#REF!,"Storage Demand")</f>
        <v>#REF!</v>
      </c>
      <c r="F786" s="105" t="e">
        <f>SUMIFS(#REF!,#REF!,$A786,#REF!,$B786,#REF!,$C786,#REF!,"&lt;&gt;Other Sector Demand")</f>
        <v>#REF!</v>
      </c>
      <c r="G786" s="106" t="e">
        <f t="shared" si="48"/>
        <v>#REF!</v>
      </c>
      <c r="H786" s="105" t="e">
        <f>SUMIFS(#REF!,#REF!,$A786,#REF!,$B786,#REF!,$C786,#REF!,"Other Sector Demand")</f>
        <v>#REF!</v>
      </c>
      <c r="I786" s="105" t="e">
        <f t="shared" si="49"/>
        <v>#REF!</v>
      </c>
      <c r="J786" s="106" t="e">
        <f t="shared" si="50"/>
        <v>#REF!</v>
      </c>
      <c r="K786" s="107" t="e">
        <f t="shared" si="51"/>
        <v>#REF!</v>
      </c>
    </row>
    <row r="787" spans="1:11" ht="15" customHeight="1" x14ac:dyDescent="0.2">
      <c r="A787" s="104" t="s">
        <v>207</v>
      </c>
      <c r="B787" s="104" t="s">
        <v>209</v>
      </c>
      <c r="C787" s="104" t="s">
        <v>42</v>
      </c>
      <c r="D787" s="104">
        <v>2030</v>
      </c>
      <c r="E787" s="105" t="e">
        <f>SUMIFS(#REF!,#REF!,$A787,#REF!,$B787,#REF!,$C787,#REF!,"Storage Demand")</f>
        <v>#REF!</v>
      </c>
      <c r="F787" s="105" t="e">
        <f>SUMIFS(#REF!,#REF!,$A787,#REF!,$B787,#REF!,$C787,#REF!,"&lt;&gt;Other Sector Demand")</f>
        <v>#REF!</v>
      </c>
      <c r="G787" s="106" t="e">
        <f t="shared" si="48"/>
        <v>#REF!</v>
      </c>
      <c r="H787" s="105" t="e">
        <f>SUMIFS(#REF!,#REF!,$A787,#REF!,$B787,#REF!,$C787,#REF!,"Other Sector Demand")</f>
        <v>#REF!</v>
      </c>
      <c r="I787" s="105" t="e">
        <f t="shared" si="49"/>
        <v>#REF!</v>
      </c>
      <c r="J787" s="106" t="e">
        <f t="shared" si="50"/>
        <v>#REF!</v>
      </c>
      <c r="K787" s="107" t="e">
        <f t="shared" si="51"/>
        <v>#REF!</v>
      </c>
    </row>
    <row r="788" spans="1:11" ht="15" customHeight="1" x14ac:dyDescent="0.2">
      <c r="A788" s="104" t="s">
        <v>207</v>
      </c>
      <c r="B788" s="104" t="s">
        <v>209</v>
      </c>
      <c r="C788" s="104" t="s">
        <v>42</v>
      </c>
      <c r="D788" s="104">
        <v>2040</v>
      </c>
      <c r="E788" s="105" t="e">
        <f>SUMIFS(#REF!,#REF!,$A788,#REF!,$B788,#REF!,$C788,#REF!,"Storage Demand")</f>
        <v>#REF!</v>
      </c>
      <c r="F788" s="105" t="e">
        <f>SUMIFS(#REF!,#REF!,$A788,#REF!,$B788,#REF!,$C788,#REF!,"&lt;&gt;Other Sector Demand")</f>
        <v>#REF!</v>
      </c>
      <c r="G788" s="106" t="e">
        <f t="shared" si="48"/>
        <v>#REF!</v>
      </c>
      <c r="H788" s="105" t="e">
        <f>SUMIFS(#REF!,#REF!,$A788,#REF!,$B788,#REF!,$C788,#REF!,"Other Sector Demand")</f>
        <v>#REF!</v>
      </c>
      <c r="I788" s="105" t="e">
        <f t="shared" si="49"/>
        <v>#REF!</v>
      </c>
      <c r="J788" s="106" t="e">
        <f t="shared" si="50"/>
        <v>#REF!</v>
      </c>
      <c r="K788" s="107" t="e">
        <f t="shared" si="51"/>
        <v>#REF!</v>
      </c>
    </row>
    <row r="789" spans="1:11" ht="15" customHeight="1" x14ac:dyDescent="0.2">
      <c r="A789" s="104" t="s">
        <v>207</v>
      </c>
      <c r="B789" s="104" t="s">
        <v>209</v>
      </c>
      <c r="C789" s="104" t="s">
        <v>42</v>
      </c>
      <c r="D789" s="104">
        <v>2050</v>
      </c>
      <c r="E789" s="105" t="e">
        <f>SUMIFS(#REF!,#REF!,$A789,#REF!,$B789,#REF!,$C789,#REF!,"Storage Demand")</f>
        <v>#REF!</v>
      </c>
      <c r="F789" s="105" t="e">
        <f>SUMIFS(#REF!,#REF!,$A789,#REF!,$B789,#REF!,$C789,#REF!,"&lt;&gt;Other Sector Demand")</f>
        <v>#REF!</v>
      </c>
      <c r="G789" s="106" t="e">
        <f t="shared" si="48"/>
        <v>#REF!</v>
      </c>
      <c r="H789" s="105" t="e">
        <f>SUMIFS(#REF!,#REF!,$A789,#REF!,$B789,#REF!,$C789,#REF!,"Other Sector Demand")</f>
        <v>#REF!</v>
      </c>
      <c r="I789" s="105" t="e">
        <f t="shared" si="49"/>
        <v>#REF!</v>
      </c>
      <c r="J789" s="106" t="e">
        <f t="shared" si="50"/>
        <v>#REF!</v>
      </c>
      <c r="K789" s="107" t="e">
        <f t="shared" si="51"/>
        <v>#REF!</v>
      </c>
    </row>
    <row r="790" spans="1:11" ht="15" customHeight="1" x14ac:dyDescent="0.2">
      <c r="A790" s="104" t="s">
        <v>207</v>
      </c>
      <c r="B790" s="104" t="s">
        <v>209</v>
      </c>
      <c r="C790" s="104" t="s">
        <v>44</v>
      </c>
      <c r="D790" s="104">
        <v>2020</v>
      </c>
      <c r="E790" s="105" t="e">
        <f>SUMIFS(#REF!,#REF!,$A790,#REF!,$B790,#REF!,$C790,#REF!,"Storage Demand")</f>
        <v>#REF!</v>
      </c>
      <c r="F790" s="105" t="e">
        <f>SUMIFS(#REF!,#REF!,$A790,#REF!,$B790,#REF!,$C790,#REF!,"&lt;&gt;Other Sector Demand")</f>
        <v>#REF!</v>
      </c>
      <c r="G790" s="106" t="e">
        <f t="shared" si="48"/>
        <v>#REF!</v>
      </c>
      <c r="H790" s="105" t="e">
        <f>SUMIFS(#REF!,#REF!,$A790,#REF!,$B790,#REF!,$C790,#REF!,"Other Sector Demand")</f>
        <v>#REF!</v>
      </c>
      <c r="I790" s="105" t="e">
        <f t="shared" si="49"/>
        <v>#REF!</v>
      </c>
      <c r="J790" s="106" t="e">
        <f t="shared" si="50"/>
        <v>#REF!</v>
      </c>
      <c r="K790" s="107" t="e">
        <f t="shared" si="51"/>
        <v>#REF!</v>
      </c>
    </row>
    <row r="791" spans="1:11" ht="15" customHeight="1" x14ac:dyDescent="0.2">
      <c r="A791" s="104" t="s">
        <v>207</v>
      </c>
      <c r="B791" s="104" t="s">
        <v>209</v>
      </c>
      <c r="C791" s="104" t="s">
        <v>44</v>
      </c>
      <c r="D791" s="104">
        <v>2030</v>
      </c>
      <c r="E791" s="105" t="e">
        <f>SUMIFS(#REF!,#REF!,$A791,#REF!,$B791,#REF!,$C791,#REF!,"Storage Demand")</f>
        <v>#REF!</v>
      </c>
      <c r="F791" s="105" t="e">
        <f>SUMIFS(#REF!,#REF!,$A791,#REF!,$B791,#REF!,$C791,#REF!,"&lt;&gt;Other Sector Demand")</f>
        <v>#REF!</v>
      </c>
      <c r="G791" s="106" t="e">
        <f t="shared" si="48"/>
        <v>#REF!</v>
      </c>
      <c r="H791" s="105" t="e">
        <f>SUMIFS(#REF!,#REF!,$A791,#REF!,$B791,#REF!,$C791,#REF!,"Other Sector Demand")</f>
        <v>#REF!</v>
      </c>
      <c r="I791" s="105" t="e">
        <f t="shared" si="49"/>
        <v>#REF!</v>
      </c>
      <c r="J791" s="106" t="e">
        <f t="shared" si="50"/>
        <v>#REF!</v>
      </c>
      <c r="K791" s="107" t="e">
        <f t="shared" si="51"/>
        <v>#REF!</v>
      </c>
    </row>
    <row r="792" spans="1:11" ht="15" customHeight="1" x14ac:dyDescent="0.2">
      <c r="A792" s="104" t="s">
        <v>207</v>
      </c>
      <c r="B792" s="104" t="s">
        <v>209</v>
      </c>
      <c r="C792" s="104" t="s">
        <v>44</v>
      </c>
      <c r="D792" s="104">
        <v>2040</v>
      </c>
      <c r="E792" s="105" t="e">
        <f>SUMIFS(#REF!,#REF!,$A792,#REF!,$B792,#REF!,$C792,#REF!,"Storage Demand")</f>
        <v>#REF!</v>
      </c>
      <c r="F792" s="105" t="e">
        <f>SUMIFS(#REF!,#REF!,$A792,#REF!,$B792,#REF!,$C792,#REF!,"&lt;&gt;Other Sector Demand")</f>
        <v>#REF!</v>
      </c>
      <c r="G792" s="106" t="e">
        <f t="shared" si="48"/>
        <v>#REF!</v>
      </c>
      <c r="H792" s="105" t="e">
        <f>SUMIFS(#REF!,#REF!,$A792,#REF!,$B792,#REF!,$C792,#REF!,"Other Sector Demand")</f>
        <v>#REF!</v>
      </c>
      <c r="I792" s="105" t="e">
        <f t="shared" si="49"/>
        <v>#REF!</v>
      </c>
      <c r="J792" s="106" t="e">
        <f t="shared" si="50"/>
        <v>#REF!</v>
      </c>
      <c r="K792" s="107" t="e">
        <f t="shared" si="51"/>
        <v>#REF!</v>
      </c>
    </row>
    <row r="793" spans="1:11" ht="15" customHeight="1" x14ac:dyDescent="0.2">
      <c r="A793" s="104" t="s">
        <v>207</v>
      </c>
      <c r="B793" s="104" t="s">
        <v>209</v>
      </c>
      <c r="C793" s="104" t="s">
        <v>44</v>
      </c>
      <c r="D793" s="104">
        <v>2050</v>
      </c>
      <c r="E793" s="105" t="e">
        <f>SUMIFS(#REF!,#REF!,$A793,#REF!,$B793,#REF!,$C793,#REF!,"Storage Demand")</f>
        <v>#REF!</v>
      </c>
      <c r="F793" s="105" t="e">
        <f>SUMIFS(#REF!,#REF!,$A793,#REF!,$B793,#REF!,$C793,#REF!,"&lt;&gt;Other Sector Demand")</f>
        <v>#REF!</v>
      </c>
      <c r="G793" s="106" t="e">
        <f t="shared" si="48"/>
        <v>#REF!</v>
      </c>
      <c r="H793" s="105" t="e">
        <f>SUMIFS(#REF!,#REF!,$A793,#REF!,$B793,#REF!,$C793,#REF!,"Other Sector Demand")</f>
        <v>#REF!</v>
      </c>
      <c r="I793" s="105" t="e">
        <f t="shared" si="49"/>
        <v>#REF!</v>
      </c>
      <c r="J793" s="106" t="e">
        <f t="shared" si="50"/>
        <v>#REF!</v>
      </c>
      <c r="K793" s="107" t="e">
        <f t="shared" si="51"/>
        <v>#REF!</v>
      </c>
    </row>
    <row r="794" spans="1:11" ht="15" customHeight="1" x14ac:dyDescent="0.2">
      <c r="A794" s="104" t="s">
        <v>207</v>
      </c>
      <c r="B794" s="104" t="s">
        <v>209</v>
      </c>
      <c r="C794" s="104" t="s">
        <v>45</v>
      </c>
      <c r="D794" s="104">
        <v>2020</v>
      </c>
      <c r="E794" s="105" t="e">
        <f>SUMIFS(#REF!,#REF!,$A794,#REF!,$B794,#REF!,$C794,#REF!,"Storage Demand")</f>
        <v>#REF!</v>
      </c>
      <c r="F794" s="105" t="e">
        <f>SUMIFS(#REF!,#REF!,$A794,#REF!,$B794,#REF!,$C794,#REF!,"&lt;&gt;Other Sector Demand")</f>
        <v>#REF!</v>
      </c>
      <c r="G794" s="106" t="e">
        <f t="shared" si="48"/>
        <v>#REF!</v>
      </c>
      <c r="H794" s="105" t="e">
        <f>SUMIFS(#REF!,#REF!,$A794,#REF!,$B794,#REF!,$C794,#REF!,"Other Sector Demand")</f>
        <v>#REF!</v>
      </c>
      <c r="I794" s="105" t="e">
        <f t="shared" si="49"/>
        <v>#REF!</v>
      </c>
      <c r="J794" s="106" t="e">
        <f t="shared" si="50"/>
        <v>#REF!</v>
      </c>
      <c r="K794" s="107" t="e">
        <f t="shared" si="51"/>
        <v>#REF!</v>
      </c>
    </row>
    <row r="795" spans="1:11" ht="15" customHeight="1" x14ac:dyDescent="0.2">
      <c r="A795" s="104" t="s">
        <v>207</v>
      </c>
      <c r="B795" s="104" t="s">
        <v>209</v>
      </c>
      <c r="C795" s="104" t="s">
        <v>45</v>
      </c>
      <c r="D795" s="104">
        <v>2030</v>
      </c>
      <c r="E795" s="105" t="e">
        <f>SUMIFS(#REF!,#REF!,$A795,#REF!,$B795,#REF!,$C795,#REF!,"Storage Demand")</f>
        <v>#REF!</v>
      </c>
      <c r="F795" s="105" t="e">
        <f>SUMIFS(#REF!,#REF!,$A795,#REF!,$B795,#REF!,$C795,#REF!,"&lt;&gt;Other Sector Demand")</f>
        <v>#REF!</v>
      </c>
      <c r="G795" s="106" t="e">
        <f t="shared" si="48"/>
        <v>#REF!</v>
      </c>
      <c r="H795" s="105" t="e">
        <f>SUMIFS(#REF!,#REF!,$A795,#REF!,$B795,#REF!,$C795,#REF!,"Other Sector Demand")</f>
        <v>#REF!</v>
      </c>
      <c r="I795" s="105" t="e">
        <f t="shared" si="49"/>
        <v>#REF!</v>
      </c>
      <c r="J795" s="106" t="e">
        <f t="shared" si="50"/>
        <v>#REF!</v>
      </c>
      <c r="K795" s="107" t="e">
        <f t="shared" si="51"/>
        <v>#REF!</v>
      </c>
    </row>
    <row r="796" spans="1:11" ht="15" customHeight="1" x14ac:dyDescent="0.2">
      <c r="A796" s="104" t="s">
        <v>207</v>
      </c>
      <c r="B796" s="104" t="s">
        <v>209</v>
      </c>
      <c r="C796" s="104" t="s">
        <v>45</v>
      </c>
      <c r="D796" s="104">
        <v>2040</v>
      </c>
      <c r="E796" s="105" t="e">
        <f>SUMIFS(#REF!,#REF!,$A796,#REF!,$B796,#REF!,$C796,#REF!,"Storage Demand")</f>
        <v>#REF!</v>
      </c>
      <c r="F796" s="105" t="e">
        <f>SUMIFS(#REF!,#REF!,$A796,#REF!,$B796,#REF!,$C796,#REF!,"&lt;&gt;Other Sector Demand")</f>
        <v>#REF!</v>
      </c>
      <c r="G796" s="106" t="e">
        <f t="shared" si="48"/>
        <v>#REF!</v>
      </c>
      <c r="H796" s="105" t="e">
        <f>SUMIFS(#REF!,#REF!,$A796,#REF!,$B796,#REF!,$C796,#REF!,"Other Sector Demand")</f>
        <v>#REF!</v>
      </c>
      <c r="I796" s="105" t="e">
        <f t="shared" si="49"/>
        <v>#REF!</v>
      </c>
      <c r="J796" s="106" t="e">
        <f t="shared" si="50"/>
        <v>#REF!</v>
      </c>
      <c r="K796" s="107" t="e">
        <f t="shared" si="51"/>
        <v>#REF!</v>
      </c>
    </row>
    <row r="797" spans="1:11" ht="15" customHeight="1" x14ac:dyDescent="0.2">
      <c r="A797" s="104" t="s">
        <v>207</v>
      </c>
      <c r="B797" s="104" t="s">
        <v>209</v>
      </c>
      <c r="C797" s="104" t="s">
        <v>45</v>
      </c>
      <c r="D797" s="104">
        <v>2050</v>
      </c>
      <c r="E797" s="105" t="e">
        <f>SUMIFS(#REF!,#REF!,$A797,#REF!,$B797,#REF!,$C797,#REF!,"Storage Demand")</f>
        <v>#REF!</v>
      </c>
      <c r="F797" s="105" t="e">
        <f>SUMIFS(#REF!,#REF!,$A797,#REF!,$B797,#REF!,$C797,#REF!,"&lt;&gt;Other Sector Demand")</f>
        <v>#REF!</v>
      </c>
      <c r="G797" s="106" t="e">
        <f t="shared" si="48"/>
        <v>#REF!</v>
      </c>
      <c r="H797" s="105" t="e">
        <f>SUMIFS(#REF!,#REF!,$A797,#REF!,$B797,#REF!,$C797,#REF!,"Other Sector Demand")</f>
        <v>#REF!</v>
      </c>
      <c r="I797" s="105" t="e">
        <f t="shared" si="49"/>
        <v>#REF!</v>
      </c>
      <c r="J797" s="106" t="e">
        <f t="shared" si="50"/>
        <v>#REF!</v>
      </c>
      <c r="K797" s="107" t="e">
        <f t="shared" si="51"/>
        <v>#REF!</v>
      </c>
    </row>
    <row r="798" spans="1:11" ht="15" customHeight="1" x14ac:dyDescent="0.2">
      <c r="A798" s="104" t="s">
        <v>207</v>
      </c>
      <c r="B798" s="104" t="s">
        <v>209</v>
      </c>
      <c r="C798" s="104" t="s">
        <v>46</v>
      </c>
      <c r="D798" s="104">
        <v>2020</v>
      </c>
      <c r="E798" s="105" t="e">
        <f>SUMIFS(#REF!,#REF!,$A798,#REF!,$B798,#REF!,$C798,#REF!,"Storage Demand")</f>
        <v>#REF!</v>
      </c>
      <c r="F798" s="105" t="e">
        <f>SUMIFS(#REF!,#REF!,$A798,#REF!,$B798,#REF!,$C798,#REF!,"&lt;&gt;Other Sector Demand")</f>
        <v>#REF!</v>
      </c>
      <c r="G798" s="106" t="e">
        <f t="shared" si="48"/>
        <v>#REF!</v>
      </c>
      <c r="H798" s="105" t="e">
        <f>SUMIFS(#REF!,#REF!,$A798,#REF!,$B798,#REF!,$C798,#REF!,"Other Sector Demand")</f>
        <v>#REF!</v>
      </c>
      <c r="I798" s="105" t="e">
        <f t="shared" si="49"/>
        <v>#REF!</v>
      </c>
      <c r="J798" s="106" t="e">
        <f t="shared" si="50"/>
        <v>#REF!</v>
      </c>
      <c r="K798" s="107" t="e">
        <f t="shared" si="51"/>
        <v>#REF!</v>
      </c>
    </row>
    <row r="799" spans="1:11" ht="15" customHeight="1" x14ac:dyDescent="0.2">
      <c r="A799" s="104" t="s">
        <v>207</v>
      </c>
      <c r="B799" s="104" t="s">
        <v>209</v>
      </c>
      <c r="C799" s="104" t="s">
        <v>46</v>
      </c>
      <c r="D799" s="104">
        <v>2030</v>
      </c>
      <c r="E799" s="105" t="e">
        <f>SUMIFS(#REF!,#REF!,$A799,#REF!,$B799,#REF!,$C799,#REF!,"Storage Demand")</f>
        <v>#REF!</v>
      </c>
      <c r="F799" s="105" t="e">
        <f>SUMIFS(#REF!,#REF!,$A799,#REF!,$B799,#REF!,$C799,#REF!,"&lt;&gt;Other Sector Demand")</f>
        <v>#REF!</v>
      </c>
      <c r="G799" s="106" t="e">
        <f t="shared" si="48"/>
        <v>#REF!</v>
      </c>
      <c r="H799" s="105" t="e">
        <f>SUMIFS(#REF!,#REF!,$A799,#REF!,$B799,#REF!,$C799,#REF!,"Other Sector Demand")</f>
        <v>#REF!</v>
      </c>
      <c r="I799" s="105" t="e">
        <f t="shared" si="49"/>
        <v>#REF!</v>
      </c>
      <c r="J799" s="106" t="e">
        <f t="shared" si="50"/>
        <v>#REF!</v>
      </c>
      <c r="K799" s="107" t="e">
        <f t="shared" si="51"/>
        <v>#REF!</v>
      </c>
    </row>
    <row r="800" spans="1:11" ht="15" customHeight="1" x14ac:dyDescent="0.2">
      <c r="A800" s="104" t="s">
        <v>207</v>
      </c>
      <c r="B800" s="104" t="s">
        <v>209</v>
      </c>
      <c r="C800" s="104" t="s">
        <v>46</v>
      </c>
      <c r="D800" s="104">
        <v>2040</v>
      </c>
      <c r="E800" s="105" t="e">
        <f>SUMIFS(#REF!,#REF!,$A800,#REF!,$B800,#REF!,$C800,#REF!,"Storage Demand")</f>
        <v>#REF!</v>
      </c>
      <c r="F800" s="105" t="e">
        <f>SUMIFS(#REF!,#REF!,$A800,#REF!,$B800,#REF!,$C800,#REF!,"&lt;&gt;Other Sector Demand")</f>
        <v>#REF!</v>
      </c>
      <c r="G800" s="106" t="e">
        <f t="shared" si="48"/>
        <v>#REF!</v>
      </c>
      <c r="H800" s="105" t="e">
        <f>SUMIFS(#REF!,#REF!,$A800,#REF!,$B800,#REF!,$C800,#REF!,"Other Sector Demand")</f>
        <v>#REF!</v>
      </c>
      <c r="I800" s="105" t="e">
        <f t="shared" si="49"/>
        <v>#REF!</v>
      </c>
      <c r="J800" s="106" t="e">
        <f t="shared" si="50"/>
        <v>#REF!</v>
      </c>
      <c r="K800" s="107" t="e">
        <f t="shared" si="51"/>
        <v>#REF!</v>
      </c>
    </row>
    <row r="801" spans="1:11" ht="15" customHeight="1" x14ac:dyDescent="0.2">
      <c r="A801" s="104" t="s">
        <v>207</v>
      </c>
      <c r="B801" s="104" t="s">
        <v>209</v>
      </c>
      <c r="C801" s="104" t="s">
        <v>46</v>
      </c>
      <c r="D801" s="104">
        <v>2050</v>
      </c>
      <c r="E801" s="105" t="e">
        <f>SUMIFS(#REF!,#REF!,$A801,#REF!,$B801,#REF!,$C801,#REF!,"Storage Demand")</f>
        <v>#REF!</v>
      </c>
      <c r="F801" s="105" t="e">
        <f>SUMIFS(#REF!,#REF!,$A801,#REF!,$B801,#REF!,$C801,#REF!,"&lt;&gt;Other Sector Demand")</f>
        <v>#REF!</v>
      </c>
      <c r="G801" s="106" t="e">
        <f t="shared" si="48"/>
        <v>#REF!</v>
      </c>
      <c r="H801" s="105" t="e">
        <f>SUMIFS(#REF!,#REF!,$A801,#REF!,$B801,#REF!,$C801,#REF!,"Other Sector Demand")</f>
        <v>#REF!</v>
      </c>
      <c r="I801" s="105" t="e">
        <f t="shared" si="49"/>
        <v>#REF!</v>
      </c>
      <c r="J801" s="106" t="e">
        <f t="shared" si="50"/>
        <v>#REF!</v>
      </c>
      <c r="K801" s="107" t="e">
        <f t="shared" si="51"/>
        <v>#REF!</v>
      </c>
    </row>
    <row r="802" spans="1:11" ht="15" customHeight="1" x14ac:dyDescent="0.2">
      <c r="A802" s="104" t="s">
        <v>207</v>
      </c>
      <c r="B802" s="104" t="s">
        <v>209</v>
      </c>
      <c r="C802" s="104" t="s">
        <v>47</v>
      </c>
      <c r="D802" s="104">
        <v>2020</v>
      </c>
      <c r="E802" s="105" t="e">
        <f>SUMIFS(#REF!,#REF!,$A802,#REF!,$B802,#REF!,$C802,#REF!,"Storage Demand")</f>
        <v>#REF!</v>
      </c>
      <c r="F802" s="105" t="e">
        <f>SUMIFS(#REF!,#REF!,$A802,#REF!,$B802,#REF!,$C802,#REF!,"&lt;&gt;Other Sector Demand")</f>
        <v>#REF!</v>
      </c>
      <c r="G802" s="106" t="e">
        <f t="shared" si="48"/>
        <v>#REF!</v>
      </c>
      <c r="H802" s="105" t="e">
        <f>SUMIFS(#REF!,#REF!,$A802,#REF!,$B802,#REF!,$C802,#REF!,"Other Sector Demand")</f>
        <v>#REF!</v>
      </c>
      <c r="I802" s="105" t="e">
        <f t="shared" si="49"/>
        <v>#REF!</v>
      </c>
      <c r="J802" s="106" t="e">
        <f t="shared" si="50"/>
        <v>#REF!</v>
      </c>
      <c r="K802" s="107" t="e">
        <f t="shared" si="51"/>
        <v>#REF!</v>
      </c>
    </row>
    <row r="803" spans="1:11" ht="15" customHeight="1" x14ac:dyDescent="0.2">
      <c r="A803" s="104" t="s">
        <v>207</v>
      </c>
      <c r="B803" s="104" t="s">
        <v>209</v>
      </c>
      <c r="C803" s="104" t="s">
        <v>47</v>
      </c>
      <c r="D803" s="104">
        <v>2030</v>
      </c>
      <c r="E803" s="105" t="e">
        <f>SUMIFS(#REF!,#REF!,$A803,#REF!,$B803,#REF!,$C803,#REF!,"Storage Demand")</f>
        <v>#REF!</v>
      </c>
      <c r="F803" s="105" t="e">
        <f>SUMIFS(#REF!,#REF!,$A803,#REF!,$B803,#REF!,$C803,#REF!,"&lt;&gt;Other Sector Demand")</f>
        <v>#REF!</v>
      </c>
      <c r="G803" s="106" t="e">
        <f t="shared" si="48"/>
        <v>#REF!</v>
      </c>
      <c r="H803" s="105" t="e">
        <f>SUMIFS(#REF!,#REF!,$A803,#REF!,$B803,#REF!,$C803,#REF!,"Other Sector Demand")</f>
        <v>#REF!</v>
      </c>
      <c r="I803" s="105" t="e">
        <f t="shared" si="49"/>
        <v>#REF!</v>
      </c>
      <c r="J803" s="106" t="e">
        <f t="shared" si="50"/>
        <v>#REF!</v>
      </c>
      <c r="K803" s="107" t="e">
        <f t="shared" si="51"/>
        <v>#REF!</v>
      </c>
    </row>
    <row r="804" spans="1:11" ht="15" customHeight="1" x14ac:dyDescent="0.2">
      <c r="A804" s="104" t="s">
        <v>207</v>
      </c>
      <c r="B804" s="104" t="s">
        <v>209</v>
      </c>
      <c r="C804" s="104" t="s">
        <v>47</v>
      </c>
      <c r="D804" s="104">
        <v>2040</v>
      </c>
      <c r="E804" s="105" t="e">
        <f>SUMIFS(#REF!,#REF!,$A804,#REF!,$B804,#REF!,$C804,#REF!,"Storage Demand")</f>
        <v>#REF!</v>
      </c>
      <c r="F804" s="105" t="e">
        <f>SUMIFS(#REF!,#REF!,$A804,#REF!,$B804,#REF!,$C804,#REF!,"&lt;&gt;Other Sector Demand")</f>
        <v>#REF!</v>
      </c>
      <c r="G804" s="106" t="e">
        <f t="shared" si="48"/>
        <v>#REF!</v>
      </c>
      <c r="H804" s="105" t="e">
        <f>SUMIFS(#REF!,#REF!,$A804,#REF!,$B804,#REF!,$C804,#REF!,"Other Sector Demand")</f>
        <v>#REF!</v>
      </c>
      <c r="I804" s="105" t="e">
        <f t="shared" si="49"/>
        <v>#REF!</v>
      </c>
      <c r="J804" s="106" t="e">
        <f t="shared" si="50"/>
        <v>#REF!</v>
      </c>
      <c r="K804" s="107" t="e">
        <f t="shared" si="51"/>
        <v>#REF!</v>
      </c>
    </row>
    <row r="805" spans="1:11" ht="15" customHeight="1" x14ac:dyDescent="0.2">
      <c r="A805" s="104" t="s">
        <v>207</v>
      </c>
      <c r="B805" s="104" t="s">
        <v>209</v>
      </c>
      <c r="C805" s="104" t="s">
        <v>47</v>
      </c>
      <c r="D805" s="104">
        <v>2050</v>
      </c>
      <c r="E805" s="105" t="e">
        <f>SUMIFS(#REF!,#REF!,$A805,#REF!,$B805,#REF!,$C805,#REF!,"Storage Demand")</f>
        <v>#REF!</v>
      </c>
      <c r="F805" s="105" t="e">
        <f>SUMIFS(#REF!,#REF!,$A805,#REF!,$B805,#REF!,$C805,#REF!,"&lt;&gt;Other Sector Demand")</f>
        <v>#REF!</v>
      </c>
      <c r="G805" s="106" t="e">
        <f t="shared" si="48"/>
        <v>#REF!</v>
      </c>
      <c r="H805" s="105" t="e">
        <f>SUMIFS(#REF!,#REF!,$A805,#REF!,$B805,#REF!,$C805,#REF!,"Other Sector Demand")</f>
        <v>#REF!</v>
      </c>
      <c r="I805" s="105" t="e">
        <f t="shared" si="49"/>
        <v>#REF!</v>
      </c>
      <c r="J805" s="106" t="e">
        <f t="shared" si="50"/>
        <v>#REF!</v>
      </c>
      <c r="K805" s="107" t="e">
        <f t="shared" si="51"/>
        <v>#REF!</v>
      </c>
    </row>
    <row r="806" spans="1:11" ht="15" customHeight="1" x14ac:dyDescent="0.2">
      <c r="A806" s="104" t="s">
        <v>207</v>
      </c>
      <c r="B806" s="104" t="s">
        <v>209</v>
      </c>
      <c r="C806" s="104" t="s">
        <v>49</v>
      </c>
      <c r="D806" s="104">
        <v>2020</v>
      </c>
      <c r="E806" s="105" t="e">
        <f>SUMIFS(#REF!,#REF!,$A806,#REF!,$B806,#REF!,$C806,#REF!,"Storage Demand")</f>
        <v>#REF!</v>
      </c>
      <c r="F806" s="105" t="e">
        <f>SUMIFS(#REF!,#REF!,$A806,#REF!,$B806,#REF!,$C806,#REF!,"&lt;&gt;Other Sector Demand")</f>
        <v>#REF!</v>
      </c>
      <c r="G806" s="106" t="e">
        <f t="shared" si="48"/>
        <v>#REF!</v>
      </c>
      <c r="H806" s="105" t="e">
        <f>SUMIFS(#REF!,#REF!,$A806,#REF!,$B806,#REF!,$C806,#REF!,"Other Sector Demand")</f>
        <v>#REF!</v>
      </c>
      <c r="I806" s="105" t="e">
        <f t="shared" si="49"/>
        <v>#REF!</v>
      </c>
      <c r="J806" s="106" t="e">
        <f t="shared" si="50"/>
        <v>#REF!</v>
      </c>
      <c r="K806" s="107" t="e">
        <f t="shared" si="51"/>
        <v>#REF!</v>
      </c>
    </row>
    <row r="807" spans="1:11" ht="15" customHeight="1" x14ac:dyDescent="0.2">
      <c r="A807" s="104" t="s">
        <v>207</v>
      </c>
      <c r="B807" s="104" t="s">
        <v>209</v>
      </c>
      <c r="C807" s="104" t="s">
        <v>49</v>
      </c>
      <c r="D807" s="104">
        <v>2030</v>
      </c>
      <c r="E807" s="105" t="e">
        <f>SUMIFS(#REF!,#REF!,$A807,#REF!,$B807,#REF!,$C807,#REF!,"Storage Demand")</f>
        <v>#REF!</v>
      </c>
      <c r="F807" s="105" t="e">
        <f>SUMIFS(#REF!,#REF!,$A807,#REF!,$B807,#REF!,$C807,#REF!,"&lt;&gt;Other Sector Demand")</f>
        <v>#REF!</v>
      </c>
      <c r="G807" s="106" t="e">
        <f t="shared" si="48"/>
        <v>#REF!</v>
      </c>
      <c r="H807" s="105" t="e">
        <f>SUMIFS(#REF!,#REF!,$A807,#REF!,$B807,#REF!,$C807,#REF!,"Other Sector Demand")</f>
        <v>#REF!</v>
      </c>
      <c r="I807" s="105" t="e">
        <f t="shared" si="49"/>
        <v>#REF!</v>
      </c>
      <c r="J807" s="106" t="e">
        <f t="shared" si="50"/>
        <v>#REF!</v>
      </c>
      <c r="K807" s="107" t="e">
        <f t="shared" si="51"/>
        <v>#REF!</v>
      </c>
    </row>
    <row r="808" spans="1:11" ht="15" customHeight="1" x14ac:dyDescent="0.2">
      <c r="A808" s="104" t="s">
        <v>207</v>
      </c>
      <c r="B808" s="104" t="s">
        <v>209</v>
      </c>
      <c r="C808" s="104" t="s">
        <v>49</v>
      </c>
      <c r="D808" s="104">
        <v>2040</v>
      </c>
      <c r="E808" s="105" t="e">
        <f>SUMIFS(#REF!,#REF!,$A808,#REF!,$B808,#REF!,$C808,#REF!,"Storage Demand")</f>
        <v>#REF!</v>
      </c>
      <c r="F808" s="105" t="e">
        <f>SUMIFS(#REF!,#REF!,$A808,#REF!,$B808,#REF!,$C808,#REF!,"&lt;&gt;Other Sector Demand")</f>
        <v>#REF!</v>
      </c>
      <c r="G808" s="106" t="e">
        <f t="shared" si="48"/>
        <v>#REF!</v>
      </c>
      <c r="H808" s="105" t="e">
        <f>SUMIFS(#REF!,#REF!,$A808,#REF!,$B808,#REF!,$C808,#REF!,"Other Sector Demand")</f>
        <v>#REF!</v>
      </c>
      <c r="I808" s="105" t="e">
        <f t="shared" si="49"/>
        <v>#REF!</v>
      </c>
      <c r="J808" s="106" t="e">
        <f t="shared" si="50"/>
        <v>#REF!</v>
      </c>
      <c r="K808" s="107" t="e">
        <f t="shared" si="51"/>
        <v>#REF!</v>
      </c>
    </row>
    <row r="809" spans="1:11" ht="15" customHeight="1" x14ac:dyDescent="0.2">
      <c r="A809" s="104" t="s">
        <v>207</v>
      </c>
      <c r="B809" s="104" t="s">
        <v>209</v>
      </c>
      <c r="C809" s="104" t="s">
        <v>49</v>
      </c>
      <c r="D809" s="104">
        <v>2050</v>
      </c>
      <c r="E809" s="105" t="e">
        <f>SUMIFS(#REF!,#REF!,$A809,#REF!,$B809,#REF!,$C809,#REF!,"Storage Demand")</f>
        <v>#REF!</v>
      </c>
      <c r="F809" s="105" t="e">
        <f>SUMIFS(#REF!,#REF!,$A809,#REF!,$B809,#REF!,$C809,#REF!,"&lt;&gt;Other Sector Demand")</f>
        <v>#REF!</v>
      </c>
      <c r="G809" s="106" t="e">
        <f t="shared" si="48"/>
        <v>#REF!</v>
      </c>
      <c r="H809" s="105" t="e">
        <f>SUMIFS(#REF!,#REF!,$A809,#REF!,$B809,#REF!,$C809,#REF!,"Other Sector Demand")</f>
        <v>#REF!</v>
      </c>
      <c r="I809" s="105" t="e">
        <f t="shared" si="49"/>
        <v>#REF!</v>
      </c>
      <c r="J809" s="106" t="e">
        <f t="shared" si="50"/>
        <v>#REF!</v>
      </c>
      <c r="K809" s="107" t="e">
        <f t="shared" si="51"/>
        <v>#REF!</v>
      </c>
    </row>
    <row r="810" spans="1:11" ht="15" customHeight="1" x14ac:dyDescent="0.2">
      <c r="A810" s="104" t="s">
        <v>207</v>
      </c>
      <c r="B810" s="104" t="s">
        <v>209</v>
      </c>
      <c r="C810" s="104" t="s">
        <v>50</v>
      </c>
      <c r="D810" s="104">
        <v>2020</v>
      </c>
      <c r="E810" s="105" t="e">
        <f>SUMIFS(#REF!,#REF!,$A810,#REF!,$B810,#REF!,$C810,#REF!,"Storage Demand")</f>
        <v>#REF!</v>
      </c>
      <c r="F810" s="105" t="e">
        <f>SUMIFS(#REF!,#REF!,$A810,#REF!,$B810,#REF!,$C810,#REF!,"&lt;&gt;Other Sector Demand")</f>
        <v>#REF!</v>
      </c>
      <c r="G810" s="106" t="e">
        <f t="shared" si="48"/>
        <v>#REF!</v>
      </c>
      <c r="H810" s="105" t="e">
        <f>SUMIFS(#REF!,#REF!,$A810,#REF!,$B810,#REF!,$C810,#REF!,"Other Sector Demand")</f>
        <v>#REF!</v>
      </c>
      <c r="I810" s="105" t="e">
        <f t="shared" si="49"/>
        <v>#REF!</v>
      </c>
      <c r="J810" s="106" t="e">
        <f t="shared" si="50"/>
        <v>#REF!</v>
      </c>
      <c r="K810" s="107" t="e">
        <f t="shared" si="51"/>
        <v>#REF!</v>
      </c>
    </row>
    <row r="811" spans="1:11" ht="15" customHeight="1" x14ac:dyDescent="0.2">
      <c r="A811" s="104" t="s">
        <v>207</v>
      </c>
      <c r="B811" s="104" t="s">
        <v>209</v>
      </c>
      <c r="C811" s="104" t="s">
        <v>50</v>
      </c>
      <c r="D811" s="104">
        <v>2030</v>
      </c>
      <c r="E811" s="105" t="e">
        <f>SUMIFS(#REF!,#REF!,$A811,#REF!,$B811,#REF!,$C811,#REF!,"Storage Demand")</f>
        <v>#REF!</v>
      </c>
      <c r="F811" s="105" t="e">
        <f>SUMIFS(#REF!,#REF!,$A811,#REF!,$B811,#REF!,$C811,#REF!,"&lt;&gt;Other Sector Demand")</f>
        <v>#REF!</v>
      </c>
      <c r="G811" s="106" t="e">
        <f t="shared" si="48"/>
        <v>#REF!</v>
      </c>
      <c r="H811" s="105" t="e">
        <f>SUMIFS(#REF!,#REF!,$A811,#REF!,$B811,#REF!,$C811,#REF!,"Other Sector Demand")</f>
        <v>#REF!</v>
      </c>
      <c r="I811" s="105" t="e">
        <f t="shared" si="49"/>
        <v>#REF!</v>
      </c>
      <c r="J811" s="106" t="e">
        <f t="shared" si="50"/>
        <v>#REF!</v>
      </c>
      <c r="K811" s="107" t="e">
        <f t="shared" si="51"/>
        <v>#REF!</v>
      </c>
    </row>
    <row r="812" spans="1:11" ht="15" customHeight="1" x14ac:dyDescent="0.2">
      <c r="A812" s="104" t="s">
        <v>207</v>
      </c>
      <c r="B812" s="104" t="s">
        <v>209</v>
      </c>
      <c r="C812" s="104" t="s">
        <v>50</v>
      </c>
      <c r="D812" s="104">
        <v>2040</v>
      </c>
      <c r="E812" s="105" t="e">
        <f>SUMIFS(#REF!,#REF!,$A812,#REF!,$B812,#REF!,$C812,#REF!,"Storage Demand")</f>
        <v>#REF!</v>
      </c>
      <c r="F812" s="105" t="e">
        <f>SUMIFS(#REF!,#REF!,$A812,#REF!,$B812,#REF!,$C812,#REF!,"&lt;&gt;Other Sector Demand")</f>
        <v>#REF!</v>
      </c>
      <c r="G812" s="106" t="e">
        <f t="shared" si="48"/>
        <v>#REF!</v>
      </c>
      <c r="H812" s="105" t="e">
        <f>SUMIFS(#REF!,#REF!,$A812,#REF!,$B812,#REF!,$C812,#REF!,"Other Sector Demand")</f>
        <v>#REF!</v>
      </c>
      <c r="I812" s="105" t="e">
        <f t="shared" si="49"/>
        <v>#REF!</v>
      </c>
      <c r="J812" s="106" t="e">
        <f t="shared" si="50"/>
        <v>#REF!</v>
      </c>
      <c r="K812" s="107" t="e">
        <f t="shared" si="51"/>
        <v>#REF!</v>
      </c>
    </row>
    <row r="813" spans="1:11" ht="15" customHeight="1" x14ac:dyDescent="0.2">
      <c r="A813" s="104" t="s">
        <v>207</v>
      </c>
      <c r="B813" s="104" t="s">
        <v>209</v>
      </c>
      <c r="C813" s="104" t="s">
        <v>50</v>
      </c>
      <c r="D813" s="104">
        <v>2050</v>
      </c>
      <c r="E813" s="105" t="e">
        <f>SUMIFS(#REF!,#REF!,$A813,#REF!,$B813,#REF!,$C813,#REF!,"Storage Demand")</f>
        <v>#REF!</v>
      </c>
      <c r="F813" s="105" t="e">
        <f>SUMIFS(#REF!,#REF!,$A813,#REF!,$B813,#REF!,$C813,#REF!,"&lt;&gt;Other Sector Demand")</f>
        <v>#REF!</v>
      </c>
      <c r="G813" s="106" t="e">
        <f t="shared" si="48"/>
        <v>#REF!</v>
      </c>
      <c r="H813" s="105" t="e">
        <f>SUMIFS(#REF!,#REF!,$A813,#REF!,$B813,#REF!,$C813,#REF!,"Other Sector Demand")</f>
        <v>#REF!</v>
      </c>
      <c r="I813" s="105" t="e">
        <f t="shared" si="49"/>
        <v>#REF!</v>
      </c>
      <c r="J813" s="106" t="e">
        <f t="shared" si="50"/>
        <v>#REF!</v>
      </c>
      <c r="K813" s="107" t="e">
        <f t="shared" si="51"/>
        <v>#REF!</v>
      </c>
    </row>
    <row r="814" spans="1:11" ht="15" customHeight="1" x14ac:dyDescent="0.2">
      <c r="A814" s="104" t="s">
        <v>207</v>
      </c>
      <c r="B814" s="104" t="s">
        <v>209</v>
      </c>
      <c r="C814" s="104" t="s">
        <v>52</v>
      </c>
      <c r="D814" s="104">
        <v>2020</v>
      </c>
      <c r="E814" s="105" t="e">
        <f>SUMIFS(#REF!,#REF!,$A814,#REF!,$B814,#REF!,$C814,#REF!,"Storage Demand")</f>
        <v>#REF!</v>
      </c>
      <c r="F814" s="105" t="e">
        <f>SUMIFS(#REF!,#REF!,$A814,#REF!,$B814,#REF!,$C814,#REF!,"&lt;&gt;Other Sector Demand")</f>
        <v>#REF!</v>
      </c>
      <c r="G814" s="106" t="e">
        <f t="shared" si="48"/>
        <v>#REF!</v>
      </c>
      <c r="H814" s="105" t="e">
        <f>SUMIFS(#REF!,#REF!,$A814,#REF!,$B814,#REF!,$C814,#REF!,"Other Sector Demand")</f>
        <v>#REF!</v>
      </c>
      <c r="I814" s="105" t="e">
        <f t="shared" si="49"/>
        <v>#REF!</v>
      </c>
      <c r="J814" s="106" t="e">
        <f t="shared" si="50"/>
        <v>#REF!</v>
      </c>
      <c r="K814" s="107" t="e">
        <f t="shared" si="51"/>
        <v>#REF!</v>
      </c>
    </row>
    <row r="815" spans="1:11" ht="15" customHeight="1" x14ac:dyDescent="0.2">
      <c r="A815" s="104" t="s">
        <v>207</v>
      </c>
      <c r="B815" s="104" t="s">
        <v>209</v>
      </c>
      <c r="C815" s="104" t="s">
        <v>52</v>
      </c>
      <c r="D815" s="104">
        <v>2030</v>
      </c>
      <c r="E815" s="105" t="e">
        <f>SUMIFS(#REF!,#REF!,$A815,#REF!,$B815,#REF!,$C815,#REF!,"Storage Demand")</f>
        <v>#REF!</v>
      </c>
      <c r="F815" s="105" t="e">
        <f>SUMIFS(#REF!,#REF!,$A815,#REF!,$B815,#REF!,$C815,#REF!,"&lt;&gt;Other Sector Demand")</f>
        <v>#REF!</v>
      </c>
      <c r="G815" s="106" t="e">
        <f t="shared" si="48"/>
        <v>#REF!</v>
      </c>
      <c r="H815" s="105" t="e">
        <f>SUMIFS(#REF!,#REF!,$A815,#REF!,$B815,#REF!,$C815,#REF!,"Other Sector Demand")</f>
        <v>#REF!</v>
      </c>
      <c r="I815" s="105" t="e">
        <f t="shared" si="49"/>
        <v>#REF!</v>
      </c>
      <c r="J815" s="106" t="e">
        <f t="shared" si="50"/>
        <v>#REF!</v>
      </c>
      <c r="K815" s="107" t="e">
        <f t="shared" si="51"/>
        <v>#REF!</v>
      </c>
    </row>
    <row r="816" spans="1:11" ht="15" customHeight="1" x14ac:dyDescent="0.2">
      <c r="A816" s="104" t="s">
        <v>207</v>
      </c>
      <c r="B816" s="104" t="s">
        <v>209</v>
      </c>
      <c r="C816" s="104" t="s">
        <v>52</v>
      </c>
      <c r="D816" s="104">
        <v>2040</v>
      </c>
      <c r="E816" s="105" t="e">
        <f>SUMIFS(#REF!,#REF!,$A816,#REF!,$B816,#REF!,$C816,#REF!,"Storage Demand")</f>
        <v>#REF!</v>
      </c>
      <c r="F816" s="105" t="e">
        <f>SUMIFS(#REF!,#REF!,$A816,#REF!,$B816,#REF!,$C816,#REF!,"&lt;&gt;Other Sector Demand")</f>
        <v>#REF!</v>
      </c>
      <c r="G816" s="106" t="e">
        <f t="shared" si="48"/>
        <v>#REF!</v>
      </c>
      <c r="H816" s="105" t="e">
        <f>SUMIFS(#REF!,#REF!,$A816,#REF!,$B816,#REF!,$C816,#REF!,"Other Sector Demand")</f>
        <v>#REF!</v>
      </c>
      <c r="I816" s="105" t="e">
        <f t="shared" si="49"/>
        <v>#REF!</v>
      </c>
      <c r="J816" s="106" t="e">
        <f t="shared" si="50"/>
        <v>#REF!</v>
      </c>
      <c r="K816" s="107" t="e">
        <f t="shared" si="51"/>
        <v>#REF!</v>
      </c>
    </row>
    <row r="817" spans="1:11" ht="15" customHeight="1" x14ac:dyDescent="0.2">
      <c r="A817" s="104" t="s">
        <v>207</v>
      </c>
      <c r="B817" s="104" t="s">
        <v>209</v>
      </c>
      <c r="C817" s="104" t="s">
        <v>52</v>
      </c>
      <c r="D817" s="104">
        <v>2050</v>
      </c>
      <c r="E817" s="105" t="e">
        <f>SUMIFS(#REF!,#REF!,$A817,#REF!,$B817,#REF!,$C817,#REF!,"Storage Demand")</f>
        <v>#REF!</v>
      </c>
      <c r="F817" s="105" t="e">
        <f>SUMIFS(#REF!,#REF!,$A817,#REF!,$B817,#REF!,$C817,#REF!,"&lt;&gt;Other Sector Demand")</f>
        <v>#REF!</v>
      </c>
      <c r="G817" s="106" t="e">
        <f t="shared" si="48"/>
        <v>#REF!</v>
      </c>
      <c r="H817" s="105" t="e">
        <f>SUMIFS(#REF!,#REF!,$A817,#REF!,$B817,#REF!,$C817,#REF!,"Other Sector Demand")</f>
        <v>#REF!</v>
      </c>
      <c r="I817" s="105" t="e">
        <f t="shared" si="49"/>
        <v>#REF!</v>
      </c>
      <c r="J817" s="106" t="e">
        <f t="shared" si="50"/>
        <v>#REF!</v>
      </c>
      <c r="K817" s="107" t="e">
        <f t="shared" si="51"/>
        <v>#REF!</v>
      </c>
    </row>
    <row r="818" spans="1:11" ht="15" customHeight="1" x14ac:dyDescent="0.2">
      <c r="A818" s="104" t="s">
        <v>207</v>
      </c>
      <c r="B818" s="104" t="s">
        <v>209</v>
      </c>
      <c r="C818" s="104" t="s">
        <v>53</v>
      </c>
      <c r="D818" s="104">
        <v>2020</v>
      </c>
      <c r="E818" s="105" t="e">
        <f>SUMIFS(#REF!,#REF!,$A818,#REF!,$B818,#REF!,$C818,#REF!,"Storage Demand")</f>
        <v>#REF!</v>
      </c>
      <c r="F818" s="105" t="e">
        <f>SUMIFS(#REF!,#REF!,$A818,#REF!,$B818,#REF!,$C818,#REF!,"&lt;&gt;Other Sector Demand")</f>
        <v>#REF!</v>
      </c>
      <c r="G818" s="106" t="e">
        <f t="shared" si="48"/>
        <v>#REF!</v>
      </c>
      <c r="H818" s="105" t="e">
        <f>SUMIFS(#REF!,#REF!,$A818,#REF!,$B818,#REF!,$C818,#REF!,"Other Sector Demand")</f>
        <v>#REF!</v>
      </c>
      <c r="I818" s="105" t="e">
        <f t="shared" si="49"/>
        <v>#REF!</v>
      </c>
      <c r="J818" s="106" t="e">
        <f t="shared" si="50"/>
        <v>#REF!</v>
      </c>
      <c r="K818" s="107" t="e">
        <f t="shared" si="51"/>
        <v>#REF!</v>
      </c>
    </row>
    <row r="819" spans="1:11" ht="15" customHeight="1" x14ac:dyDescent="0.2">
      <c r="A819" s="104" t="s">
        <v>207</v>
      </c>
      <c r="B819" s="104" t="s">
        <v>209</v>
      </c>
      <c r="C819" s="104" t="s">
        <v>53</v>
      </c>
      <c r="D819" s="104">
        <v>2030</v>
      </c>
      <c r="E819" s="105" t="e">
        <f>SUMIFS(#REF!,#REF!,$A819,#REF!,$B819,#REF!,$C819,#REF!,"Storage Demand")</f>
        <v>#REF!</v>
      </c>
      <c r="F819" s="105" t="e">
        <f>SUMIFS(#REF!,#REF!,$A819,#REF!,$B819,#REF!,$C819,#REF!,"&lt;&gt;Other Sector Demand")</f>
        <v>#REF!</v>
      </c>
      <c r="G819" s="106" t="e">
        <f t="shared" si="48"/>
        <v>#REF!</v>
      </c>
      <c r="H819" s="105" t="e">
        <f>SUMIFS(#REF!,#REF!,$A819,#REF!,$B819,#REF!,$C819,#REF!,"Other Sector Demand")</f>
        <v>#REF!</v>
      </c>
      <c r="I819" s="105" t="e">
        <f t="shared" si="49"/>
        <v>#REF!</v>
      </c>
      <c r="J819" s="106" t="e">
        <f t="shared" si="50"/>
        <v>#REF!</v>
      </c>
      <c r="K819" s="107" t="e">
        <f t="shared" si="51"/>
        <v>#REF!</v>
      </c>
    </row>
    <row r="820" spans="1:11" ht="15" customHeight="1" x14ac:dyDescent="0.2">
      <c r="A820" s="104" t="s">
        <v>207</v>
      </c>
      <c r="B820" s="104" t="s">
        <v>209</v>
      </c>
      <c r="C820" s="104" t="s">
        <v>53</v>
      </c>
      <c r="D820" s="104">
        <v>2040</v>
      </c>
      <c r="E820" s="105" t="e">
        <f>SUMIFS(#REF!,#REF!,$A820,#REF!,$B820,#REF!,$C820,#REF!,"Storage Demand")</f>
        <v>#REF!</v>
      </c>
      <c r="F820" s="105" t="e">
        <f>SUMIFS(#REF!,#REF!,$A820,#REF!,$B820,#REF!,$C820,#REF!,"&lt;&gt;Other Sector Demand")</f>
        <v>#REF!</v>
      </c>
      <c r="G820" s="106" t="e">
        <f t="shared" si="48"/>
        <v>#REF!</v>
      </c>
      <c r="H820" s="105" t="e">
        <f>SUMIFS(#REF!,#REF!,$A820,#REF!,$B820,#REF!,$C820,#REF!,"Other Sector Demand")</f>
        <v>#REF!</v>
      </c>
      <c r="I820" s="105" t="e">
        <f t="shared" si="49"/>
        <v>#REF!</v>
      </c>
      <c r="J820" s="106" t="e">
        <f t="shared" si="50"/>
        <v>#REF!</v>
      </c>
      <c r="K820" s="107" t="e">
        <f t="shared" si="51"/>
        <v>#REF!</v>
      </c>
    </row>
    <row r="821" spans="1:11" ht="15" customHeight="1" x14ac:dyDescent="0.2">
      <c r="A821" s="104" t="s">
        <v>207</v>
      </c>
      <c r="B821" s="104" t="s">
        <v>209</v>
      </c>
      <c r="C821" s="104" t="s">
        <v>53</v>
      </c>
      <c r="D821" s="104">
        <v>2050</v>
      </c>
      <c r="E821" s="105" t="e">
        <f>SUMIFS(#REF!,#REF!,$A821,#REF!,$B821,#REF!,$C821,#REF!,"Storage Demand")</f>
        <v>#REF!</v>
      </c>
      <c r="F821" s="105" t="e">
        <f>SUMIFS(#REF!,#REF!,$A821,#REF!,$B821,#REF!,$C821,#REF!,"&lt;&gt;Other Sector Demand")</f>
        <v>#REF!</v>
      </c>
      <c r="G821" s="106" t="e">
        <f t="shared" si="48"/>
        <v>#REF!</v>
      </c>
      <c r="H821" s="105" t="e">
        <f>SUMIFS(#REF!,#REF!,$A821,#REF!,$B821,#REF!,$C821,#REF!,"Other Sector Demand")</f>
        <v>#REF!</v>
      </c>
      <c r="I821" s="105" t="e">
        <f t="shared" si="49"/>
        <v>#REF!</v>
      </c>
      <c r="J821" s="106" t="e">
        <f t="shared" si="50"/>
        <v>#REF!</v>
      </c>
      <c r="K821" s="107" t="e">
        <f t="shared" si="51"/>
        <v>#REF!</v>
      </c>
    </row>
    <row r="822" spans="1:11" ht="15" customHeight="1" x14ac:dyDescent="0.2">
      <c r="A822" s="104" t="s">
        <v>207</v>
      </c>
      <c r="B822" s="104" t="s">
        <v>209</v>
      </c>
      <c r="C822" s="104" t="s">
        <v>55</v>
      </c>
      <c r="D822" s="104">
        <v>2020</v>
      </c>
      <c r="E822" s="105" t="e">
        <f>SUMIFS(#REF!,#REF!,$A822,#REF!,$B822,#REF!,$C822,#REF!,"Storage Demand")</f>
        <v>#REF!</v>
      </c>
      <c r="F822" s="105" t="e">
        <f>SUMIFS(#REF!,#REF!,$A822,#REF!,$B822,#REF!,$C822,#REF!,"&lt;&gt;Other Sector Demand")</f>
        <v>#REF!</v>
      </c>
      <c r="G822" s="106" t="e">
        <f t="shared" si="48"/>
        <v>#REF!</v>
      </c>
      <c r="H822" s="105" t="e">
        <f>SUMIFS(#REF!,#REF!,$A822,#REF!,$B822,#REF!,$C822,#REF!,"Other Sector Demand")</f>
        <v>#REF!</v>
      </c>
      <c r="I822" s="105" t="e">
        <f t="shared" si="49"/>
        <v>#REF!</v>
      </c>
      <c r="J822" s="106" t="e">
        <f t="shared" si="50"/>
        <v>#REF!</v>
      </c>
      <c r="K822" s="107" t="e">
        <f t="shared" si="51"/>
        <v>#REF!</v>
      </c>
    </row>
    <row r="823" spans="1:11" ht="15" customHeight="1" x14ac:dyDescent="0.2">
      <c r="A823" s="104" t="s">
        <v>207</v>
      </c>
      <c r="B823" s="104" t="s">
        <v>209</v>
      </c>
      <c r="C823" s="104" t="s">
        <v>55</v>
      </c>
      <c r="D823" s="104">
        <v>2030</v>
      </c>
      <c r="E823" s="105" t="e">
        <f>SUMIFS(#REF!,#REF!,$A823,#REF!,$B823,#REF!,$C823,#REF!,"Storage Demand")</f>
        <v>#REF!</v>
      </c>
      <c r="F823" s="105" t="e">
        <f>SUMIFS(#REF!,#REF!,$A823,#REF!,$B823,#REF!,$C823,#REF!,"&lt;&gt;Other Sector Demand")</f>
        <v>#REF!</v>
      </c>
      <c r="G823" s="106" t="e">
        <f t="shared" si="48"/>
        <v>#REF!</v>
      </c>
      <c r="H823" s="105" t="e">
        <f>SUMIFS(#REF!,#REF!,$A823,#REF!,$B823,#REF!,$C823,#REF!,"Other Sector Demand")</f>
        <v>#REF!</v>
      </c>
      <c r="I823" s="105" t="e">
        <f t="shared" si="49"/>
        <v>#REF!</v>
      </c>
      <c r="J823" s="106" t="e">
        <f t="shared" si="50"/>
        <v>#REF!</v>
      </c>
      <c r="K823" s="107" t="e">
        <f t="shared" si="51"/>
        <v>#REF!</v>
      </c>
    </row>
    <row r="824" spans="1:11" ht="15" customHeight="1" x14ac:dyDescent="0.2">
      <c r="A824" s="104" t="s">
        <v>207</v>
      </c>
      <c r="B824" s="104" t="s">
        <v>209</v>
      </c>
      <c r="C824" s="104" t="s">
        <v>55</v>
      </c>
      <c r="D824" s="104">
        <v>2040</v>
      </c>
      <c r="E824" s="105" t="e">
        <f>SUMIFS(#REF!,#REF!,$A824,#REF!,$B824,#REF!,$C824,#REF!,"Storage Demand")</f>
        <v>#REF!</v>
      </c>
      <c r="F824" s="105" t="e">
        <f>SUMIFS(#REF!,#REF!,$A824,#REF!,$B824,#REF!,$C824,#REF!,"&lt;&gt;Other Sector Demand")</f>
        <v>#REF!</v>
      </c>
      <c r="G824" s="106" t="e">
        <f t="shared" si="48"/>
        <v>#REF!</v>
      </c>
      <c r="H824" s="105" t="e">
        <f>SUMIFS(#REF!,#REF!,$A824,#REF!,$B824,#REF!,$C824,#REF!,"Other Sector Demand")</f>
        <v>#REF!</v>
      </c>
      <c r="I824" s="105" t="e">
        <f t="shared" si="49"/>
        <v>#REF!</v>
      </c>
      <c r="J824" s="106" t="e">
        <f t="shared" si="50"/>
        <v>#REF!</v>
      </c>
      <c r="K824" s="107" t="e">
        <f t="shared" si="51"/>
        <v>#REF!</v>
      </c>
    </row>
    <row r="825" spans="1:11" ht="15" customHeight="1" x14ac:dyDescent="0.2">
      <c r="A825" s="104" t="s">
        <v>207</v>
      </c>
      <c r="B825" s="104" t="s">
        <v>209</v>
      </c>
      <c r="C825" s="104" t="s">
        <v>55</v>
      </c>
      <c r="D825" s="104">
        <v>2050</v>
      </c>
      <c r="E825" s="105" t="e">
        <f>SUMIFS(#REF!,#REF!,$A825,#REF!,$B825,#REF!,$C825,#REF!,"Storage Demand")</f>
        <v>#REF!</v>
      </c>
      <c r="F825" s="105" t="e">
        <f>SUMIFS(#REF!,#REF!,$A825,#REF!,$B825,#REF!,$C825,#REF!,"&lt;&gt;Other Sector Demand")</f>
        <v>#REF!</v>
      </c>
      <c r="G825" s="106" t="e">
        <f t="shared" si="48"/>
        <v>#REF!</v>
      </c>
      <c r="H825" s="105" t="e">
        <f>SUMIFS(#REF!,#REF!,$A825,#REF!,$B825,#REF!,$C825,#REF!,"Other Sector Demand")</f>
        <v>#REF!</v>
      </c>
      <c r="I825" s="105" t="e">
        <f t="shared" si="49"/>
        <v>#REF!</v>
      </c>
      <c r="J825" s="106" t="e">
        <f t="shared" si="50"/>
        <v>#REF!</v>
      </c>
      <c r="K825" s="107" t="e">
        <f t="shared" si="51"/>
        <v>#REF!</v>
      </c>
    </row>
    <row r="826" spans="1:11" ht="15" customHeight="1" x14ac:dyDescent="0.2">
      <c r="A826" s="104" t="s">
        <v>207</v>
      </c>
      <c r="B826" s="104" t="s">
        <v>209</v>
      </c>
      <c r="C826" s="104" t="s">
        <v>57</v>
      </c>
      <c r="D826" s="104">
        <v>2020</v>
      </c>
      <c r="E826" s="105" t="e">
        <f>SUMIFS(#REF!,#REF!,$A826,#REF!,$B826,#REF!,$C826,#REF!,"Storage Demand")</f>
        <v>#REF!</v>
      </c>
      <c r="F826" s="105" t="e">
        <f>SUMIFS(#REF!,#REF!,$A826,#REF!,$B826,#REF!,$C826,#REF!,"&lt;&gt;Other Sector Demand")</f>
        <v>#REF!</v>
      </c>
      <c r="G826" s="106" t="e">
        <f t="shared" si="48"/>
        <v>#REF!</v>
      </c>
      <c r="H826" s="105" t="e">
        <f>SUMIFS(#REF!,#REF!,$A826,#REF!,$B826,#REF!,$C826,#REF!,"Other Sector Demand")</f>
        <v>#REF!</v>
      </c>
      <c r="I826" s="105" t="e">
        <f t="shared" si="49"/>
        <v>#REF!</v>
      </c>
      <c r="J826" s="106" t="e">
        <f t="shared" si="50"/>
        <v>#REF!</v>
      </c>
      <c r="K826" s="107" t="e">
        <f t="shared" si="51"/>
        <v>#REF!</v>
      </c>
    </row>
    <row r="827" spans="1:11" ht="15" customHeight="1" x14ac:dyDescent="0.2">
      <c r="A827" s="104" t="s">
        <v>207</v>
      </c>
      <c r="B827" s="104" t="s">
        <v>209</v>
      </c>
      <c r="C827" s="104" t="s">
        <v>57</v>
      </c>
      <c r="D827" s="104">
        <v>2030</v>
      </c>
      <c r="E827" s="105" t="e">
        <f>SUMIFS(#REF!,#REF!,$A827,#REF!,$B827,#REF!,$C827,#REF!,"Storage Demand")</f>
        <v>#REF!</v>
      </c>
      <c r="F827" s="105" t="e">
        <f>SUMIFS(#REF!,#REF!,$A827,#REF!,$B827,#REF!,$C827,#REF!,"&lt;&gt;Other Sector Demand")</f>
        <v>#REF!</v>
      </c>
      <c r="G827" s="106" t="e">
        <f t="shared" si="48"/>
        <v>#REF!</v>
      </c>
      <c r="H827" s="105" t="e">
        <f>SUMIFS(#REF!,#REF!,$A827,#REF!,$B827,#REF!,$C827,#REF!,"Other Sector Demand")</f>
        <v>#REF!</v>
      </c>
      <c r="I827" s="105" t="e">
        <f t="shared" si="49"/>
        <v>#REF!</v>
      </c>
      <c r="J827" s="106" t="e">
        <f t="shared" si="50"/>
        <v>#REF!</v>
      </c>
      <c r="K827" s="107" t="e">
        <f t="shared" si="51"/>
        <v>#REF!</v>
      </c>
    </row>
    <row r="828" spans="1:11" ht="15" customHeight="1" x14ac:dyDescent="0.2">
      <c r="A828" s="104" t="s">
        <v>207</v>
      </c>
      <c r="B828" s="104" t="s">
        <v>209</v>
      </c>
      <c r="C828" s="104" t="s">
        <v>57</v>
      </c>
      <c r="D828" s="104">
        <v>2040</v>
      </c>
      <c r="E828" s="105" t="e">
        <f>SUMIFS(#REF!,#REF!,$A828,#REF!,$B828,#REF!,$C828,#REF!,"Storage Demand")</f>
        <v>#REF!</v>
      </c>
      <c r="F828" s="105" t="e">
        <f>SUMIFS(#REF!,#REF!,$A828,#REF!,$B828,#REF!,$C828,#REF!,"&lt;&gt;Other Sector Demand")</f>
        <v>#REF!</v>
      </c>
      <c r="G828" s="106" t="e">
        <f t="shared" si="48"/>
        <v>#REF!</v>
      </c>
      <c r="H828" s="105" t="e">
        <f>SUMIFS(#REF!,#REF!,$A828,#REF!,$B828,#REF!,$C828,#REF!,"Other Sector Demand")</f>
        <v>#REF!</v>
      </c>
      <c r="I828" s="105" t="e">
        <f t="shared" si="49"/>
        <v>#REF!</v>
      </c>
      <c r="J828" s="106" t="e">
        <f t="shared" si="50"/>
        <v>#REF!</v>
      </c>
      <c r="K828" s="107" t="e">
        <f t="shared" si="51"/>
        <v>#REF!</v>
      </c>
    </row>
    <row r="829" spans="1:11" ht="15" customHeight="1" x14ac:dyDescent="0.2">
      <c r="A829" s="104" t="s">
        <v>207</v>
      </c>
      <c r="B829" s="104" t="s">
        <v>209</v>
      </c>
      <c r="C829" s="104" t="s">
        <v>57</v>
      </c>
      <c r="D829" s="104">
        <v>2050</v>
      </c>
      <c r="E829" s="105" t="e">
        <f>SUMIFS(#REF!,#REF!,$A829,#REF!,$B829,#REF!,$C829,#REF!,"Storage Demand")</f>
        <v>#REF!</v>
      </c>
      <c r="F829" s="105" t="e">
        <f>SUMIFS(#REF!,#REF!,$A829,#REF!,$B829,#REF!,$C829,#REF!,"&lt;&gt;Other Sector Demand")</f>
        <v>#REF!</v>
      </c>
      <c r="G829" s="106" t="e">
        <f t="shared" si="48"/>
        <v>#REF!</v>
      </c>
      <c r="H829" s="105" t="e">
        <f>SUMIFS(#REF!,#REF!,$A829,#REF!,$B829,#REF!,$C829,#REF!,"Other Sector Demand")</f>
        <v>#REF!</v>
      </c>
      <c r="I829" s="105" t="e">
        <f t="shared" si="49"/>
        <v>#REF!</v>
      </c>
      <c r="J829" s="106" t="e">
        <f t="shared" si="50"/>
        <v>#REF!</v>
      </c>
      <c r="K829" s="107" t="e">
        <f t="shared" si="51"/>
        <v>#REF!</v>
      </c>
    </row>
    <row r="830" spans="1:11" ht="15" customHeight="1" x14ac:dyDescent="0.2">
      <c r="A830" s="104" t="s">
        <v>207</v>
      </c>
      <c r="B830" s="104" t="s">
        <v>209</v>
      </c>
      <c r="C830" s="104" t="s">
        <v>58</v>
      </c>
      <c r="D830" s="104">
        <v>2020</v>
      </c>
      <c r="E830" s="105" t="e">
        <f>SUMIFS(#REF!,#REF!,$A830,#REF!,$B830,#REF!,$C830,#REF!,"Storage Demand")</f>
        <v>#REF!</v>
      </c>
      <c r="F830" s="105" t="e">
        <f>SUMIFS(#REF!,#REF!,$A830,#REF!,$B830,#REF!,$C830,#REF!,"&lt;&gt;Other Sector Demand")</f>
        <v>#REF!</v>
      </c>
      <c r="G830" s="106" t="e">
        <f t="shared" si="48"/>
        <v>#REF!</v>
      </c>
      <c r="H830" s="105" t="e">
        <f>SUMIFS(#REF!,#REF!,$A830,#REF!,$B830,#REF!,$C830,#REF!,"Other Sector Demand")</f>
        <v>#REF!</v>
      </c>
      <c r="I830" s="105" t="e">
        <f t="shared" si="49"/>
        <v>#REF!</v>
      </c>
      <c r="J830" s="106" t="e">
        <f t="shared" si="50"/>
        <v>#REF!</v>
      </c>
      <c r="K830" s="107" t="e">
        <f t="shared" si="51"/>
        <v>#REF!</v>
      </c>
    </row>
    <row r="831" spans="1:11" ht="15" customHeight="1" x14ac:dyDescent="0.2">
      <c r="A831" s="104" t="s">
        <v>207</v>
      </c>
      <c r="B831" s="104" t="s">
        <v>209</v>
      </c>
      <c r="C831" s="104" t="s">
        <v>58</v>
      </c>
      <c r="D831" s="104">
        <v>2030</v>
      </c>
      <c r="E831" s="105" t="e">
        <f>SUMIFS(#REF!,#REF!,$A831,#REF!,$B831,#REF!,$C831,#REF!,"Storage Demand")</f>
        <v>#REF!</v>
      </c>
      <c r="F831" s="105" t="e">
        <f>SUMIFS(#REF!,#REF!,$A831,#REF!,$B831,#REF!,$C831,#REF!,"&lt;&gt;Other Sector Demand")</f>
        <v>#REF!</v>
      </c>
      <c r="G831" s="106" t="e">
        <f t="shared" si="48"/>
        <v>#REF!</v>
      </c>
      <c r="H831" s="105" t="e">
        <f>SUMIFS(#REF!,#REF!,$A831,#REF!,$B831,#REF!,$C831,#REF!,"Other Sector Demand")</f>
        <v>#REF!</v>
      </c>
      <c r="I831" s="105" t="e">
        <f t="shared" si="49"/>
        <v>#REF!</v>
      </c>
      <c r="J831" s="106" t="e">
        <f t="shared" si="50"/>
        <v>#REF!</v>
      </c>
      <c r="K831" s="107" t="e">
        <f t="shared" si="51"/>
        <v>#REF!</v>
      </c>
    </row>
    <row r="832" spans="1:11" ht="15" customHeight="1" x14ac:dyDescent="0.2">
      <c r="A832" s="104" t="s">
        <v>207</v>
      </c>
      <c r="B832" s="104" t="s">
        <v>209</v>
      </c>
      <c r="C832" s="104" t="s">
        <v>58</v>
      </c>
      <c r="D832" s="104">
        <v>2040</v>
      </c>
      <c r="E832" s="105" t="e">
        <f>SUMIFS(#REF!,#REF!,$A832,#REF!,$B832,#REF!,$C832,#REF!,"Storage Demand")</f>
        <v>#REF!</v>
      </c>
      <c r="F832" s="105" t="e">
        <f>SUMIFS(#REF!,#REF!,$A832,#REF!,$B832,#REF!,$C832,#REF!,"&lt;&gt;Other Sector Demand")</f>
        <v>#REF!</v>
      </c>
      <c r="G832" s="106" t="e">
        <f t="shared" si="48"/>
        <v>#REF!</v>
      </c>
      <c r="H832" s="105" t="e">
        <f>SUMIFS(#REF!,#REF!,$A832,#REF!,$B832,#REF!,$C832,#REF!,"Other Sector Demand")</f>
        <v>#REF!</v>
      </c>
      <c r="I832" s="105" t="e">
        <f t="shared" si="49"/>
        <v>#REF!</v>
      </c>
      <c r="J832" s="106" t="e">
        <f t="shared" si="50"/>
        <v>#REF!</v>
      </c>
      <c r="K832" s="107" t="e">
        <f t="shared" si="51"/>
        <v>#REF!</v>
      </c>
    </row>
    <row r="833" spans="1:11" ht="15" customHeight="1" x14ac:dyDescent="0.2">
      <c r="A833" s="104" t="s">
        <v>207</v>
      </c>
      <c r="B833" s="104" t="s">
        <v>209</v>
      </c>
      <c r="C833" s="104" t="s">
        <v>58</v>
      </c>
      <c r="D833" s="104">
        <v>2050</v>
      </c>
      <c r="E833" s="105" t="e">
        <f>SUMIFS(#REF!,#REF!,$A833,#REF!,$B833,#REF!,$C833,#REF!,"Storage Demand")</f>
        <v>#REF!</v>
      </c>
      <c r="F833" s="105" t="e">
        <f>SUMIFS(#REF!,#REF!,$A833,#REF!,$B833,#REF!,$C833,#REF!,"&lt;&gt;Other Sector Demand")</f>
        <v>#REF!</v>
      </c>
      <c r="G833" s="106" t="e">
        <f t="shared" si="48"/>
        <v>#REF!</v>
      </c>
      <c r="H833" s="105" t="e">
        <f>SUMIFS(#REF!,#REF!,$A833,#REF!,$B833,#REF!,$C833,#REF!,"Other Sector Demand")</f>
        <v>#REF!</v>
      </c>
      <c r="I833" s="105" t="e">
        <f t="shared" si="49"/>
        <v>#REF!</v>
      </c>
      <c r="J833" s="106" t="e">
        <f t="shared" si="50"/>
        <v>#REF!</v>
      </c>
      <c r="K833" s="107" t="e">
        <f t="shared" si="51"/>
        <v>#REF!</v>
      </c>
    </row>
    <row r="834" spans="1:11" ht="15" customHeight="1" x14ac:dyDescent="0.2">
      <c r="A834" s="104" t="s">
        <v>207</v>
      </c>
      <c r="B834" s="104" t="s">
        <v>209</v>
      </c>
      <c r="C834" s="104" t="s">
        <v>59</v>
      </c>
      <c r="D834" s="104">
        <v>2020</v>
      </c>
      <c r="E834" s="105" t="e">
        <f>SUMIFS(#REF!,#REF!,$A834,#REF!,$B834,#REF!,$C834,#REF!,"Storage Demand")</f>
        <v>#REF!</v>
      </c>
      <c r="F834" s="105" t="e">
        <f>SUMIFS(#REF!,#REF!,$A834,#REF!,$B834,#REF!,$C834,#REF!,"&lt;&gt;Other Sector Demand")</f>
        <v>#REF!</v>
      </c>
      <c r="G834" s="106" t="e">
        <f t="shared" ref="G834:G897" si="52">IF($F834=0,0,$E834/$F834)</f>
        <v>#REF!</v>
      </c>
      <c r="H834" s="105" t="e">
        <f>SUMIFS(#REF!,#REF!,$A834,#REF!,$B834,#REF!,$C834,#REF!,"Other Sector Demand")</f>
        <v>#REF!</v>
      </c>
      <c r="I834" s="105" t="e">
        <f t="shared" ref="I834:I897" si="53">$F834+$H834</f>
        <v>#REF!</v>
      </c>
      <c r="J834" s="106" t="e">
        <f t="shared" ref="J834:J897" si="54">IF($I834=0,0,$E834/$I834)</f>
        <v>#REF!</v>
      </c>
      <c r="K834" s="107" t="e">
        <f t="shared" ref="K834:K897" si="55">IF(SUMIFS($F$2:$F$1025,$A$2:$A$1025,$A834,$B$2:$B$1025,$B834,$C$2:$C$1025,$C834)=0,0,SUMIFS($E$2:$E$1025,$A$2:$A$1025,$A834,$B$2:$B$1025,$B834,$C$2:$C$1025,$C834)/SUMIFS($F$2:$F$1025,$A$2:$A$1025,$A834,$B$2:$B$1025,$B834,$C$2:$C$1025,$C834))</f>
        <v>#REF!</v>
      </c>
    </row>
    <row r="835" spans="1:11" ht="15" customHeight="1" x14ac:dyDescent="0.2">
      <c r="A835" s="104" t="s">
        <v>207</v>
      </c>
      <c r="B835" s="104" t="s">
        <v>209</v>
      </c>
      <c r="C835" s="104" t="s">
        <v>59</v>
      </c>
      <c r="D835" s="104">
        <v>2030</v>
      </c>
      <c r="E835" s="105" t="e">
        <f>SUMIFS(#REF!,#REF!,$A835,#REF!,$B835,#REF!,$C835,#REF!,"Storage Demand")</f>
        <v>#REF!</v>
      </c>
      <c r="F835" s="105" t="e">
        <f>SUMIFS(#REF!,#REF!,$A835,#REF!,$B835,#REF!,$C835,#REF!,"&lt;&gt;Other Sector Demand")</f>
        <v>#REF!</v>
      </c>
      <c r="G835" s="106" t="e">
        <f t="shared" si="52"/>
        <v>#REF!</v>
      </c>
      <c r="H835" s="105" t="e">
        <f>SUMIFS(#REF!,#REF!,$A835,#REF!,$B835,#REF!,$C835,#REF!,"Other Sector Demand")</f>
        <v>#REF!</v>
      </c>
      <c r="I835" s="105" t="e">
        <f t="shared" si="53"/>
        <v>#REF!</v>
      </c>
      <c r="J835" s="106" t="e">
        <f t="shared" si="54"/>
        <v>#REF!</v>
      </c>
      <c r="K835" s="107" t="e">
        <f t="shared" si="55"/>
        <v>#REF!</v>
      </c>
    </row>
    <row r="836" spans="1:11" ht="15" customHeight="1" x14ac:dyDescent="0.2">
      <c r="A836" s="104" t="s">
        <v>207</v>
      </c>
      <c r="B836" s="104" t="s">
        <v>209</v>
      </c>
      <c r="C836" s="104" t="s">
        <v>59</v>
      </c>
      <c r="D836" s="104">
        <v>2040</v>
      </c>
      <c r="E836" s="105" t="e">
        <f>SUMIFS(#REF!,#REF!,$A836,#REF!,$B836,#REF!,$C836,#REF!,"Storage Demand")</f>
        <v>#REF!</v>
      </c>
      <c r="F836" s="105" t="e">
        <f>SUMIFS(#REF!,#REF!,$A836,#REF!,$B836,#REF!,$C836,#REF!,"&lt;&gt;Other Sector Demand")</f>
        <v>#REF!</v>
      </c>
      <c r="G836" s="106" t="e">
        <f t="shared" si="52"/>
        <v>#REF!</v>
      </c>
      <c r="H836" s="105" t="e">
        <f>SUMIFS(#REF!,#REF!,$A836,#REF!,$B836,#REF!,$C836,#REF!,"Other Sector Demand")</f>
        <v>#REF!</v>
      </c>
      <c r="I836" s="105" t="e">
        <f t="shared" si="53"/>
        <v>#REF!</v>
      </c>
      <c r="J836" s="106" t="e">
        <f t="shared" si="54"/>
        <v>#REF!</v>
      </c>
      <c r="K836" s="107" t="e">
        <f t="shared" si="55"/>
        <v>#REF!</v>
      </c>
    </row>
    <row r="837" spans="1:11" ht="15" customHeight="1" x14ac:dyDescent="0.2">
      <c r="A837" s="104" t="s">
        <v>207</v>
      </c>
      <c r="B837" s="104" t="s">
        <v>209</v>
      </c>
      <c r="C837" s="104" t="s">
        <v>59</v>
      </c>
      <c r="D837" s="104">
        <v>2050</v>
      </c>
      <c r="E837" s="105" t="e">
        <f>SUMIFS(#REF!,#REF!,$A837,#REF!,$B837,#REF!,$C837,#REF!,"Storage Demand")</f>
        <v>#REF!</v>
      </c>
      <c r="F837" s="105" t="e">
        <f>SUMIFS(#REF!,#REF!,$A837,#REF!,$B837,#REF!,$C837,#REF!,"&lt;&gt;Other Sector Demand")</f>
        <v>#REF!</v>
      </c>
      <c r="G837" s="106" t="e">
        <f t="shared" si="52"/>
        <v>#REF!</v>
      </c>
      <c r="H837" s="105" t="e">
        <f>SUMIFS(#REF!,#REF!,$A837,#REF!,$B837,#REF!,$C837,#REF!,"Other Sector Demand")</f>
        <v>#REF!</v>
      </c>
      <c r="I837" s="105" t="e">
        <f t="shared" si="53"/>
        <v>#REF!</v>
      </c>
      <c r="J837" s="106" t="e">
        <f t="shared" si="54"/>
        <v>#REF!</v>
      </c>
      <c r="K837" s="107" t="e">
        <f t="shared" si="55"/>
        <v>#REF!</v>
      </c>
    </row>
    <row r="838" spans="1:11" ht="15" customHeight="1" x14ac:dyDescent="0.2">
      <c r="A838" s="104" t="s">
        <v>207</v>
      </c>
      <c r="B838" s="104" t="s">
        <v>209</v>
      </c>
      <c r="C838" s="104" t="s">
        <v>60</v>
      </c>
      <c r="D838" s="104">
        <v>2020</v>
      </c>
      <c r="E838" s="105" t="e">
        <f>SUMIFS(#REF!,#REF!,$A838,#REF!,$B838,#REF!,$C838,#REF!,"Storage Demand")</f>
        <v>#REF!</v>
      </c>
      <c r="F838" s="105" t="e">
        <f>SUMIFS(#REF!,#REF!,$A838,#REF!,$B838,#REF!,$C838,#REF!,"&lt;&gt;Other Sector Demand")</f>
        <v>#REF!</v>
      </c>
      <c r="G838" s="106" t="e">
        <f t="shared" si="52"/>
        <v>#REF!</v>
      </c>
      <c r="H838" s="105" t="e">
        <f>SUMIFS(#REF!,#REF!,$A838,#REF!,$B838,#REF!,$C838,#REF!,"Other Sector Demand")</f>
        <v>#REF!</v>
      </c>
      <c r="I838" s="105" t="e">
        <f t="shared" si="53"/>
        <v>#REF!</v>
      </c>
      <c r="J838" s="106" t="e">
        <f t="shared" si="54"/>
        <v>#REF!</v>
      </c>
      <c r="K838" s="107" t="e">
        <f t="shared" si="55"/>
        <v>#REF!</v>
      </c>
    </row>
    <row r="839" spans="1:11" ht="15" customHeight="1" x14ac:dyDescent="0.2">
      <c r="A839" s="104" t="s">
        <v>207</v>
      </c>
      <c r="B839" s="104" t="s">
        <v>209</v>
      </c>
      <c r="C839" s="104" t="s">
        <v>60</v>
      </c>
      <c r="D839" s="104">
        <v>2030</v>
      </c>
      <c r="E839" s="105" t="e">
        <f>SUMIFS(#REF!,#REF!,$A839,#REF!,$B839,#REF!,$C839,#REF!,"Storage Demand")</f>
        <v>#REF!</v>
      </c>
      <c r="F839" s="105" t="e">
        <f>SUMIFS(#REF!,#REF!,$A839,#REF!,$B839,#REF!,$C839,#REF!,"&lt;&gt;Other Sector Demand")</f>
        <v>#REF!</v>
      </c>
      <c r="G839" s="106" t="e">
        <f t="shared" si="52"/>
        <v>#REF!</v>
      </c>
      <c r="H839" s="105" t="e">
        <f>SUMIFS(#REF!,#REF!,$A839,#REF!,$B839,#REF!,$C839,#REF!,"Other Sector Demand")</f>
        <v>#REF!</v>
      </c>
      <c r="I839" s="105" t="e">
        <f t="shared" si="53"/>
        <v>#REF!</v>
      </c>
      <c r="J839" s="106" t="e">
        <f t="shared" si="54"/>
        <v>#REF!</v>
      </c>
      <c r="K839" s="107" t="e">
        <f t="shared" si="55"/>
        <v>#REF!</v>
      </c>
    </row>
    <row r="840" spans="1:11" ht="15" customHeight="1" x14ac:dyDescent="0.2">
      <c r="A840" s="104" t="s">
        <v>207</v>
      </c>
      <c r="B840" s="104" t="s">
        <v>209</v>
      </c>
      <c r="C840" s="104" t="s">
        <v>60</v>
      </c>
      <c r="D840" s="104">
        <v>2040</v>
      </c>
      <c r="E840" s="105" t="e">
        <f>SUMIFS(#REF!,#REF!,$A840,#REF!,$B840,#REF!,$C840,#REF!,"Storage Demand")</f>
        <v>#REF!</v>
      </c>
      <c r="F840" s="105" t="e">
        <f>SUMIFS(#REF!,#REF!,$A840,#REF!,$B840,#REF!,$C840,#REF!,"&lt;&gt;Other Sector Demand")</f>
        <v>#REF!</v>
      </c>
      <c r="G840" s="106" t="e">
        <f t="shared" si="52"/>
        <v>#REF!</v>
      </c>
      <c r="H840" s="105" t="e">
        <f>SUMIFS(#REF!,#REF!,$A840,#REF!,$B840,#REF!,$C840,#REF!,"Other Sector Demand")</f>
        <v>#REF!</v>
      </c>
      <c r="I840" s="105" t="e">
        <f t="shared" si="53"/>
        <v>#REF!</v>
      </c>
      <c r="J840" s="106" t="e">
        <f t="shared" si="54"/>
        <v>#REF!</v>
      </c>
      <c r="K840" s="107" t="e">
        <f t="shared" si="55"/>
        <v>#REF!</v>
      </c>
    </row>
    <row r="841" spans="1:11" ht="15" customHeight="1" x14ac:dyDescent="0.2">
      <c r="A841" s="104" t="s">
        <v>207</v>
      </c>
      <c r="B841" s="104" t="s">
        <v>209</v>
      </c>
      <c r="C841" s="104" t="s">
        <v>60</v>
      </c>
      <c r="D841" s="104">
        <v>2050</v>
      </c>
      <c r="E841" s="105" t="e">
        <f>SUMIFS(#REF!,#REF!,$A841,#REF!,$B841,#REF!,$C841,#REF!,"Storage Demand")</f>
        <v>#REF!</v>
      </c>
      <c r="F841" s="105" t="e">
        <f>SUMIFS(#REF!,#REF!,$A841,#REF!,$B841,#REF!,$C841,#REF!,"&lt;&gt;Other Sector Demand")</f>
        <v>#REF!</v>
      </c>
      <c r="G841" s="106" t="e">
        <f t="shared" si="52"/>
        <v>#REF!</v>
      </c>
      <c r="H841" s="105" t="e">
        <f>SUMIFS(#REF!,#REF!,$A841,#REF!,$B841,#REF!,$C841,#REF!,"Other Sector Demand")</f>
        <v>#REF!</v>
      </c>
      <c r="I841" s="105" t="e">
        <f t="shared" si="53"/>
        <v>#REF!</v>
      </c>
      <c r="J841" s="106" t="e">
        <f t="shared" si="54"/>
        <v>#REF!</v>
      </c>
      <c r="K841" s="107" t="e">
        <f t="shared" si="55"/>
        <v>#REF!</v>
      </c>
    </row>
    <row r="842" spans="1:11" ht="15" customHeight="1" x14ac:dyDescent="0.2">
      <c r="A842" s="104" t="s">
        <v>207</v>
      </c>
      <c r="B842" s="104" t="s">
        <v>209</v>
      </c>
      <c r="C842" s="104" t="s">
        <v>61</v>
      </c>
      <c r="D842" s="104">
        <v>2020</v>
      </c>
      <c r="E842" s="105" t="e">
        <f>SUMIFS(#REF!,#REF!,$A842,#REF!,$B842,#REF!,$C842,#REF!,"Storage Demand")</f>
        <v>#REF!</v>
      </c>
      <c r="F842" s="105" t="e">
        <f>SUMIFS(#REF!,#REF!,$A842,#REF!,$B842,#REF!,$C842,#REF!,"&lt;&gt;Other Sector Demand")</f>
        <v>#REF!</v>
      </c>
      <c r="G842" s="106" t="e">
        <f t="shared" si="52"/>
        <v>#REF!</v>
      </c>
      <c r="H842" s="105" t="e">
        <f>SUMIFS(#REF!,#REF!,$A842,#REF!,$B842,#REF!,$C842,#REF!,"Other Sector Demand")</f>
        <v>#REF!</v>
      </c>
      <c r="I842" s="105" t="e">
        <f t="shared" si="53"/>
        <v>#REF!</v>
      </c>
      <c r="J842" s="106" t="e">
        <f t="shared" si="54"/>
        <v>#REF!</v>
      </c>
      <c r="K842" s="107" t="e">
        <f t="shared" si="55"/>
        <v>#REF!</v>
      </c>
    </row>
    <row r="843" spans="1:11" ht="15" customHeight="1" x14ac:dyDescent="0.2">
      <c r="A843" s="104" t="s">
        <v>207</v>
      </c>
      <c r="B843" s="104" t="s">
        <v>209</v>
      </c>
      <c r="C843" s="104" t="s">
        <v>61</v>
      </c>
      <c r="D843" s="104">
        <v>2030</v>
      </c>
      <c r="E843" s="105" t="e">
        <f>SUMIFS(#REF!,#REF!,$A843,#REF!,$B843,#REF!,$C843,#REF!,"Storage Demand")</f>
        <v>#REF!</v>
      </c>
      <c r="F843" s="105" t="e">
        <f>SUMIFS(#REF!,#REF!,$A843,#REF!,$B843,#REF!,$C843,#REF!,"&lt;&gt;Other Sector Demand")</f>
        <v>#REF!</v>
      </c>
      <c r="G843" s="106" t="e">
        <f t="shared" si="52"/>
        <v>#REF!</v>
      </c>
      <c r="H843" s="105" t="e">
        <f>SUMIFS(#REF!,#REF!,$A843,#REF!,$B843,#REF!,$C843,#REF!,"Other Sector Demand")</f>
        <v>#REF!</v>
      </c>
      <c r="I843" s="105" t="e">
        <f t="shared" si="53"/>
        <v>#REF!</v>
      </c>
      <c r="J843" s="106" t="e">
        <f t="shared" si="54"/>
        <v>#REF!</v>
      </c>
      <c r="K843" s="107" t="e">
        <f t="shared" si="55"/>
        <v>#REF!</v>
      </c>
    </row>
    <row r="844" spans="1:11" ht="15" customHeight="1" x14ac:dyDescent="0.2">
      <c r="A844" s="104" t="s">
        <v>207</v>
      </c>
      <c r="B844" s="104" t="s">
        <v>209</v>
      </c>
      <c r="C844" s="104" t="s">
        <v>61</v>
      </c>
      <c r="D844" s="104">
        <v>2040</v>
      </c>
      <c r="E844" s="105" t="e">
        <f>SUMIFS(#REF!,#REF!,$A844,#REF!,$B844,#REF!,$C844,#REF!,"Storage Demand")</f>
        <v>#REF!</v>
      </c>
      <c r="F844" s="105" t="e">
        <f>SUMIFS(#REF!,#REF!,$A844,#REF!,$B844,#REF!,$C844,#REF!,"&lt;&gt;Other Sector Demand")</f>
        <v>#REF!</v>
      </c>
      <c r="G844" s="106" t="e">
        <f t="shared" si="52"/>
        <v>#REF!</v>
      </c>
      <c r="H844" s="105" t="e">
        <f>SUMIFS(#REF!,#REF!,$A844,#REF!,$B844,#REF!,$C844,#REF!,"Other Sector Demand")</f>
        <v>#REF!</v>
      </c>
      <c r="I844" s="105" t="e">
        <f t="shared" si="53"/>
        <v>#REF!</v>
      </c>
      <c r="J844" s="106" t="e">
        <f t="shared" si="54"/>
        <v>#REF!</v>
      </c>
      <c r="K844" s="107" t="e">
        <f t="shared" si="55"/>
        <v>#REF!</v>
      </c>
    </row>
    <row r="845" spans="1:11" ht="15" customHeight="1" x14ac:dyDescent="0.2">
      <c r="A845" s="104" t="s">
        <v>207</v>
      </c>
      <c r="B845" s="104" t="s">
        <v>209</v>
      </c>
      <c r="C845" s="104" t="s">
        <v>61</v>
      </c>
      <c r="D845" s="104">
        <v>2050</v>
      </c>
      <c r="E845" s="105" t="e">
        <f>SUMIFS(#REF!,#REF!,$A845,#REF!,$B845,#REF!,$C845,#REF!,"Storage Demand")</f>
        <v>#REF!</v>
      </c>
      <c r="F845" s="105" t="e">
        <f>SUMIFS(#REF!,#REF!,$A845,#REF!,$B845,#REF!,$C845,#REF!,"&lt;&gt;Other Sector Demand")</f>
        <v>#REF!</v>
      </c>
      <c r="G845" s="106" t="e">
        <f t="shared" si="52"/>
        <v>#REF!</v>
      </c>
      <c r="H845" s="105" t="e">
        <f>SUMIFS(#REF!,#REF!,$A845,#REF!,$B845,#REF!,$C845,#REF!,"Other Sector Demand")</f>
        <v>#REF!</v>
      </c>
      <c r="I845" s="105" t="e">
        <f t="shared" si="53"/>
        <v>#REF!</v>
      </c>
      <c r="J845" s="106" t="e">
        <f t="shared" si="54"/>
        <v>#REF!</v>
      </c>
      <c r="K845" s="107" t="e">
        <f t="shared" si="55"/>
        <v>#REF!</v>
      </c>
    </row>
    <row r="846" spans="1:11" ht="15" customHeight="1" x14ac:dyDescent="0.2">
      <c r="A846" s="104" t="s">
        <v>207</v>
      </c>
      <c r="B846" s="104" t="s">
        <v>209</v>
      </c>
      <c r="C846" s="104" t="s">
        <v>64</v>
      </c>
      <c r="D846" s="104">
        <v>2020</v>
      </c>
      <c r="E846" s="105" t="e">
        <f>SUMIFS(#REF!,#REF!,$A846,#REF!,$B846,#REF!,$C846,#REF!,"Storage Demand")</f>
        <v>#REF!</v>
      </c>
      <c r="F846" s="105" t="e">
        <f>SUMIFS(#REF!,#REF!,$A846,#REF!,$B846,#REF!,$C846,#REF!,"&lt;&gt;Other Sector Demand")</f>
        <v>#REF!</v>
      </c>
      <c r="G846" s="106" t="e">
        <f t="shared" si="52"/>
        <v>#REF!</v>
      </c>
      <c r="H846" s="105" t="e">
        <f>SUMIFS(#REF!,#REF!,$A846,#REF!,$B846,#REF!,$C846,#REF!,"Other Sector Demand")</f>
        <v>#REF!</v>
      </c>
      <c r="I846" s="105" t="e">
        <f t="shared" si="53"/>
        <v>#REF!</v>
      </c>
      <c r="J846" s="106" t="e">
        <f t="shared" si="54"/>
        <v>#REF!</v>
      </c>
      <c r="K846" s="107" t="e">
        <f t="shared" si="55"/>
        <v>#REF!</v>
      </c>
    </row>
    <row r="847" spans="1:11" ht="15" customHeight="1" x14ac:dyDescent="0.2">
      <c r="A847" s="104" t="s">
        <v>207</v>
      </c>
      <c r="B847" s="104" t="s">
        <v>209</v>
      </c>
      <c r="C847" s="104" t="s">
        <v>64</v>
      </c>
      <c r="D847" s="104">
        <v>2030</v>
      </c>
      <c r="E847" s="105" t="e">
        <f>SUMIFS(#REF!,#REF!,$A847,#REF!,$B847,#REF!,$C847,#REF!,"Storage Demand")</f>
        <v>#REF!</v>
      </c>
      <c r="F847" s="105" t="e">
        <f>SUMIFS(#REF!,#REF!,$A847,#REF!,$B847,#REF!,$C847,#REF!,"&lt;&gt;Other Sector Demand")</f>
        <v>#REF!</v>
      </c>
      <c r="G847" s="106" t="e">
        <f t="shared" si="52"/>
        <v>#REF!</v>
      </c>
      <c r="H847" s="105" t="e">
        <f>SUMIFS(#REF!,#REF!,$A847,#REF!,$B847,#REF!,$C847,#REF!,"Other Sector Demand")</f>
        <v>#REF!</v>
      </c>
      <c r="I847" s="105" t="e">
        <f t="shared" si="53"/>
        <v>#REF!</v>
      </c>
      <c r="J847" s="106" t="e">
        <f t="shared" si="54"/>
        <v>#REF!</v>
      </c>
      <c r="K847" s="107" t="e">
        <f t="shared" si="55"/>
        <v>#REF!</v>
      </c>
    </row>
    <row r="848" spans="1:11" ht="15" customHeight="1" x14ac:dyDescent="0.2">
      <c r="A848" s="104" t="s">
        <v>207</v>
      </c>
      <c r="B848" s="104" t="s">
        <v>209</v>
      </c>
      <c r="C848" s="104" t="s">
        <v>64</v>
      </c>
      <c r="D848" s="104">
        <v>2040</v>
      </c>
      <c r="E848" s="105" t="e">
        <f>SUMIFS(#REF!,#REF!,$A848,#REF!,$B848,#REF!,$C848,#REF!,"Storage Demand")</f>
        <v>#REF!</v>
      </c>
      <c r="F848" s="105" t="e">
        <f>SUMIFS(#REF!,#REF!,$A848,#REF!,$B848,#REF!,$C848,#REF!,"&lt;&gt;Other Sector Demand")</f>
        <v>#REF!</v>
      </c>
      <c r="G848" s="106" t="e">
        <f t="shared" si="52"/>
        <v>#REF!</v>
      </c>
      <c r="H848" s="105" t="e">
        <f>SUMIFS(#REF!,#REF!,$A848,#REF!,$B848,#REF!,$C848,#REF!,"Other Sector Demand")</f>
        <v>#REF!</v>
      </c>
      <c r="I848" s="105" t="e">
        <f t="shared" si="53"/>
        <v>#REF!</v>
      </c>
      <c r="J848" s="106" t="e">
        <f t="shared" si="54"/>
        <v>#REF!</v>
      </c>
      <c r="K848" s="107" t="e">
        <f t="shared" si="55"/>
        <v>#REF!</v>
      </c>
    </row>
    <row r="849" spans="1:11" ht="15" customHeight="1" x14ac:dyDescent="0.2">
      <c r="A849" s="104" t="s">
        <v>207</v>
      </c>
      <c r="B849" s="104" t="s">
        <v>209</v>
      </c>
      <c r="C849" s="104" t="s">
        <v>64</v>
      </c>
      <c r="D849" s="104">
        <v>2050</v>
      </c>
      <c r="E849" s="105" t="e">
        <f>SUMIFS(#REF!,#REF!,$A849,#REF!,$B849,#REF!,$C849,#REF!,"Storage Demand")</f>
        <v>#REF!</v>
      </c>
      <c r="F849" s="105" t="e">
        <f>SUMIFS(#REF!,#REF!,$A849,#REF!,$B849,#REF!,$C849,#REF!,"&lt;&gt;Other Sector Demand")</f>
        <v>#REF!</v>
      </c>
      <c r="G849" s="106" t="e">
        <f t="shared" si="52"/>
        <v>#REF!</v>
      </c>
      <c r="H849" s="105" t="e">
        <f>SUMIFS(#REF!,#REF!,$A849,#REF!,$B849,#REF!,$C849,#REF!,"Other Sector Demand")</f>
        <v>#REF!</v>
      </c>
      <c r="I849" s="105" t="e">
        <f t="shared" si="53"/>
        <v>#REF!</v>
      </c>
      <c r="J849" s="106" t="e">
        <f t="shared" si="54"/>
        <v>#REF!</v>
      </c>
      <c r="K849" s="107" t="e">
        <f t="shared" si="55"/>
        <v>#REF!</v>
      </c>
    </row>
    <row r="850" spans="1:11" ht="15" customHeight="1" x14ac:dyDescent="0.2">
      <c r="A850" s="104" t="s">
        <v>207</v>
      </c>
      <c r="B850" s="104" t="s">
        <v>209</v>
      </c>
      <c r="C850" s="104" t="s">
        <v>66</v>
      </c>
      <c r="D850" s="104">
        <v>2020</v>
      </c>
      <c r="E850" s="105" t="e">
        <f>SUMIFS(#REF!,#REF!,$A850,#REF!,$B850,#REF!,$C850,#REF!,"Storage Demand")</f>
        <v>#REF!</v>
      </c>
      <c r="F850" s="105" t="e">
        <f>SUMIFS(#REF!,#REF!,$A850,#REF!,$B850,#REF!,$C850,#REF!,"&lt;&gt;Other Sector Demand")</f>
        <v>#REF!</v>
      </c>
      <c r="G850" s="106" t="e">
        <f t="shared" si="52"/>
        <v>#REF!</v>
      </c>
      <c r="H850" s="105" t="e">
        <f>SUMIFS(#REF!,#REF!,$A850,#REF!,$B850,#REF!,$C850,#REF!,"Other Sector Demand")</f>
        <v>#REF!</v>
      </c>
      <c r="I850" s="105" t="e">
        <f t="shared" si="53"/>
        <v>#REF!</v>
      </c>
      <c r="J850" s="106" t="e">
        <f t="shared" si="54"/>
        <v>#REF!</v>
      </c>
      <c r="K850" s="107" t="e">
        <f t="shared" si="55"/>
        <v>#REF!</v>
      </c>
    </row>
    <row r="851" spans="1:11" ht="15" customHeight="1" x14ac:dyDescent="0.2">
      <c r="A851" s="104" t="s">
        <v>207</v>
      </c>
      <c r="B851" s="104" t="s">
        <v>209</v>
      </c>
      <c r="C851" s="104" t="s">
        <v>66</v>
      </c>
      <c r="D851" s="104">
        <v>2030</v>
      </c>
      <c r="E851" s="105" t="e">
        <f>SUMIFS(#REF!,#REF!,$A851,#REF!,$B851,#REF!,$C851,#REF!,"Storage Demand")</f>
        <v>#REF!</v>
      </c>
      <c r="F851" s="105" t="e">
        <f>SUMIFS(#REF!,#REF!,$A851,#REF!,$B851,#REF!,$C851,#REF!,"&lt;&gt;Other Sector Demand")</f>
        <v>#REF!</v>
      </c>
      <c r="G851" s="106" t="e">
        <f t="shared" si="52"/>
        <v>#REF!</v>
      </c>
      <c r="H851" s="105" t="e">
        <f>SUMIFS(#REF!,#REF!,$A851,#REF!,$B851,#REF!,$C851,#REF!,"Other Sector Demand")</f>
        <v>#REF!</v>
      </c>
      <c r="I851" s="105" t="e">
        <f t="shared" si="53"/>
        <v>#REF!</v>
      </c>
      <c r="J851" s="106" t="e">
        <f t="shared" si="54"/>
        <v>#REF!</v>
      </c>
      <c r="K851" s="107" t="e">
        <f t="shared" si="55"/>
        <v>#REF!</v>
      </c>
    </row>
    <row r="852" spans="1:11" ht="15" customHeight="1" x14ac:dyDescent="0.2">
      <c r="A852" s="104" t="s">
        <v>207</v>
      </c>
      <c r="B852" s="104" t="s">
        <v>209</v>
      </c>
      <c r="C852" s="104" t="s">
        <v>66</v>
      </c>
      <c r="D852" s="104">
        <v>2040</v>
      </c>
      <c r="E852" s="105" t="e">
        <f>SUMIFS(#REF!,#REF!,$A852,#REF!,$B852,#REF!,$C852,#REF!,"Storage Demand")</f>
        <v>#REF!</v>
      </c>
      <c r="F852" s="105" t="e">
        <f>SUMIFS(#REF!,#REF!,$A852,#REF!,$B852,#REF!,$C852,#REF!,"&lt;&gt;Other Sector Demand")</f>
        <v>#REF!</v>
      </c>
      <c r="G852" s="106" t="e">
        <f t="shared" si="52"/>
        <v>#REF!</v>
      </c>
      <c r="H852" s="105" t="e">
        <f>SUMIFS(#REF!,#REF!,$A852,#REF!,$B852,#REF!,$C852,#REF!,"Other Sector Demand")</f>
        <v>#REF!</v>
      </c>
      <c r="I852" s="105" t="e">
        <f t="shared" si="53"/>
        <v>#REF!</v>
      </c>
      <c r="J852" s="106" t="e">
        <f t="shared" si="54"/>
        <v>#REF!</v>
      </c>
      <c r="K852" s="107" t="e">
        <f t="shared" si="55"/>
        <v>#REF!</v>
      </c>
    </row>
    <row r="853" spans="1:11" ht="15" customHeight="1" x14ac:dyDescent="0.2">
      <c r="A853" s="104" t="s">
        <v>207</v>
      </c>
      <c r="B853" s="104" t="s">
        <v>209</v>
      </c>
      <c r="C853" s="104" t="s">
        <v>66</v>
      </c>
      <c r="D853" s="104">
        <v>2050</v>
      </c>
      <c r="E853" s="105" t="e">
        <f>SUMIFS(#REF!,#REF!,$A853,#REF!,$B853,#REF!,$C853,#REF!,"Storage Demand")</f>
        <v>#REF!</v>
      </c>
      <c r="F853" s="105" t="e">
        <f>SUMIFS(#REF!,#REF!,$A853,#REF!,$B853,#REF!,$C853,#REF!,"&lt;&gt;Other Sector Demand")</f>
        <v>#REF!</v>
      </c>
      <c r="G853" s="106" t="e">
        <f t="shared" si="52"/>
        <v>#REF!</v>
      </c>
      <c r="H853" s="105" t="e">
        <f>SUMIFS(#REF!,#REF!,$A853,#REF!,$B853,#REF!,$C853,#REF!,"Other Sector Demand")</f>
        <v>#REF!</v>
      </c>
      <c r="I853" s="105" t="e">
        <f t="shared" si="53"/>
        <v>#REF!</v>
      </c>
      <c r="J853" s="106" t="e">
        <f t="shared" si="54"/>
        <v>#REF!</v>
      </c>
      <c r="K853" s="107" t="e">
        <f t="shared" si="55"/>
        <v>#REF!</v>
      </c>
    </row>
    <row r="854" spans="1:11" ht="15" customHeight="1" x14ac:dyDescent="0.2">
      <c r="A854" s="104" t="s">
        <v>207</v>
      </c>
      <c r="B854" s="104" t="s">
        <v>209</v>
      </c>
      <c r="C854" s="104" t="s">
        <v>67</v>
      </c>
      <c r="D854" s="104">
        <v>2020</v>
      </c>
      <c r="E854" s="105" t="e">
        <f>SUMIFS(#REF!,#REF!,$A854,#REF!,$B854,#REF!,$C854,#REF!,"Storage Demand")</f>
        <v>#REF!</v>
      </c>
      <c r="F854" s="105" t="e">
        <f>SUMIFS(#REF!,#REF!,$A854,#REF!,$B854,#REF!,$C854,#REF!,"&lt;&gt;Other Sector Demand")</f>
        <v>#REF!</v>
      </c>
      <c r="G854" s="106" t="e">
        <f t="shared" si="52"/>
        <v>#REF!</v>
      </c>
      <c r="H854" s="105" t="e">
        <f>SUMIFS(#REF!,#REF!,$A854,#REF!,$B854,#REF!,$C854,#REF!,"Other Sector Demand")</f>
        <v>#REF!</v>
      </c>
      <c r="I854" s="105" t="e">
        <f t="shared" si="53"/>
        <v>#REF!</v>
      </c>
      <c r="J854" s="106" t="e">
        <f t="shared" si="54"/>
        <v>#REF!</v>
      </c>
      <c r="K854" s="107" t="e">
        <f t="shared" si="55"/>
        <v>#REF!</v>
      </c>
    </row>
    <row r="855" spans="1:11" ht="15" customHeight="1" x14ac:dyDescent="0.2">
      <c r="A855" s="104" t="s">
        <v>207</v>
      </c>
      <c r="B855" s="104" t="s">
        <v>209</v>
      </c>
      <c r="C855" s="104" t="s">
        <v>67</v>
      </c>
      <c r="D855" s="104">
        <v>2030</v>
      </c>
      <c r="E855" s="105" t="e">
        <f>SUMIFS(#REF!,#REF!,$A855,#REF!,$B855,#REF!,$C855,#REF!,"Storage Demand")</f>
        <v>#REF!</v>
      </c>
      <c r="F855" s="105" t="e">
        <f>SUMIFS(#REF!,#REF!,$A855,#REF!,$B855,#REF!,$C855,#REF!,"&lt;&gt;Other Sector Demand")</f>
        <v>#REF!</v>
      </c>
      <c r="G855" s="106" t="e">
        <f t="shared" si="52"/>
        <v>#REF!</v>
      </c>
      <c r="H855" s="105" t="e">
        <f>SUMIFS(#REF!,#REF!,$A855,#REF!,$B855,#REF!,$C855,#REF!,"Other Sector Demand")</f>
        <v>#REF!</v>
      </c>
      <c r="I855" s="105" t="e">
        <f t="shared" si="53"/>
        <v>#REF!</v>
      </c>
      <c r="J855" s="106" t="e">
        <f t="shared" si="54"/>
        <v>#REF!</v>
      </c>
      <c r="K855" s="107" t="e">
        <f t="shared" si="55"/>
        <v>#REF!</v>
      </c>
    </row>
    <row r="856" spans="1:11" ht="15" customHeight="1" x14ac:dyDescent="0.2">
      <c r="A856" s="104" t="s">
        <v>207</v>
      </c>
      <c r="B856" s="104" t="s">
        <v>209</v>
      </c>
      <c r="C856" s="104" t="s">
        <v>67</v>
      </c>
      <c r="D856" s="104">
        <v>2040</v>
      </c>
      <c r="E856" s="105" t="e">
        <f>SUMIFS(#REF!,#REF!,$A856,#REF!,$B856,#REF!,$C856,#REF!,"Storage Demand")</f>
        <v>#REF!</v>
      </c>
      <c r="F856" s="105" t="e">
        <f>SUMIFS(#REF!,#REF!,$A856,#REF!,$B856,#REF!,$C856,#REF!,"&lt;&gt;Other Sector Demand")</f>
        <v>#REF!</v>
      </c>
      <c r="G856" s="106" t="e">
        <f t="shared" si="52"/>
        <v>#REF!</v>
      </c>
      <c r="H856" s="105" t="e">
        <f>SUMIFS(#REF!,#REF!,$A856,#REF!,$B856,#REF!,$C856,#REF!,"Other Sector Demand")</f>
        <v>#REF!</v>
      </c>
      <c r="I856" s="105" t="e">
        <f t="shared" si="53"/>
        <v>#REF!</v>
      </c>
      <c r="J856" s="106" t="e">
        <f t="shared" si="54"/>
        <v>#REF!</v>
      </c>
      <c r="K856" s="107" t="e">
        <f t="shared" si="55"/>
        <v>#REF!</v>
      </c>
    </row>
    <row r="857" spans="1:11" ht="15" customHeight="1" x14ac:dyDescent="0.2">
      <c r="A857" s="104" t="s">
        <v>207</v>
      </c>
      <c r="B857" s="104" t="s">
        <v>209</v>
      </c>
      <c r="C857" s="104" t="s">
        <v>67</v>
      </c>
      <c r="D857" s="104">
        <v>2050</v>
      </c>
      <c r="E857" s="105" t="e">
        <f>SUMIFS(#REF!,#REF!,$A857,#REF!,$B857,#REF!,$C857,#REF!,"Storage Demand")</f>
        <v>#REF!</v>
      </c>
      <c r="F857" s="105" t="e">
        <f>SUMIFS(#REF!,#REF!,$A857,#REF!,$B857,#REF!,$C857,#REF!,"&lt;&gt;Other Sector Demand")</f>
        <v>#REF!</v>
      </c>
      <c r="G857" s="106" t="e">
        <f t="shared" si="52"/>
        <v>#REF!</v>
      </c>
      <c r="H857" s="105" t="e">
        <f>SUMIFS(#REF!,#REF!,$A857,#REF!,$B857,#REF!,$C857,#REF!,"Other Sector Demand")</f>
        <v>#REF!</v>
      </c>
      <c r="I857" s="105" t="e">
        <f t="shared" si="53"/>
        <v>#REF!</v>
      </c>
      <c r="J857" s="106" t="e">
        <f t="shared" si="54"/>
        <v>#REF!</v>
      </c>
      <c r="K857" s="107" t="e">
        <f t="shared" si="55"/>
        <v>#REF!</v>
      </c>
    </row>
    <row r="858" spans="1:11" ht="15" customHeight="1" x14ac:dyDescent="0.2">
      <c r="A858" s="104" t="s">
        <v>207</v>
      </c>
      <c r="B858" s="104" t="s">
        <v>209</v>
      </c>
      <c r="C858" s="104" t="s">
        <v>68</v>
      </c>
      <c r="D858" s="104">
        <v>2020</v>
      </c>
      <c r="E858" s="105" t="e">
        <f>SUMIFS(#REF!,#REF!,$A858,#REF!,$B858,#REF!,$C858,#REF!,"Storage Demand")</f>
        <v>#REF!</v>
      </c>
      <c r="F858" s="105" t="e">
        <f>SUMIFS(#REF!,#REF!,$A858,#REF!,$B858,#REF!,$C858,#REF!,"&lt;&gt;Other Sector Demand")</f>
        <v>#REF!</v>
      </c>
      <c r="G858" s="106" t="e">
        <f t="shared" si="52"/>
        <v>#REF!</v>
      </c>
      <c r="H858" s="105" t="e">
        <f>SUMIFS(#REF!,#REF!,$A858,#REF!,$B858,#REF!,$C858,#REF!,"Other Sector Demand")</f>
        <v>#REF!</v>
      </c>
      <c r="I858" s="105" t="e">
        <f t="shared" si="53"/>
        <v>#REF!</v>
      </c>
      <c r="J858" s="106" t="e">
        <f t="shared" si="54"/>
        <v>#REF!</v>
      </c>
      <c r="K858" s="107" t="e">
        <f t="shared" si="55"/>
        <v>#REF!</v>
      </c>
    </row>
    <row r="859" spans="1:11" ht="15" customHeight="1" x14ac:dyDescent="0.2">
      <c r="A859" s="104" t="s">
        <v>207</v>
      </c>
      <c r="B859" s="104" t="s">
        <v>209</v>
      </c>
      <c r="C859" s="104" t="s">
        <v>68</v>
      </c>
      <c r="D859" s="104">
        <v>2030</v>
      </c>
      <c r="E859" s="105" t="e">
        <f>SUMIFS(#REF!,#REF!,$A859,#REF!,$B859,#REF!,$C859,#REF!,"Storage Demand")</f>
        <v>#REF!</v>
      </c>
      <c r="F859" s="105" t="e">
        <f>SUMIFS(#REF!,#REF!,$A859,#REF!,$B859,#REF!,$C859,#REF!,"&lt;&gt;Other Sector Demand")</f>
        <v>#REF!</v>
      </c>
      <c r="G859" s="106" t="e">
        <f t="shared" si="52"/>
        <v>#REF!</v>
      </c>
      <c r="H859" s="105" t="e">
        <f>SUMIFS(#REF!,#REF!,$A859,#REF!,$B859,#REF!,$C859,#REF!,"Other Sector Demand")</f>
        <v>#REF!</v>
      </c>
      <c r="I859" s="105" t="e">
        <f t="shared" si="53"/>
        <v>#REF!</v>
      </c>
      <c r="J859" s="106" t="e">
        <f t="shared" si="54"/>
        <v>#REF!</v>
      </c>
      <c r="K859" s="107" t="e">
        <f t="shared" si="55"/>
        <v>#REF!</v>
      </c>
    </row>
    <row r="860" spans="1:11" ht="15" customHeight="1" x14ac:dyDescent="0.2">
      <c r="A860" s="104" t="s">
        <v>207</v>
      </c>
      <c r="B860" s="104" t="s">
        <v>209</v>
      </c>
      <c r="C860" s="104" t="s">
        <v>68</v>
      </c>
      <c r="D860" s="104">
        <v>2040</v>
      </c>
      <c r="E860" s="105" t="e">
        <f>SUMIFS(#REF!,#REF!,$A860,#REF!,$B860,#REF!,$C860,#REF!,"Storage Demand")</f>
        <v>#REF!</v>
      </c>
      <c r="F860" s="105" t="e">
        <f>SUMIFS(#REF!,#REF!,$A860,#REF!,$B860,#REF!,$C860,#REF!,"&lt;&gt;Other Sector Demand")</f>
        <v>#REF!</v>
      </c>
      <c r="G860" s="106" t="e">
        <f t="shared" si="52"/>
        <v>#REF!</v>
      </c>
      <c r="H860" s="105" t="e">
        <f>SUMIFS(#REF!,#REF!,$A860,#REF!,$B860,#REF!,$C860,#REF!,"Other Sector Demand")</f>
        <v>#REF!</v>
      </c>
      <c r="I860" s="105" t="e">
        <f t="shared" si="53"/>
        <v>#REF!</v>
      </c>
      <c r="J860" s="106" t="e">
        <f t="shared" si="54"/>
        <v>#REF!</v>
      </c>
      <c r="K860" s="107" t="e">
        <f t="shared" si="55"/>
        <v>#REF!</v>
      </c>
    </row>
    <row r="861" spans="1:11" ht="15" customHeight="1" x14ac:dyDescent="0.2">
      <c r="A861" s="104" t="s">
        <v>207</v>
      </c>
      <c r="B861" s="104" t="s">
        <v>209</v>
      </c>
      <c r="C861" s="104" t="s">
        <v>68</v>
      </c>
      <c r="D861" s="104">
        <v>2050</v>
      </c>
      <c r="E861" s="105" t="e">
        <f>SUMIFS(#REF!,#REF!,$A861,#REF!,$B861,#REF!,$C861,#REF!,"Storage Demand")</f>
        <v>#REF!</v>
      </c>
      <c r="F861" s="105" t="e">
        <f>SUMIFS(#REF!,#REF!,$A861,#REF!,$B861,#REF!,$C861,#REF!,"&lt;&gt;Other Sector Demand")</f>
        <v>#REF!</v>
      </c>
      <c r="G861" s="106" t="e">
        <f t="shared" si="52"/>
        <v>#REF!</v>
      </c>
      <c r="H861" s="105" t="e">
        <f>SUMIFS(#REF!,#REF!,$A861,#REF!,$B861,#REF!,$C861,#REF!,"Other Sector Demand")</f>
        <v>#REF!</v>
      </c>
      <c r="I861" s="105" t="e">
        <f t="shared" si="53"/>
        <v>#REF!</v>
      </c>
      <c r="J861" s="106" t="e">
        <f t="shared" si="54"/>
        <v>#REF!</v>
      </c>
      <c r="K861" s="107" t="e">
        <f t="shared" si="55"/>
        <v>#REF!</v>
      </c>
    </row>
    <row r="862" spans="1:11" ht="15" customHeight="1" x14ac:dyDescent="0.2">
      <c r="A862" s="104" t="s">
        <v>207</v>
      </c>
      <c r="B862" s="104" t="s">
        <v>209</v>
      </c>
      <c r="C862" s="104" t="s">
        <v>69</v>
      </c>
      <c r="D862" s="104">
        <v>2020</v>
      </c>
      <c r="E862" s="105" t="e">
        <f>SUMIFS(#REF!,#REF!,$A862,#REF!,$B862,#REF!,$C862,#REF!,"Storage Demand")</f>
        <v>#REF!</v>
      </c>
      <c r="F862" s="105" t="e">
        <f>SUMIFS(#REF!,#REF!,$A862,#REF!,$B862,#REF!,$C862,#REF!,"&lt;&gt;Other Sector Demand")</f>
        <v>#REF!</v>
      </c>
      <c r="G862" s="106" t="e">
        <f t="shared" si="52"/>
        <v>#REF!</v>
      </c>
      <c r="H862" s="105" t="e">
        <f>SUMIFS(#REF!,#REF!,$A862,#REF!,$B862,#REF!,$C862,#REF!,"Other Sector Demand")</f>
        <v>#REF!</v>
      </c>
      <c r="I862" s="105" t="e">
        <f t="shared" si="53"/>
        <v>#REF!</v>
      </c>
      <c r="J862" s="106" t="e">
        <f t="shared" si="54"/>
        <v>#REF!</v>
      </c>
      <c r="K862" s="107" t="e">
        <f t="shared" si="55"/>
        <v>#REF!</v>
      </c>
    </row>
    <row r="863" spans="1:11" ht="15" customHeight="1" x14ac:dyDescent="0.2">
      <c r="A863" s="104" t="s">
        <v>207</v>
      </c>
      <c r="B863" s="104" t="s">
        <v>209</v>
      </c>
      <c r="C863" s="104" t="s">
        <v>69</v>
      </c>
      <c r="D863" s="104">
        <v>2030</v>
      </c>
      <c r="E863" s="105" t="e">
        <f>SUMIFS(#REF!,#REF!,$A863,#REF!,$B863,#REF!,$C863,#REF!,"Storage Demand")</f>
        <v>#REF!</v>
      </c>
      <c r="F863" s="105" t="e">
        <f>SUMIFS(#REF!,#REF!,$A863,#REF!,$B863,#REF!,$C863,#REF!,"&lt;&gt;Other Sector Demand")</f>
        <v>#REF!</v>
      </c>
      <c r="G863" s="106" t="e">
        <f t="shared" si="52"/>
        <v>#REF!</v>
      </c>
      <c r="H863" s="105" t="e">
        <f>SUMIFS(#REF!,#REF!,$A863,#REF!,$B863,#REF!,$C863,#REF!,"Other Sector Demand")</f>
        <v>#REF!</v>
      </c>
      <c r="I863" s="105" t="e">
        <f t="shared" si="53"/>
        <v>#REF!</v>
      </c>
      <c r="J863" s="106" t="e">
        <f t="shared" si="54"/>
        <v>#REF!</v>
      </c>
      <c r="K863" s="107" t="e">
        <f t="shared" si="55"/>
        <v>#REF!</v>
      </c>
    </row>
    <row r="864" spans="1:11" ht="15" customHeight="1" x14ac:dyDescent="0.2">
      <c r="A864" s="104" t="s">
        <v>207</v>
      </c>
      <c r="B864" s="104" t="s">
        <v>209</v>
      </c>
      <c r="C864" s="104" t="s">
        <v>69</v>
      </c>
      <c r="D864" s="104">
        <v>2040</v>
      </c>
      <c r="E864" s="105" t="e">
        <f>SUMIFS(#REF!,#REF!,$A864,#REF!,$B864,#REF!,$C864,#REF!,"Storage Demand")</f>
        <v>#REF!</v>
      </c>
      <c r="F864" s="105" t="e">
        <f>SUMIFS(#REF!,#REF!,$A864,#REF!,$B864,#REF!,$C864,#REF!,"&lt;&gt;Other Sector Demand")</f>
        <v>#REF!</v>
      </c>
      <c r="G864" s="106" t="e">
        <f t="shared" si="52"/>
        <v>#REF!</v>
      </c>
      <c r="H864" s="105" t="e">
        <f>SUMIFS(#REF!,#REF!,$A864,#REF!,$B864,#REF!,$C864,#REF!,"Other Sector Demand")</f>
        <v>#REF!</v>
      </c>
      <c r="I864" s="105" t="e">
        <f t="shared" si="53"/>
        <v>#REF!</v>
      </c>
      <c r="J864" s="106" t="e">
        <f t="shared" si="54"/>
        <v>#REF!</v>
      </c>
      <c r="K864" s="107" t="e">
        <f t="shared" si="55"/>
        <v>#REF!</v>
      </c>
    </row>
    <row r="865" spans="1:11" ht="15" customHeight="1" x14ac:dyDescent="0.2">
      <c r="A865" s="104" t="s">
        <v>207</v>
      </c>
      <c r="B865" s="104" t="s">
        <v>209</v>
      </c>
      <c r="C865" s="104" t="s">
        <v>69</v>
      </c>
      <c r="D865" s="104">
        <v>2050</v>
      </c>
      <c r="E865" s="105" t="e">
        <f>SUMIFS(#REF!,#REF!,$A865,#REF!,$B865,#REF!,$C865,#REF!,"Storage Demand")</f>
        <v>#REF!</v>
      </c>
      <c r="F865" s="105" t="e">
        <f>SUMIFS(#REF!,#REF!,$A865,#REF!,$B865,#REF!,$C865,#REF!,"&lt;&gt;Other Sector Demand")</f>
        <v>#REF!</v>
      </c>
      <c r="G865" s="106" t="e">
        <f t="shared" si="52"/>
        <v>#REF!</v>
      </c>
      <c r="H865" s="105" t="e">
        <f>SUMIFS(#REF!,#REF!,$A865,#REF!,$B865,#REF!,$C865,#REF!,"Other Sector Demand")</f>
        <v>#REF!</v>
      </c>
      <c r="I865" s="105" t="e">
        <f t="shared" si="53"/>
        <v>#REF!</v>
      </c>
      <c r="J865" s="106" t="e">
        <f t="shared" si="54"/>
        <v>#REF!</v>
      </c>
      <c r="K865" s="107" t="e">
        <f t="shared" si="55"/>
        <v>#REF!</v>
      </c>
    </row>
    <row r="866" spans="1:11" ht="15" customHeight="1" x14ac:dyDescent="0.2">
      <c r="A866" s="104" t="s">
        <v>207</v>
      </c>
      <c r="B866" s="104" t="s">
        <v>209</v>
      </c>
      <c r="C866" s="104" t="s">
        <v>70</v>
      </c>
      <c r="D866" s="104">
        <v>2020</v>
      </c>
      <c r="E866" s="105" t="e">
        <f>SUMIFS(#REF!,#REF!,$A866,#REF!,$B866,#REF!,$C866,#REF!,"Storage Demand")</f>
        <v>#REF!</v>
      </c>
      <c r="F866" s="105" t="e">
        <f>SUMIFS(#REF!,#REF!,$A866,#REF!,$B866,#REF!,$C866,#REF!,"&lt;&gt;Other Sector Demand")</f>
        <v>#REF!</v>
      </c>
      <c r="G866" s="106" t="e">
        <f t="shared" si="52"/>
        <v>#REF!</v>
      </c>
      <c r="H866" s="105" t="e">
        <f>SUMIFS(#REF!,#REF!,$A866,#REF!,$B866,#REF!,$C866,#REF!,"Other Sector Demand")</f>
        <v>#REF!</v>
      </c>
      <c r="I866" s="105" t="e">
        <f t="shared" si="53"/>
        <v>#REF!</v>
      </c>
      <c r="J866" s="106" t="e">
        <f t="shared" si="54"/>
        <v>#REF!</v>
      </c>
      <c r="K866" s="107" t="e">
        <f t="shared" si="55"/>
        <v>#REF!</v>
      </c>
    </row>
    <row r="867" spans="1:11" ht="15" customHeight="1" x14ac:dyDescent="0.2">
      <c r="A867" s="104" t="s">
        <v>207</v>
      </c>
      <c r="B867" s="104" t="s">
        <v>209</v>
      </c>
      <c r="C867" s="104" t="s">
        <v>70</v>
      </c>
      <c r="D867" s="104">
        <v>2030</v>
      </c>
      <c r="E867" s="105" t="e">
        <f>SUMIFS(#REF!,#REF!,$A867,#REF!,$B867,#REF!,$C867,#REF!,"Storage Demand")</f>
        <v>#REF!</v>
      </c>
      <c r="F867" s="105" t="e">
        <f>SUMIFS(#REF!,#REF!,$A867,#REF!,$B867,#REF!,$C867,#REF!,"&lt;&gt;Other Sector Demand")</f>
        <v>#REF!</v>
      </c>
      <c r="G867" s="106" t="e">
        <f t="shared" si="52"/>
        <v>#REF!</v>
      </c>
      <c r="H867" s="105" t="e">
        <f>SUMIFS(#REF!,#REF!,$A867,#REF!,$B867,#REF!,$C867,#REF!,"Other Sector Demand")</f>
        <v>#REF!</v>
      </c>
      <c r="I867" s="105" t="e">
        <f t="shared" si="53"/>
        <v>#REF!</v>
      </c>
      <c r="J867" s="106" t="e">
        <f t="shared" si="54"/>
        <v>#REF!</v>
      </c>
      <c r="K867" s="107" t="e">
        <f t="shared" si="55"/>
        <v>#REF!</v>
      </c>
    </row>
    <row r="868" spans="1:11" ht="15" customHeight="1" x14ac:dyDescent="0.2">
      <c r="A868" s="104" t="s">
        <v>207</v>
      </c>
      <c r="B868" s="104" t="s">
        <v>209</v>
      </c>
      <c r="C868" s="104" t="s">
        <v>70</v>
      </c>
      <c r="D868" s="104">
        <v>2040</v>
      </c>
      <c r="E868" s="105" t="e">
        <f>SUMIFS(#REF!,#REF!,$A868,#REF!,$B868,#REF!,$C868,#REF!,"Storage Demand")</f>
        <v>#REF!</v>
      </c>
      <c r="F868" s="105" t="e">
        <f>SUMIFS(#REF!,#REF!,$A868,#REF!,$B868,#REF!,$C868,#REF!,"&lt;&gt;Other Sector Demand")</f>
        <v>#REF!</v>
      </c>
      <c r="G868" s="106" t="e">
        <f t="shared" si="52"/>
        <v>#REF!</v>
      </c>
      <c r="H868" s="105" t="e">
        <f>SUMIFS(#REF!,#REF!,$A868,#REF!,$B868,#REF!,$C868,#REF!,"Other Sector Demand")</f>
        <v>#REF!</v>
      </c>
      <c r="I868" s="105" t="e">
        <f t="shared" si="53"/>
        <v>#REF!</v>
      </c>
      <c r="J868" s="106" t="e">
        <f t="shared" si="54"/>
        <v>#REF!</v>
      </c>
      <c r="K868" s="107" t="e">
        <f t="shared" si="55"/>
        <v>#REF!</v>
      </c>
    </row>
    <row r="869" spans="1:11" ht="15" customHeight="1" x14ac:dyDescent="0.2">
      <c r="A869" s="104" t="s">
        <v>207</v>
      </c>
      <c r="B869" s="104" t="s">
        <v>209</v>
      </c>
      <c r="C869" s="104" t="s">
        <v>70</v>
      </c>
      <c r="D869" s="104">
        <v>2050</v>
      </c>
      <c r="E869" s="105" t="e">
        <f>SUMIFS(#REF!,#REF!,$A869,#REF!,$B869,#REF!,$C869,#REF!,"Storage Demand")</f>
        <v>#REF!</v>
      </c>
      <c r="F869" s="105" t="e">
        <f>SUMIFS(#REF!,#REF!,$A869,#REF!,$B869,#REF!,$C869,#REF!,"&lt;&gt;Other Sector Demand")</f>
        <v>#REF!</v>
      </c>
      <c r="G869" s="106" t="e">
        <f t="shared" si="52"/>
        <v>#REF!</v>
      </c>
      <c r="H869" s="105" t="e">
        <f>SUMIFS(#REF!,#REF!,$A869,#REF!,$B869,#REF!,$C869,#REF!,"Other Sector Demand")</f>
        <v>#REF!</v>
      </c>
      <c r="I869" s="105" t="e">
        <f t="shared" si="53"/>
        <v>#REF!</v>
      </c>
      <c r="J869" s="106" t="e">
        <f t="shared" si="54"/>
        <v>#REF!</v>
      </c>
      <c r="K869" s="107" t="e">
        <f t="shared" si="55"/>
        <v>#REF!</v>
      </c>
    </row>
    <row r="870" spans="1:11" ht="15" customHeight="1" x14ac:dyDescent="0.2">
      <c r="A870" s="104" t="s">
        <v>207</v>
      </c>
      <c r="B870" s="104" t="s">
        <v>209</v>
      </c>
      <c r="C870" s="104" t="s">
        <v>71</v>
      </c>
      <c r="D870" s="104">
        <v>2020</v>
      </c>
      <c r="E870" s="105" t="e">
        <f>SUMIFS(#REF!,#REF!,$A870,#REF!,$B870,#REF!,$C870,#REF!,"Storage Demand")</f>
        <v>#REF!</v>
      </c>
      <c r="F870" s="105" t="e">
        <f>SUMIFS(#REF!,#REF!,$A870,#REF!,$B870,#REF!,$C870,#REF!,"&lt;&gt;Other Sector Demand")</f>
        <v>#REF!</v>
      </c>
      <c r="G870" s="106" t="e">
        <f t="shared" si="52"/>
        <v>#REF!</v>
      </c>
      <c r="H870" s="105" t="e">
        <f>SUMIFS(#REF!,#REF!,$A870,#REF!,$B870,#REF!,$C870,#REF!,"Other Sector Demand")</f>
        <v>#REF!</v>
      </c>
      <c r="I870" s="105" t="e">
        <f t="shared" si="53"/>
        <v>#REF!</v>
      </c>
      <c r="J870" s="106" t="e">
        <f t="shared" si="54"/>
        <v>#REF!</v>
      </c>
      <c r="K870" s="107" t="e">
        <f t="shared" si="55"/>
        <v>#REF!</v>
      </c>
    </row>
    <row r="871" spans="1:11" ht="15" customHeight="1" x14ac:dyDescent="0.2">
      <c r="A871" s="104" t="s">
        <v>207</v>
      </c>
      <c r="B871" s="104" t="s">
        <v>209</v>
      </c>
      <c r="C871" s="104" t="s">
        <v>71</v>
      </c>
      <c r="D871" s="104">
        <v>2030</v>
      </c>
      <c r="E871" s="105" t="e">
        <f>SUMIFS(#REF!,#REF!,$A871,#REF!,$B871,#REF!,$C871,#REF!,"Storage Demand")</f>
        <v>#REF!</v>
      </c>
      <c r="F871" s="105" t="e">
        <f>SUMIFS(#REF!,#REF!,$A871,#REF!,$B871,#REF!,$C871,#REF!,"&lt;&gt;Other Sector Demand")</f>
        <v>#REF!</v>
      </c>
      <c r="G871" s="106" t="e">
        <f t="shared" si="52"/>
        <v>#REF!</v>
      </c>
      <c r="H871" s="105" t="e">
        <f>SUMIFS(#REF!,#REF!,$A871,#REF!,$B871,#REF!,$C871,#REF!,"Other Sector Demand")</f>
        <v>#REF!</v>
      </c>
      <c r="I871" s="105" t="e">
        <f t="shared" si="53"/>
        <v>#REF!</v>
      </c>
      <c r="J871" s="106" t="e">
        <f t="shared" si="54"/>
        <v>#REF!</v>
      </c>
      <c r="K871" s="107" t="e">
        <f t="shared" si="55"/>
        <v>#REF!</v>
      </c>
    </row>
    <row r="872" spans="1:11" ht="15" customHeight="1" x14ac:dyDescent="0.2">
      <c r="A872" s="104" t="s">
        <v>207</v>
      </c>
      <c r="B872" s="104" t="s">
        <v>209</v>
      </c>
      <c r="C872" s="104" t="s">
        <v>71</v>
      </c>
      <c r="D872" s="104">
        <v>2040</v>
      </c>
      <c r="E872" s="105" t="e">
        <f>SUMIFS(#REF!,#REF!,$A872,#REF!,$B872,#REF!,$C872,#REF!,"Storage Demand")</f>
        <v>#REF!</v>
      </c>
      <c r="F872" s="105" t="e">
        <f>SUMIFS(#REF!,#REF!,$A872,#REF!,$B872,#REF!,$C872,#REF!,"&lt;&gt;Other Sector Demand")</f>
        <v>#REF!</v>
      </c>
      <c r="G872" s="106" t="e">
        <f t="shared" si="52"/>
        <v>#REF!</v>
      </c>
      <c r="H872" s="105" t="e">
        <f>SUMIFS(#REF!,#REF!,$A872,#REF!,$B872,#REF!,$C872,#REF!,"Other Sector Demand")</f>
        <v>#REF!</v>
      </c>
      <c r="I872" s="105" t="e">
        <f t="shared" si="53"/>
        <v>#REF!</v>
      </c>
      <c r="J872" s="106" t="e">
        <f t="shared" si="54"/>
        <v>#REF!</v>
      </c>
      <c r="K872" s="107" t="e">
        <f t="shared" si="55"/>
        <v>#REF!</v>
      </c>
    </row>
    <row r="873" spans="1:11" ht="15" customHeight="1" x14ac:dyDescent="0.2">
      <c r="A873" s="104" t="s">
        <v>207</v>
      </c>
      <c r="B873" s="104" t="s">
        <v>209</v>
      </c>
      <c r="C873" s="104" t="s">
        <v>71</v>
      </c>
      <c r="D873" s="104">
        <v>2050</v>
      </c>
      <c r="E873" s="105" t="e">
        <f>SUMIFS(#REF!,#REF!,$A873,#REF!,$B873,#REF!,$C873,#REF!,"Storage Demand")</f>
        <v>#REF!</v>
      </c>
      <c r="F873" s="105" t="e">
        <f>SUMIFS(#REF!,#REF!,$A873,#REF!,$B873,#REF!,$C873,#REF!,"&lt;&gt;Other Sector Demand")</f>
        <v>#REF!</v>
      </c>
      <c r="G873" s="106" t="e">
        <f t="shared" si="52"/>
        <v>#REF!</v>
      </c>
      <c r="H873" s="105" t="e">
        <f>SUMIFS(#REF!,#REF!,$A873,#REF!,$B873,#REF!,$C873,#REF!,"Other Sector Demand")</f>
        <v>#REF!</v>
      </c>
      <c r="I873" s="105" t="e">
        <f t="shared" si="53"/>
        <v>#REF!</v>
      </c>
      <c r="J873" s="106" t="e">
        <f t="shared" si="54"/>
        <v>#REF!</v>
      </c>
      <c r="K873" s="107" t="e">
        <f t="shared" si="55"/>
        <v>#REF!</v>
      </c>
    </row>
    <row r="874" spans="1:11" ht="15" customHeight="1" x14ac:dyDescent="0.2">
      <c r="A874" s="104" t="s">
        <v>207</v>
      </c>
      <c r="B874" s="104" t="s">
        <v>209</v>
      </c>
      <c r="C874" s="104" t="s">
        <v>73</v>
      </c>
      <c r="D874" s="104">
        <v>2020</v>
      </c>
      <c r="E874" s="105" t="e">
        <f>SUMIFS(#REF!,#REF!,$A874,#REF!,$B874,#REF!,$C874,#REF!,"Storage Demand")</f>
        <v>#REF!</v>
      </c>
      <c r="F874" s="105" t="e">
        <f>SUMIFS(#REF!,#REF!,$A874,#REF!,$B874,#REF!,$C874,#REF!,"&lt;&gt;Other Sector Demand")</f>
        <v>#REF!</v>
      </c>
      <c r="G874" s="106" t="e">
        <f t="shared" si="52"/>
        <v>#REF!</v>
      </c>
      <c r="H874" s="105" t="e">
        <f>SUMIFS(#REF!,#REF!,$A874,#REF!,$B874,#REF!,$C874,#REF!,"Other Sector Demand")</f>
        <v>#REF!</v>
      </c>
      <c r="I874" s="105" t="e">
        <f t="shared" si="53"/>
        <v>#REF!</v>
      </c>
      <c r="J874" s="106" t="e">
        <f t="shared" si="54"/>
        <v>#REF!</v>
      </c>
      <c r="K874" s="107" t="e">
        <f t="shared" si="55"/>
        <v>#REF!</v>
      </c>
    </row>
    <row r="875" spans="1:11" ht="15" customHeight="1" x14ac:dyDescent="0.2">
      <c r="A875" s="104" t="s">
        <v>207</v>
      </c>
      <c r="B875" s="104" t="s">
        <v>209</v>
      </c>
      <c r="C875" s="104" t="s">
        <v>73</v>
      </c>
      <c r="D875" s="104">
        <v>2030</v>
      </c>
      <c r="E875" s="105" t="e">
        <f>SUMIFS(#REF!,#REF!,$A875,#REF!,$B875,#REF!,$C875,#REF!,"Storage Demand")</f>
        <v>#REF!</v>
      </c>
      <c r="F875" s="105" t="e">
        <f>SUMIFS(#REF!,#REF!,$A875,#REF!,$B875,#REF!,$C875,#REF!,"&lt;&gt;Other Sector Demand")</f>
        <v>#REF!</v>
      </c>
      <c r="G875" s="106" t="e">
        <f t="shared" si="52"/>
        <v>#REF!</v>
      </c>
      <c r="H875" s="105" t="e">
        <f>SUMIFS(#REF!,#REF!,$A875,#REF!,$B875,#REF!,$C875,#REF!,"Other Sector Demand")</f>
        <v>#REF!</v>
      </c>
      <c r="I875" s="105" t="e">
        <f t="shared" si="53"/>
        <v>#REF!</v>
      </c>
      <c r="J875" s="106" t="e">
        <f t="shared" si="54"/>
        <v>#REF!</v>
      </c>
      <c r="K875" s="107" t="e">
        <f t="shared" si="55"/>
        <v>#REF!</v>
      </c>
    </row>
    <row r="876" spans="1:11" ht="15" customHeight="1" x14ac:dyDescent="0.2">
      <c r="A876" s="104" t="s">
        <v>207</v>
      </c>
      <c r="B876" s="104" t="s">
        <v>209</v>
      </c>
      <c r="C876" s="104" t="s">
        <v>73</v>
      </c>
      <c r="D876" s="104">
        <v>2040</v>
      </c>
      <c r="E876" s="105" t="e">
        <f>SUMIFS(#REF!,#REF!,$A876,#REF!,$B876,#REF!,$C876,#REF!,"Storage Demand")</f>
        <v>#REF!</v>
      </c>
      <c r="F876" s="105" t="e">
        <f>SUMIFS(#REF!,#REF!,$A876,#REF!,$B876,#REF!,$C876,#REF!,"&lt;&gt;Other Sector Demand")</f>
        <v>#REF!</v>
      </c>
      <c r="G876" s="106" t="e">
        <f t="shared" si="52"/>
        <v>#REF!</v>
      </c>
      <c r="H876" s="105" t="e">
        <f>SUMIFS(#REF!,#REF!,$A876,#REF!,$B876,#REF!,$C876,#REF!,"Other Sector Demand")</f>
        <v>#REF!</v>
      </c>
      <c r="I876" s="105" t="e">
        <f t="shared" si="53"/>
        <v>#REF!</v>
      </c>
      <c r="J876" s="106" t="e">
        <f t="shared" si="54"/>
        <v>#REF!</v>
      </c>
      <c r="K876" s="107" t="e">
        <f t="shared" si="55"/>
        <v>#REF!</v>
      </c>
    </row>
    <row r="877" spans="1:11" ht="15" customHeight="1" x14ac:dyDescent="0.2">
      <c r="A877" s="104" t="s">
        <v>207</v>
      </c>
      <c r="B877" s="104" t="s">
        <v>209</v>
      </c>
      <c r="C877" s="104" t="s">
        <v>73</v>
      </c>
      <c r="D877" s="104">
        <v>2050</v>
      </c>
      <c r="E877" s="105" t="e">
        <f>SUMIFS(#REF!,#REF!,$A877,#REF!,$B877,#REF!,$C877,#REF!,"Storage Demand")</f>
        <v>#REF!</v>
      </c>
      <c r="F877" s="105" t="e">
        <f>SUMIFS(#REF!,#REF!,$A877,#REF!,$B877,#REF!,$C877,#REF!,"&lt;&gt;Other Sector Demand")</f>
        <v>#REF!</v>
      </c>
      <c r="G877" s="106" t="e">
        <f t="shared" si="52"/>
        <v>#REF!</v>
      </c>
      <c r="H877" s="105" t="e">
        <f>SUMIFS(#REF!,#REF!,$A877,#REF!,$B877,#REF!,$C877,#REF!,"Other Sector Demand")</f>
        <v>#REF!</v>
      </c>
      <c r="I877" s="105" t="e">
        <f t="shared" si="53"/>
        <v>#REF!</v>
      </c>
      <c r="J877" s="106" t="e">
        <f t="shared" si="54"/>
        <v>#REF!</v>
      </c>
      <c r="K877" s="107" t="e">
        <f t="shared" si="55"/>
        <v>#REF!</v>
      </c>
    </row>
    <row r="878" spans="1:11" ht="15" customHeight="1" x14ac:dyDescent="0.2">
      <c r="A878" s="104" t="s">
        <v>207</v>
      </c>
      <c r="B878" s="104" t="s">
        <v>209</v>
      </c>
      <c r="C878" s="104" t="s">
        <v>74</v>
      </c>
      <c r="D878" s="104">
        <v>2020</v>
      </c>
      <c r="E878" s="105" t="e">
        <f>SUMIFS(#REF!,#REF!,$A878,#REF!,$B878,#REF!,$C878,#REF!,"Storage Demand")</f>
        <v>#REF!</v>
      </c>
      <c r="F878" s="105" t="e">
        <f>SUMIFS(#REF!,#REF!,$A878,#REF!,$B878,#REF!,$C878,#REF!,"&lt;&gt;Other Sector Demand")</f>
        <v>#REF!</v>
      </c>
      <c r="G878" s="106" t="e">
        <f t="shared" si="52"/>
        <v>#REF!</v>
      </c>
      <c r="H878" s="105" t="e">
        <f>SUMIFS(#REF!,#REF!,$A878,#REF!,$B878,#REF!,$C878,#REF!,"Other Sector Demand")</f>
        <v>#REF!</v>
      </c>
      <c r="I878" s="105" t="e">
        <f t="shared" si="53"/>
        <v>#REF!</v>
      </c>
      <c r="J878" s="106" t="e">
        <f t="shared" si="54"/>
        <v>#REF!</v>
      </c>
      <c r="K878" s="107" t="e">
        <f t="shared" si="55"/>
        <v>#REF!</v>
      </c>
    </row>
    <row r="879" spans="1:11" ht="15" customHeight="1" x14ac:dyDescent="0.2">
      <c r="A879" s="104" t="s">
        <v>207</v>
      </c>
      <c r="B879" s="104" t="s">
        <v>209</v>
      </c>
      <c r="C879" s="104" t="s">
        <v>74</v>
      </c>
      <c r="D879" s="104">
        <v>2030</v>
      </c>
      <c r="E879" s="105" t="e">
        <f>SUMIFS(#REF!,#REF!,$A879,#REF!,$B879,#REF!,$C879,#REF!,"Storage Demand")</f>
        <v>#REF!</v>
      </c>
      <c r="F879" s="105" t="e">
        <f>SUMIFS(#REF!,#REF!,$A879,#REF!,$B879,#REF!,$C879,#REF!,"&lt;&gt;Other Sector Demand")</f>
        <v>#REF!</v>
      </c>
      <c r="G879" s="106" t="e">
        <f t="shared" si="52"/>
        <v>#REF!</v>
      </c>
      <c r="H879" s="105" t="e">
        <f>SUMIFS(#REF!,#REF!,$A879,#REF!,$B879,#REF!,$C879,#REF!,"Other Sector Demand")</f>
        <v>#REF!</v>
      </c>
      <c r="I879" s="105" t="e">
        <f t="shared" si="53"/>
        <v>#REF!</v>
      </c>
      <c r="J879" s="106" t="e">
        <f t="shared" si="54"/>
        <v>#REF!</v>
      </c>
      <c r="K879" s="107" t="e">
        <f t="shared" si="55"/>
        <v>#REF!</v>
      </c>
    </row>
    <row r="880" spans="1:11" ht="15" customHeight="1" x14ac:dyDescent="0.2">
      <c r="A880" s="104" t="s">
        <v>207</v>
      </c>
      <c r="B880" s="104" t="s">
        <v>209</v>
      </c>
      <c r="C880" s="104" t="s">
        <v>74</v>
      </c>
      <c r="D880" s="104">
        <v>2040</v>
      </c>
      <c r="E880" s="105" t="e">
        <f>SUMIFS(#REF!,#REF!,$A880,#REF!,$B880,#REF!,$C880,#REF!,"Storage Demand")</f>
        <v>#REF!</v>
      </c>
      <c r="F880" s="105" t="e">
        <f>SUMIFS(#REF!,#REF!,$A880,#REF!,$B880,#REF!,$C880,#REF!,"&lt;&gt;Other Sector Demand")</f>
        <v>#REF!</v>
      </c>
      <c r="G880" s="106" t="e">
        <f t="shared" si="52"/>
        <v>#REF!</v>
      </c>
      <c r="H880" s="105" t="e">
        <f>SUMIFS(#REF!,#REF!,$A880,#REF!,$B880,#REF!,$C880,#REF!,"Other Sector Demand")</f>
        <v>#REF!</v>
      </c>
      <c r="I880" s="105" t="e">
        <f t="shared" si="53"/>
        <v>#REF!</v>
      </c>
      <c r="J880" s="106" t="e">
        <f t="shared" si="54"/>
        <v>#REF!</v>
      </c>
      <c r="K880" s="107" t="e">
        <f t="shared" si="55"/>
        <v>#REF!</v>
      </c>
    </row>
    <row r="881" spans="1:11" ht="15" customHeight="1" x14ac:dyDescent="0.2">
      <c r="A881" s="104" t="s">
        <v>207</v>
      </c>
      <c r="B881" s="104" t="s">
        <v>209</v>
      </c>
      <c r="C881" s="104" t="s">
        <v>74</v>
      </c>
      <c r="D881" s="104">
        <v>2050</v>
      </c>
      <c r="E881" s="105" t="e">
        <f>SUMIFS(#REF!,#REF!,$A881,#REF!,$B881,#REF!,$C881,#REF!,"Storage Demand")</f>
        <v>#REF!</v>
      </c>
      <c r="F881" s="105" t="e">
        <f>SUMIFS(#REF!,#REF!,$A881,#REF!,$B881,#REF!,$C881,#REF!,"&lt;&gt;Other Sector Demand")</f>
        <v>#REF!</v>
      </c>
      <c r="G881" s="106" t="e">
        <f t="shared" si="52"/>
        <v>#REF!</v>
      </c>
      <c r="H881" s="105" t="e">
        <f>SUMIFS(#REF!,#REF!,$A881,#REF!,$B881,#REF!,$C881,#REF!,"Other Sector Demand")</f>
        <v>#REF!</v>
      </c>
      <c r="I881" s="105" t="e">
        <f t="shared" si="53"/>
        <v>#REF!</v>
      </c>
      <c r="J881" s="106" t="e">
        <f t="shared" si="54"/>
        <v>#REF!</v>
      </c>
      <c r="K881" s="107" t="e">
        <f t="shared" si="55"/>
        <v>#REF!</v>
      </c>
    </row>
    <row r="882" spans="1:11" ht="15" customHeight="1" x14ac:dyDescent="0.2">
      <c r="A882" s="104" t="s">
        <v>207</v>
      </c>
      <c r="B882" s="104" t="s">
        <v>209</v>
      </c>
      <c r="C882" s="104" t="s">
        <v>75</v>
      </c>
      <c r="D882" s="104">
        <v>2020</v>
      </c>
      <c r="E882" s="105" t="e">
        <f>SUMIFS(#REF!,#REF!,$A882,#REF!,$B882,#REF!,$C882,#REF!,"Storage Demand")</f>
        <v>#REF!</v>
      </c>
      <c r="F882" s="105" t="e">
        <f>SUMIFS(#REF!,#REF!,$A882,#REF!,$B882,#REF!,$C882,#REF!,"&lt;&gt;Other Sector Demand")</f>
        <v>#REF!</v>
      </c>
      <c r="G882" s="106" t="e">
        <f t="shared" si="52"/>
        <v>#REF!</v>
      </c>
      <c r="H882" s="105" t="e">
        <f>SUMIFS(#REF!,#REF!,$A882,#REF!,$B882,#REF!,$C882,#REF!,"Other Sector Demand")</f>
        <v>#REF!</v>
      </c>
      <c r="I882" s="105" t="e">
        <f t="shared" si="53"/>
        <v>#REF!</v>
      </c>
      <c r="J882" s="106" t="e">
        <f t="shared" si="54"/>
        <v>#REF!</v>
      </c>
      <c r="K882" s="107" t="e">
        <f t="shared" si="55"/>
        <v>#REF!</v>
      </c>
    </row>
    <row r="883" spans="1:11" ht="15" customHeight="1" x14ac:dyDescent="0.2">
      <c r="A883" s="104" t="s">
        <v>207</v>
      </c>
      <c r="B883" s="104" t="s">
        <v>209</v>
      </c>
      <c r="C883" s="104" t="s">
        <v>75</v>
      </c>
      <c r="D883" s="104">
        <v>2030</v>
      </c>
      <c r="E883" s="105" t="e">
        <f>SUMIFS(#REF!,#REF!,$A883,#REF!,$B883,#REF!,$C883,#REF!,"Storage Demand")</f>
        <v>#REF!</v>
      </c>
      <c r="F883" s="105" t="e">
        <f>SUMIFS(#REF!,#REF!,$A883,#REF!,$B883,#REF!,$C883,#REF!,"&lt;&gt;Other Sector Demand")</f>
        <v>#REF!</v>
      </c>
      <c r="G883" s="106" t="e">
        <f t="shared" si="52"/>
        <v>#REF!</v>
      </c>
      <c r="H883" s="105" t="e">
        <f>SUMIFS(#REF!,#REF!,$A883,#REF!,$B883,#REF!,$C883,#REF!,"Other Sector Demand")</f>
        <v>#REF!</v>
      </c>
      <c r="I883" s="105" t="e">
        <f t="shared" si="53"/>
        <v>#REF!</v>
      </c>
      <c r="J883" s="106" t="e">
        <f t="shared" si="54"/>
        <v>#REF!</v>
      </c>
      <c r="K883" s="107" t="e">
        <f t="shared" si="55"/>
        <v>#REF!</v>
      </c>
    </row>
    <row r="884" spans="1:11" ht="15" customHeight="1" x14ac:dyDescent="0.2">
      <c r="A884" s="104" t="s">
        <v>207</v>
      </c>
      <c r="B884" s="104" t="s">
        <v>209</v>
      </c>
      <c r="C884" s="104" t="s">
        <v>75</v>
      </c>
      <c r="D884" s="104">
        <v>2040</v>
      </c>
      <c r="E884" s="105" t="e">
        <f>SUMIFS(#REF!,#REF!,$A884,#REF!,$B884,#REF!,$C884,#REF!,"Storage Demand")</f>
        <v>#REF!</v>
      </c>
      <c r="F884" s="105" t="e">
        <f>SUMIFS(#REF!,#REF!,$A884,#REF!,$B884,#REF!,$C884,#REF!,"&lt;&gt;Other Sector Demand")</f>
        <v>#REF!</v>
      </c>
      <c r="G884" s="106" t="e">
        <f t="shared" si="52"/>
        <v>#REF!</v>
      </c>
      <c r="H884" s="105" t="e">
        <f>SUMIFS(#REF!,#REF!,$A884,#REF!,$B884,#REF!,$C884,#REF!,"Other Sector Demand")</f>
        <v>#REF!</v>
      </c>
      <c r="I884" s="105" t="e">
        <f t="shared" si="53"/>
        <v>#REF!</v>
      </c>
      <c r="J884" s="106" t="e">
        <f t="shared" si="54"/>
        <v>#REF!</v>
      </c>
      <c r="K884" s="107" t="e">
        <f t="shared" si="55"/>
        <v>#REF!</v>
      </c>
    </row>
    <row r="885" spans="1:11" ht="15" customHeight="1" x14ac:dyDescent="0.2">
      <c r="A885" s="104" t="s">
        <v>207</v>
      </c>
      <c r="B885" s="104" t="s">
        <v>209</v>
      </c>
      <c r="C885" s="104" t="s">
        <v>75</v>
      </c>
      <c r="D885" s="104">
        <v>2050</v>
      </c>
      <c r="E885" s="105" t="e">
        <f>SUMIFS(#REF!,#REF!,$A885,#REF!,$B885,#REF!,$C885,#REF!,"Storage Demand")</f>
        <v>#REF!</v>
      </c>
      <c r="F885" s="105" t="e">
        <f>SUMIFS(#REF!,#REF!,$A885,#REF!,$B885,#REF!,$C885,#REF!,"&lt;&gt;Other Sector Demand")</f>
        <v>#REF!</v>
      </c>
      <c r="G885" s="106" t="e">
        <f t="shared" si="52"/>
        <v>#REF!</v>
      </c>
      <c r="H885" s="105" t="e">
        <f>SUMIFS(#REF!,#REF!,$A885,#REF!,$B885,#REF!,$C885,#REF!,"Other Sector Demand")</f>
        <v>#REF!</v>
      </c>
      <c r="I885" s="105" t="e">
        <f t="shared" si="53"/>
        <v>#REF!</v>
      </c>
      <c r="J885" s="106" t="e">
        <f t="shared" si="54"/>
        <v>#REF!</v>
      </c>
      <c r="K885" s="107" t="e">
        <f t="shared" si="55"/>
        <v>#REF!</v>
      </c>
    </row>
    <row r="886" spans="1:11" ht="15" customHeight="1" x14ac:dyDescent="0.2">
      <c r="A886" s="104" t="s">
        <v>207</v>
      </c>
      <c r="B886" s="104" t="s">
        <v>209</v>
      </c>
      <c r="C886" s="104" t="s">
        <v>76</v>
      </c>
      <c r="D886" s="104">
        <v>2020</v>
      </c>
      <c r="E886" s="105" t="e">
        <f>SUMIFS(#REF!,#REF!,$A886,#REF!,$B886,#REF!,$C886,#REF!,"Storage Demand")</f>
        <v>#REF!</v>
      </c>
      <c r="F886" s="105" t="e">
        <f>SUMIFS(#REF!,#REF!,$A886,#REF!,$B886,#REF!,$C886,#REF!,"&lt;&gt;Other Sector Demand")</f>
        <v>#REF!</v>
      </c>
      <c r="G886" s="106" t="e">
        <f t="shared" si="52"/>
        <v>#REF!</v>
      </c>
      <c r="H886" s="105" t="e">
        <f>SUMIFS(#REF!,#REF!,$A886,#REF!,$B886,#REF!,$C886,#REF!,"Other Sector Demand")</f>
        <v>#REF!</v>
      </c>
      <c r="I886" s="105" t="e">
        <f t="shared" si="53"/>
        <v>#REF!</v>
      </c>
      <c r="J886" s="106" t="e">
        <f t="shared" si="54"/>
        <v>#REF!</v>
      </c>
      <c r="K886" s="107" t="e">
        <f t="shared" si="55"/>
        <v>#REF!</v>
      </c>
    </row>
    <row r="887" spans="1:11" ht="15" customHeight="1" x14ac:dyDescent="0.2">
      <c r="A887" s="104" t="s">
        <v>207</v>
      </c>
      <c r="B887" s="104" t="s">
        <v>209</v>
      </c>
      <c r="C887" s="104" t="s">
        <v>76</v>
      </c>
      <c r="D887" s="104">
        <v>2030</v>
      </c>
      <c r="E887" s="105" t="e">
        <f>SUMIFS(#REF!,#REF!,$A887,#REF!,$B887,#REF!,$C887,#REF!,"Storage Demand")</f>
        <v>#REF!</v>
      </c>
      <c r="F887" s="105" t="e">
        <f>SUMIFS(#REF!,#REF!,$A887,#REF!,$B887,#REF!,$C887,#REF!,"&lt;&gt;Other Sector Demand")</f>
        <v>#REF!</v>
      </c>
      <c r="G887" s="106" t="e">
        <f t="shared" si="52"/>
        <v>#REF!</v>
      </c>
      <c r="H887" s="105" t="e">
        <f>SUMIFS(#REF!,#REF!,$A887,#REF!,$B887,#REF!,$C887,#REF!,"Other Sector Demand")</f>
        <v>#REF!</v>
      </c>
      <c r="I887" s="105" t="e">
        <f t="shared" si="53"/>
        <v>#REF!</v>
      </c>
      <c r="J887" s="106" t="e">
        <f t="shared" si="54"/>
        <v>#REF!</v>
      </c>
      <c r="K887" s="107" t="e">
        <f t="shared" si="55"/>
        <v>#REF!</v>
      </c>
    </row>
    <row r="888" spans="1:11" ht="15" customHeight="1" x14ac:dyDescent="0.2">
      <c r="A888" s="104" t="s">
        <v>207</v>
      </c>
      <c r="B888" s="104" t="s">
        <v>209</v>
      </c>
      <c r="C888" s="104" t="s">
        <v>76</v>
      </c>
      <c r="D888" s="104">
        <v>2040</v>
      </c>
      <c r="E888" s="105" t="e">
        <f>SUMIFS(#REF!,#REF!,$A888,#REF!,$B888,#REF!,$C888,#REF!,"Storage Demand")</f>
        <v>#REF!</v>
      </c>
      <c r="F888" s="105" t="e">
        <f>SUMIFS(#REF!,#REF!,$A888,#REF!,$B888,#REF!,$C888,#REF!,"&lt;&gt;Other Sector Demand")</f>
        <v>#REF!</v>
      </c>
      <c r="G888" s="106" t="e">
        <f t="shared" si="52"/>
        <v>#REF!</v>
      </c>
      <c r="H888" s="105" t="e">
        <f>SUMIFS(#REF!,#REF!,$A888,#REF!,$B888,#REF!,$C888,#REF!,"Other Sector Demand")</f>
        <v>#REF!</v>
      </c>
      <c r="I888" s="105" t="e">
        <f t="shared" si="53"/>
        <v>#REF!</v>
      </c>
      <c r="J888" s="106" t="e">
        <f t="shared" si="54"/>
        <v>#REF!</v>
      </c>
      <c r="K888" s="107" t="e">
        <f t="shared" si="55"/>
        <v>#REF!</v>
      </c>
    </row>
    <row r="889" spans="1:11" ht="15" customHeight="1" x14ac:dyDescent="0.2">
      <c r="A889" s="104" t="s">
        <v>207</v>
      </c>
      <c r="B889" s="104" t="s">
        <v>209</v>
      </c>
      <c r="C889" s="104" t="s">
        <v>76</v>
      </c>
      <c r="D889" s="104">
        <v>2050</v>
      </c>
      <c r="E889" s="105" t="e">
        <f>SUMIFS(#REF!,#REF!,$A889,#REF!,$B889,#REF!,$C889,#REF!,"Storage Demand")</f>
        <v>#REF!</v>
      </c>
      <c r="F889" s="105" t="e">
        <f>SUMIFS(#REF!,#REF!,$A889,#REF!,$B889,#REF!,$C889,#REF!,"&lt;&gt;Other Sector Demand")</f>
        <v>#REF!</v>
      </c>
      <c r="G889" s="106" t="e">
        <f t="shared" si="52"/>
        <v>#REF!</v>
      </c>
      <c r="H889" s="105" t="e">
        <f>SUMIFS(#REF!,#REF!,$A889,#REF!,$B889,#REF!,$C889,#REF!,"Other Sector Demand")</f>
        <v>#REF!</v>
      </c>
      <c r="I889" s="105" t="e">
        <f t="shared" si="53"/>
        <v>#REF!</v>
      </c>
      <c r="J889" s="106" t="e">
        <f t="shared" si="54"/>
        <v>#REF!</v>
      </c>
      <c r="K889" s="107" t="e">
        <f t="shared" si="55"/>
        <v>#REF!</v>
      </c>
    </row>
    <row r="890" spans="1:11" ht="15" customHeight="1" x14ac:dyDescent="0.2">
      <c r="A890" s="104" t="s">
        <v>207</v>
      </c>
      <c r="B890" s="104" t="s">
        <v>209</v>
      </c>
      <c r="C890" s="104" t="s">
        <v>77</v>
      </c>
      <c r="D890" s="104">
        <v>2020</v>
      </c>
      <c r="E890" s="105" t="e">
        <f>SUMIFS(#REF!,#REF!,$A890,#REF!,$B890,#REF!,$C890,#REF!,"Storage Demand")</f>
        <v>#REF!</v>
      </c>
      <c r="F890" s="105" t="e">
        <f>SUMIFS(#REF!,#REF!,$A890,#REF!,$B890,#REF!,$C890,#REF!,"&lt;&gt;Other Sector Demand")</f>
        <v>#REF!</v>
      </c>
      <c r="G890" s="106" t="e">
        <f t="shared" si="52"/>
        <v>#REF!</v>
      </c>
      <c r="H890" s="105" t="e">
        <f>SUMIFS(#REF!,#REF!,$A890,#REF!,$B890,#REF!,$C890,#REF!,"Other Sector Demand")</f>
        <v>#REF!</v>
      </c>
      <c r="I890" s="105" t="e">
        <f t="shared" si="53"/>
        <v>#REF!</v>
      </c>
      <c r="J890" s="106" t="e">
        <f t="shared" si="54"/>
        <v>#REF!</v>
      </c>
      <c r="K890" s="107" t="e">
        <f t="shared" si="55"/>
        <v>#REF!</v>
      </c>
    </row>
    <row r="891" spans="1:11" ht="15" customHeight="1" x14ac:dyDescent="0.2">
      <c r="A891" s="104" t="s">
        <v>207</v>
      </c>
      <c r="B891" s="104" t="s">
        <v>209</v>
      </c>
      <c r="C891" s="104" t="s">
        <v>77</v>
      </c>
      <c r="D891" s="104">
        <v>2030</v>
      </c>
      <c r="E891" s="105" t="e">
        <f>SUMIFS(#REF!,#REF!,$A891,#REF!,$B891,#REF!,$C891,#REF!,"Storage Demand")</f>
        <v>#REF!</v>
      </c>
      <c r="F891" s="105" t="e">
        <f>SUMIFS(#REF!,#REF!,$A891,#REF!,$B891,#REF!,$C891,#REF!,"&lt;&gt;Other Sector Demand")</f>
        <v>#REF!</v>
      </c>
      <c r="G891" s="106" t="e">
        <f t="shared" si="52"/>
        <v>#REF!</v>
      </c>
      <c r="H891" s="105" t="e">
        <f>SUMIFS(#REF!,#REF!,$A891,#REF!,$B891,#REF!,$C891,#REF!,"Other Sector Demand")</f>
        <v>#REF!</v>
      </c>
      <c r="I891" s="105" t="e">
        <f t="shared" si="53"/>
        <v>#REF!</v>
      </c>
      <c r="J891" s="106" t="e">
        <f t="shared" si="54"/>
        <v>#REF!</v>
      </c>
      <c r="K891" s="107" t="e">
        <f t="shared" si="55"/>
        <v>#REF!</v>
      </c>
    </row>
    <row r="892" spans="1:11" ht="15" customHeight="1" x14ac:dyDescent="0.2">
      <c r="A892" s="104" t="s">
        <v>207</v>
      </c>
      <c r="B892" s="104" t="s">
        <v>209</v>
      </c>
      <c r="C892" s="104" t="s">
        <v>77</v>
      </c>
      <c r="D892" s="104">
        <v>2040</v>
      </c>
      <c r="E892" s="105" t="e">
        <f>SUMIFS(#REF!,#REF!,$A892,#REF!,$B892,#REF!,$C892,#REF!,"Storage Demand")</f>
        <v>#REF!</v>
      </c>
      <c r="F892" s="105" t="e">
        <f>SUMIFS(#REF!,#REF!,$A892,#REF!,$B892,#REF!,$C892,#REF!,"&lt;&gt;Other Sector Demand")</f>
        <v>#REF!</v>
      </c>
      <c r="G892" s="106" t="e">
        <f t="shared" si="52"/>
        <v>#REF!</v>
      </c>
      <c r="H892" s="105" t="e">
        <f>SUMIFS(#REF!,#REF!,$A892,#REF!,$B892,#REF!,$C892,#REF!,"Other Sector Demand")</f>
        <v>#REF!</v>
      </c>
      <c r="I892" s="105" t="e">
        <f t="shared" si="53"/>
        <v>#REF!</v>
      </c>
      <c r="J892" s="106" t="e">
        <f t="shared" si="54"/>
        <v>#REF!</v>
      </c>
      <c r="K892" s="107" t="e">
        <f t="shared" si="55"/>
        <v>#REF!</v>
      </c>
    </row>
    <row r="893" spans="1:11" ht="15" customHeight="1" x14ac:dyDescent="0.2">
      <c r="A893" s="104" t="s">
        <v>207</v>
      </c>
      <c r="B893" s="104" t="s">
        <v>209</v>
      </c>
      <c r="C893" s="104" t="s">
        <v>77</v>
      </c>
      <c r="D893" s="104">
        <v>2050</v>
      </c>
      <c r="E893" s="105" t="e">
        <f>SUMIFS(#REF!,#REF!,$A893,#REF!,$B893,#REF!,$C893,#REF!,"Storage Demand")</f>
        <v>#REF!</v>
      </c>
      <c r="F893" s="105" t="e">
        <f>SUMIFS(#REF!,#REF!,$A893,#REF!,$B893,#REF!,$C893,#REF!,"&lt;&gt;Other Sector Demand")</f>
        <v>#REF!</v>
      </c>
      <c r="G893" s="106" t="e">
        <f t="shared" si="52"/>
        <v>#REF!</v>
      </c>
      <c r="H893" s="105" t="e">
        <f>SUMIFS(#REF!,#REF!,$A893,#REF!,$B893,#REF!,$C893,#REF!,"Other Sector Demand")</f>
        <v>#REF!</v>
      </c>
      <c r="I893" s="105" t="e">
        <f t="shared" si="53"/>
        <v>#REF!</v>
      </c>
      <c r="J893" s="106" t="e">
        <f t="shared" si="54"/>
        <v>#REF!</v>
      </c>
      <c r="K893" s="107" t="e">
        <f t="shared" si="55"/>
        <v>#REF!</v>
      </c>
    </row>
    <row r="894" spans="1:11" ht="15" customHeight="1" x14ac:dyDescent="0.2">
      <c r="A894" s="104" t="s">
        <v>207</v>
      </c>
      <c r="B894" s="104" t="s">
        <v>209</v>
      </c>
      <c r="C894" s="104" t="s">
        <v>78</v>
      </c>
      <c r="D894" s="104">
        <v>2020</v>
      </c>
      <c r="E894" s="105" t="e">
        <f>SUMIFS(#REF!,#REF!,$A894,#REF!,$B894,#REF!,$C894,#REF!,"Storage Demand")</f>
        <v>#REF!</v>
      </c>
      <c r="F894" s="105" t="e">
        <f>SUMIFS(#REF!,#REF!,$A894,#REF!,$B894,#REF!,$C894,#REF!,"&lt;&gt;Other Sector Demand")</f>
        <v>#REF!</v>
      </c>
      <c r="G894" s="106" t="e">
        <f t="shared" si="52"/>
        <v>#REF!</v>
      </c>
      <c r="H894" s="105" t="e">
        <f>SUMIFS(#REF!,#REF!,$A894,#REF!,$B894,#REF!,$C894,#REF!,"Other Sector Demand")</f>
        <v>#REF!</v>
      </c>
      <c r="I894" s="105" t="e">
        <f t="shared" si="53"/>
        <v>#REF!</v>
      </c>
      <c r="J894" s="106" t="e">
        <f t="shared" si="54"/>
        <v>#REF!</v>
      </c>
      <c r="K894" s="107" t="e">
        <f t="shared" si="55"/>
        <v>#REF!</v>
      </c>
    </row>
    <row r="895" spans="1:11" ht="15" customHeight="1" x14ac:dyDescent="0.2">
      <c r="A895" s="104" t="s">
        <v>207</v>
      </c>
      <c r="B895" s="104" t="s">
        <v>209</v>
      </c>
      <c r="C895" s="104" t="s">
        <v>78</v>
      </c>
      <c r="D895" s="104">
        <v>2030</v>
      </c>
      <c r="E895" s="105" t="e">
        <f>SUMIFS(#REF!,#REF!,$A895,#REF!,$B895,#REF!,$C895,#REF!,"Storage Demand")</f>
        <v>#REF!</v>
      </c>
      <c r="F895" s="105" t="e">
        <f>SUMIFS(#REF!,#REF!,$A895,#REF!,$B895,#REF!,$C895,#REF!,"&lt;&gt;Other Sector Demand")</f>
        <v>#REF!</v>
      </c>
      <c r="G895" s="106" t="e">
        <f t="shared" si="52"/>
        <v>#REF!</v>
      </c>
      <c r="H895" s="105" t="e">
        <f>SUMIFS(#REF!,#REF!,$A895,#REF!,$B895,#REF!,$C895,#REF!,"Other Sector Demand")</f>
        <v>#REF!</v>
      </c>
      <c r="I895" s="105" t="e">
        <f t="shared" si="53"/>
        <v>#REF!</v>
      </c>
      <c r="J895" s="106" t="e">
        <f t="shared" si="54"/>
        <v>#REF!</v>
      </c>
      <c r="K895" s="107" t="e">
        <f t="shared" si="55"/>
        <v>#REF!</v>
      </c>
    </row>
    <row r="896" spans="1:11" ht="15" customHeight="1" x14ac:dyDescent="0.2">
      <c r="A896" s="104" t="s">
        <v>207</v>
      </c>
      <c r="B896" s="104" t="s">
        <v>209</v>
      </c>
      <c r="C896" s="104" t="s">
        <v>78</v>
      </c>
      <c r="D896" s="104">
        <v>2040</v>
      </c>
      <c r="E896" s="105" t="e">
        <f>SUMIFS(#REF!,#REF!,$A896,#REF!,$B896,#REF!,$C896,#REF!,"Storage Demand")</f>
        <v>#REF!</v>
      </c>
      <c r="F896" s="105" t="e">
        <f>SUMIFS(#REF!,#REF!,$A896,#REF!,$B896,#REF!,$C896,#REF!,"&lt;&gt;Other Sector Demand")</f>
        <v>#REF!</v>
      </c>
      <c r="G896" s="106" t="e">
        <f t="shared" si="52"/>
        <v>#REF!</v>
      </c>
      <c r="H896" s="105" t="e">
        <f>SUMIFS(#REF!,#REF!,$A896,#REF!,$B896,#REF!,$C896,#REF!,"Other Sector Demand")</f>
        <v>#REF!</v>
      </c>
      <c r="I896" s="105" t="e">
        <f t="shared" si="53"/>
        <v>#REF!</v>
      </c>
      <c r="J896" s="106" t="e">
        <f t="shared" si="54"/>
        <v>#REF!</v>
      </c>
      <c r="K896" s="107" t="e">
        <f t="shared" si="55"/>
        <v>#REF!</v>
      </c>
    </row>
    <row r="897" spans="1:11" ht="15" customHeight="1" x14ac:dyDescent="0.2">
      <c r="A897" s="104" t="s">
        <v>207</v>
      </c>
      <c r="B897" s="104" t="s">
        <v>209</v>
      </c>
      <c r="C897" s="104" t="s">
        <v>78</v>
      </c>
      <c r="D897" s="104">
        <v>2050</v>
      </c>
      <c r="E897" s="105" t="e">
        <f>SUMIFS(#REF!,#REF!,$A897,#REF!,$B897,#REF!,$C897,#REF!,"Storage Demand")</f>
        <v>#REF!</v>
      </c>
      <c r="F897" s="105" t="e">
        <f>SUMIFS(#REF!,#REF!,$A897,#REF!,$B897,#REF!,$C897,#REF!,"&lt;&gt;Other Sector Demand")</f>
        <v>#REF!</v>
      </c>
      <c r="G897" s="106" t="e">
        <f t="shared" si="52"/>
        <v>#REF!</v>
      </c>
      <c r="H897" s="105" t="e">
        <f>SUMIFS(#REF!,#REF!,$A897,#REF!,$B897,#REF!,$C897,#REF!,"Other Sector Demand")</f>
        <v>#REF!</v>
      </c>
      <c r="I897" s="105" t="e">
        <f t="shared" si="53"/>
        <v>#REF!</v>
      </c>
      <c r="J897" s="106" t="e">
        <f t="shared" si="54"/>
        <v>#REF!</v>
      </c>
      <c r="K897" s="107" t="e">
        <f t="shared" si="55"/>
        <v>#REF!</v>
      </c>
    </row>
    <row r="898" spans="1:11" ht="15" customHeight="1" x14ac:dyDescent="0.2">
      <c r="A898" s="104" t="s">
        <v>207</v>
      </c>
      <c r="B898" s="104" t="s">
        <v>210</v>
      </c>
      <c r="C898" s="104" t="s">
        <v>38</v>
      </c>
      <c r="D898" s="104">
        <v>2020</v>
      </c>
      <c r="E898" s="105" t="e">
        <f>SUMIFS(#REF!,#REF!,$A898,#REF!,$B898,#REF!,$C898,#REF!,"Storage Demand")</f>
        <v>#REF!</v>
      </c>
      <c r="F898" s="105" t="e">
        <f>SUMIFS(#REF!,#REF!,$A898,#REF!,$B898,#REF!,$C898,#REF!,"&lt;&gt;Other Sector Demand")</f>
        <v>#REF!</v>
      </c>
      <c r="G898" s="106" t="e">
        <f t="shared" ref="G898:G961" si="56">IF($F898=0,0,$E898/$F898)</f>
        <v>#REF!</v>
      </c>
      <c r="H898" s="105" t="e">
        <f>SUMIFS(#REF!,#REF!,$A898,#REF!,$B898,#REF!,$C898,#REF!,"Other Sector Demand")</f>
        <v>#REF!</v>
      </c>
      <c r="I898" s="105" t="e">
        <f t="shared" ref="I898:I961" si="57">$F898+$H898</f>
        <v>#REF!</v>
      </c>
      <c r="J898" s="106" t="e">
        <f t="shared" ref="J898:J961" si="58">IF($I898=0,0,$E898/$I898)</f>
        <v>#REF!</v>
      </c>
      <c r="K898" s="107" t="e">
        <f t="shared" ref="K898:K961" si="59">IF(SUMIFS($F$2:$F$1025,$A$2:$A$1025,$A898,$B$2:$B$1025,$B898,$C$2:$C$1025,$C898)=0,0,SUMIFS($E$2:$E$1025,$A$2:$A$1025,$A898,$B$2:$B$1025,$B898,$C$2:$C$1025,$C898)/SUMIFS($F$2:$F$1025,$A$2:$A$1025,$A898,$B$2:$B$1025,$B898,$C$2:$C$1025,$C898))</f>
        <v>#REF!</v>
      </c>
    </row>
    <row r="899" spans="1:11" ht="15" customHeight="1" x14ac:dyDescent="0.2">
      <c r="A899" s="104" t="s">
        <v>207</v>
      </c>
      <c r="B899" s="104" t="s">
        <v>210</v>
      </c>
      <c r="C899" s="104" t="s">
        <v>38</v>
      </c>
      <c r="D899" s="104">
        <v>2030</v>
      </c>
      <c r="E899" s="105" t="e">
        <f>SUMIFS(#REF!,#REF!,$A899,#REF!,$B899,#REF!,$C899,#REF!,"Storage Demand")</f>
        <v>#REF!</v>
      </c>
      <c r="F899" s="105" t="e">
        <f>SUMIFS(#REF!,#REF!,$A899,#REF!,$B899,#REF!,$C899,#REF!,"&lt;&gt;Other Sector Demand")</f>
        <v>#REF!</v>
      </c>
      <c r="G899" s="106" t="e">
        <f t="shared" si="56"/>
        <v>#REF!</v>
      </c>
      <c r="H899" s="105" t="e">
        <f>SUMIFS(#REF!,#REF!,$A899,#REF!,$B899,#REF!,$C899,#REF!,"Other Sector Demand")</f>
        <v>#REF!</v>
      </c>
      <c r="I899" s="105" t="e">
        <f t="shared" si="57"/>
        <v>#REF!</v>
      </c>
      <c r="J899" s="106" t="e">
        <f t="shared" si="58"/>
        <v>#REF!</v>
      </c>
      <c r="K899" s="107" t="e">
        <f t="shared" si="59"/>
        <v>#REF!</v>
      </c>
    </row>
    <row r="900" spans="1:11" ht="15" customHeight="1" x14ac:dyDescent="0.2">
      <c r="A900" s="104" t="s">
        <v>207</v>
      </c>
      <c r="B900" s="104" t="s">
        <v>210</v>
      </c>
      <c r="C900" s="104" t="s">
        <v>38</v>
      </c>
      <c r="D900" s="104">
        <v>2040</v>
      </c>
      <c r="E900" s="105" t="e">
        <f>SUMIFS(#REF!,#REF!,$A900,#REF!,$B900,#REF!,$C900,#REF!,"Storage Demand")</f>
        <v>#REF!</v>
      </c>
      <c r="F900" s="105" t="e">
        <f>SUMIFS(#REF!,#REF!,$A900,#REF!,$B900,#REF!,$C900,#REF!,"&lt;&gt;Other Sector Demand")</f>
        <v>#REF!</v>
      </c>
      <c r="G900" s="106" t="e">
        <f t="shared" si="56"/>
        <v>#REF!</v>
      </c>
      <c r="H900" s="105" t="e">
        <f>SUMIFS(#REF!,#REF!,$A900,#REF!,$B900,#REF!,$C900,#REF!,"Other Sector Demand")</f>
        <v>#REF!</v>
      </c>
      <c r="I900" s="105" t="e">
        <f t="shared" si="57"/>
        <v>#REF!</v>
      </c>
      <c r="J900" s="106" t="e">
        <f t="shared" si="58"/>
        <v>#REF!</v>
      </c>
      <c r="K900" s="107" t="e">
        <f t="shared" si="59"/>
        <v>#REF!</v>
      </c>
    </row>
    <row r="901" spans="1:11" ht="15" customHeight="1" x14ac:dyDescent="0.2">
      <c r="A901" s="104" t="s">
        <v>207</v>
      </c>
      <c r="B901" s="104" t="s">
        <v>210</v>
      </c>
      <c r="C901" s="104" t="s">
        <v>38</v>
      </c>
      <c r="D901" s="104">
        <v>2050</v>
      </c>
      <c r="E901" s="105" t="e">
        <f>SUMIFS(#REF!,#REF!,$A901,#REF!,$B901,#REF!,$C901,#REF!,"Storage Demand")</f>
        <v>#REF!</v>
      </c>
      <c r="F901" s="105" t="e">
        <f>SUMIFS(#REF!,#REF!,$A901,#REF!,$B901,#REF!,$C901,#REF!,"&lt;&gt;Other Sector Demand")</f>
        <v>#REF!</v>
      </c>
      <c r="G901" s="106" t="e">
        <f t="shared" si="56"/>
        <v>#REF!</v>
      </c>
      <c r="H901" s="105" t="e">
        <f>SUMIFS(#REF!,#REF!,$A901,#REF!,$B901,#REF!,$C901,#REF!,"Other Sector Demand")</f>
        <v>#REF!</v>
      </c>
      <c r="I901" s="105" t="e">
        <f t="shared" si="57"/>
        <v>#REF!</v>
      </c>
      <c r="J901" s="106" t="e">
        <f t="shared" si="58"/>
        <v>#REF!</v>
      </c>
      <c r="K901" s="107" t="e">
        <f t="shared" si="59"/>
        <v>#REF!</v>
      </c>
    </row>
    <row r="902" spans="1:11" ht="15" customHeight="1" x14ac:dyDescent="0.2">
      <c r="A902" s="104" t="s">
        <v>207</v>
      </c>
      <c r="B902" s="104" t="s">
        <v>210</v>
      </c>
      <c r="C902" s="104" t="s">
        <v>39</v>
      </c>
      <c r="D902" s="104">
        <v>2020</v>
      </c>
      <c r="E902" s="105" t="e">
        <f>SUMIFS(#REF!,#REF!,$A902,#REF!,$B902,#REF!,$C902,#REF!,"Storage Demand")</f>
        <v>#REF!</v>
      </c>
      <c r="F902" s="105" t="e">
        <f>SUMIFS(#REF!,#REF!,$A902,#REF!,$B902,#REF!,$C902,#REF!,"&lt;&gt;Other Sector Demand")</f>
        <v>#REF!</v>
      </c>
      <c r="G902" s="106" t="e">
        <f t="shared" si="56"/>
        <v>#REF!</v>
      </c>
      <c r="H902" s="105" t="e">
        <f>SUMIFS(#REF!,#REF!,$A902,#REF!,$B902,#REF!,$C902,#REF!,"Other Sector Demand")</f>
        <v>#REF!</v>
      </c>
      <c r="I902" s="105" t="e">
        <f t="shared" si="57"/>
        <v>#REF!</v>
      </c>
      <c r="J902" s="106" t="e">
        <f t="shared" si="58"/>
        <v>#REF!</v>
      </c>
      <c r="K902" s="107" t="e">
        <f t="shared" si="59"/>
        <v>#REF!</v>
      </c>
    </row>
    <row r="903" spans="1:11" ht="15" customHeight="1" x14ac:dyDescent="0.2">
      <c r="A903" s="104" t="s">
        <v>207</v>
      </c>
      <c r="B903" s="104" t="s">
        <v>210</v>
      </c>
      <c r="C903" s="104" t="s">
        <v>39</v>
      </c>
      <c r="D903" s="104">
        <v>2030</v>
      </c>
      <c r="E903" s="105" t="e">
        <f>SUMIFS(#REF!,#REF!,$A903,#REF!,$B903,#REF!,$C903,#REF!,"Storage Demand")</f>
        <v>#REF!</v>
      </c>
      <c r="F903" s="105" t="e">
        <f>SUMIFS(#REF!,#REF!,$A903,#REF!,$B903,#REF!,$C903,#REF!,"&lt;&gt;Other Sector Demand")</f>
        <v>#REF!</v>
      </c>
      <c r="G903" s="106" t="e">
        <f t="shared" si="56"/>
        <v>#REF!</v>
      </c>
      <c r="H903" s="105" t="e">
        <f>SUMIFS(#REF!,#REF!,$A903,#REF!,$B903,#REF!,$C903,#REF!,"Other Sector Demand")</f>
        <v>#REF!</v>
      </c>
      <c r="I903" s="105" t="e">
        <f t="shared" si="57"/>
        <v>#REF!</v>
      </c>
      <c r="J903" s="106" t="e">
        <f t="shared" si="58"/>
        <v>#REF!</v>
      </c>
      <c r="K903" s="107" t="e">
        <f t="shared" si="59"/>
        <v>#REF!</v>
      </c>
    </row>
    <row r="904" spans="1:11" ht="15" customHeight="1" x14ac:dyDescent="0.2">
      <c r="A904" s="104" t="s">
        <v>207</v>
      </c>
      <c r="B904" s="104" t="s">
        <v>210</v>
      </c>
      <c r="C904" s="104" t="s">
        <v>39</v>
      </c>
      <c r="D904" s="104">
        <v>2040</v>
      </c>
      <c r="E904" s="105" t="e">
        <f>SUMIFS(#REF!,#REF!,$A904,#REF!,$B904,#REF!,$C904,#REF!,"Storage Demand")</f>
        <v>#REF!</v>
      </c>
      <c r="F904" s="105" t="e">
        <f>SUMIFS(#REF!,#REF!,$A904,#REF!,$B904,#REF!,$C904,#REF!,"&lt;&gt;Other Sector Demand")</f>
        <v>#REF!</v>
      </c>
      <c r="G904" s="106" t="e">
        <f t="shared" si="56"/>
        <v>#REF!</v>
      </c>
      <c r="H904" s="105" t="e">
        <f>SUMIFS(#REF!,#REF!,$A904,#REF!,$B904,#REF!,$C904,#REF!,"Other Sector Demand")</f>
        <v>#REF!</v>
      </c>
      <c r="I904" s="105" t="e">
        <f t="shared" si="57"/>
        <v>#REF!</v>
      </c>
      <c r="J904" s="106" t="e">
        <f t="shared" si="58"/>
        <v>#REF!</v>
      </c>
      <c r="K904" s="107" t="e">
        <f t="shared" si="59"/>
        <v>#REF!</v>
      </c>
    </row>
    <row r="905" spans="1:11" ht="15" customHeight="1" x14ac:dyDescent="0.2">
      <c r="A905" s="104" t="s">
        <v>207</v>
      </c>
      <c r="B905" s="104" t="s">
        <v>210</v>
      </c>
      <c r="C905" s="104" t="s">
        <v>39</v>
      </c>
      <c r="D905" s="104">
        <v>2050</v>
      </c>
      <c r="E905" s="105" t="e">
        <f>SUMIFS(#REF!,#REF!,$A905,#REF!,$B905,#REF!,$C905,#REF!,"Storage Demand")</f>
        <v>#REF!</v>
      </c>
      <c r="F905" s="105" t="e">
        <f>SUMIFS(#REF!,#REF!,$A905,#REF!,$B905,#REF!,$C905,#REF!,"&lt;&gt;Other Sector Demand")</f>
        <v>#REF!</v>
      </c>
      <c r="G905" s="106" t="e">
        <f t="shared" si="56"/>
        <v>#REF!</v>
      </c>
      <c r="H905" s="105" t="e">
        <f>SUMIFS(#REF!,#REF!,$A905,#REF!,$B905,#REF!,$C905,#REF!,"Other Sector Demand")</f>
        <v>#REF!</v>
      </c>
      <c r="I905" s="105" t="e">
        <f t="shared" si="57"/>
        <v>#REF!</v>
      </c>
      <c r="J905" s="106" t="e">
        <f t="shared" si="58"/>
        <v>#REF!</v>
      </c>
      <c r="K905" s="107" t="e">
        <f t="shared" si="59"/>
        <v>#REF!</v>
      </c>
    </row>
    <row r="906" spans="1:11" ht="15" customHeight="1" x14ac:dyDescent="0.2">
      <c r="A906" s="104" t="s">
        <v>207</v>
      </c>
      <c r="B906" s="104" t="s">
        <v>210</v>
      </c>
      <c r="C906" s="104" t="s">
        <v>40</v>
      </c>
      <c r="D906" s="104">
        <v>2020</v>
      </c>
      <c r="E906" s="105" t="e">
        <f>SUMIFS(#REF!,#REF!,$A906,#REF!,$B906,#REF!,$C906,#REF!,"Storage Demand")</f>
        <v>#REF!</v>
      </c>
      <c r="F906" s="105" t="e">
        <f>SUMIFS(#REF!,#REF!,$A906,#REF!,$B906,#REF!,$C906,#REF!,"&lt;&gt;Other Sector Demand")</f>
        <v>#REF!</v>
      </c>
      <c r="G906" s="106" t="e">
        <f t="shared" si="56"/>
        <v>#REF!</v>
      </c>
      <c r="H906" s="105" t="e">
        <f>SUMIFS(#REF!,#REF!,$A906,#REF!,$B906,#REF!,$C906,#REF!,"Other Sector Demand")</f>
        <v>#REF!</v>
      </c>
      <c r="I906" s="105" t="e">
        <f t="shared" si="57"/>
        <v>#REF!</v>
      </c>
      <c r="J906" s="106" t="e">
        <f t="shared" si="58"/>
        <v>#REF!</v>
      </c>
      <c r="K906" s="107" t="e">
        <f t="shared" si="59"/>
        <v>#REF!</v>
      </c>
    </row>
    <row r="907" spans="1:11" ht="15" customHeight="1" x14ac:dyDescent="0.2">
      <c r="A907" s="104" t="s">
        <v>207</v>
      </c>
      <c r="B907" s="104" t="s">
        <v>210</v>
      </c>
      <c r="C907" s="104" t="s">
        <v>40</v>
      </c>
      <c r="D907" s="104">
        <v>2030</v>
      </c>
      <c r="E907" s="105" t="e">
        <f>SUMIFS(#REF!,#REF!,$A907,#REF!,$B907,#REF!,$C907,#REF!,"Storage Demand")</f>
        <v>#REF!</v>
      </c>
      <c r="F907" s="105" t="e">
        <f>SUMIFS(#REF!,#REF!,$A907,#REF!,$B907,#REF!,$C907,#REF!,"&lt;&gt;Other Sector Demand")</f>
        <v>#REF!</v>
      </c>
      <c r="G907" s="106" t="e">
        <f t="shared" si="56"/>
        <v>#REF!</v>
      </c>
      <c r="H907" s="105" t="e">
        <f>SUMIFS(#REF!,#REF!,$A907,#REF!,$B907,#REF!,$C907,#REF!,"Other Sector Demand")</f>
        <v>#REF!</v>
      </c>
      <c r="I907" s="105" t="e">
        <f t="shared" si="57"/>
        <v>#REF!</v>
      </c>
      <c r="J907" s="106" t="e">
        <f t="shared" si="58"/>
        <v>#REF!</v>
      </c>
      <c r="K907" s="107" t="e">
        <f t="shared" si="59"/>
        <v>#REF!</v>
      </c>
    </row>
    <row r="908" spans="1:11" ht="15" customHeight="1" x14ac:dyDescent="0.2">
      <c r="A908" s="104" t="s">
        <v>207</v>
      </c>
      <c r="B908" s="104" t="s">
        <v>210</v>
      </c>
      <c r="C908" s="104" t="s">
        <v>40</v>
      </c>
      <c r="D908" s="104">
        <v>2040</v>
      </c>
      <c r="E908" s="105" t="e">
        <f>SUMIFS(#REF!,#REF!,$A908,#REF!,$B908,#REF!,$C908,#REF!,"Storage Demand")</f>
        <v>#REF!</v>
      </c>
      <c r="F908" s="105" t="e">
        <f>SUMIFS(#REF!,#REF!,$A908,#REF!,$B908,#REF!,$C908,#REF!,"&lt;&gt;Other Sector Demand")</f>
        <v>#REF!</v>
      </c>
      <c r="G908" s="106" t="e">
        <f t="shared" si="56"/>
        <v>#REF!</v>
      </c>
      <c r="H908" s="105" t="e">
        <f>SUMIFS(#REF!,#REF!,$A908,#REF!,$B908,#REF!,$C908,#REF!,"Other Sector Demand")</f>
        <v>#REF!</v>
      </c>
      <c r="I908" s="105" t="e">
        <f t="shared" si="57"/>
        <v>#REF!</v>
      </c>
      <c r="J908" s="106" t="e">
        <f t="shared" si="58"/>
        <v>#REF!</v>
      </c>
      <c r="K908" s="107" t="e">
        <f t="shared" si="59"/>
        <v>#REF!</v>
      </c>
    </row>
    <row r="909" spans="1:11" ht="15" customHeight="1" x14ac:dyDescent="0.2">
      <c r="A909" s="104" t="s">
        <v>207</v>
      </c>
      <c r="B909" s="104" t="s">
        <v>210</v>
      </c>
      <c r="C909" s="104" t="s">
        <v>40</v>
      </c>
      <c r="D909" s="104">
        <v>2050</v>
      </c>
      <c r="E909" s="105" t="e">
        <f>SUMIFS(#REF!,#REF!,$A909,#REF!,$B909,#REF!,$C909,#REF!,"Storage Demand")</f>
        <v>#REF!</v>
      </c>
      <c r="F909" s="105" t="e">
        <f>SUMIFS(#REF!,#REF!,$A909,#REF!,$B909,#REF!,$C909,#REF!,"&lt;&gt;Other Sector Demand")</f>
        <v>#REF!</v>
      </c>
      <c r="G909" s="106" t="e">
        <f t="shared" si="56"/>
        <v>#REF!</v>
      </c>
      <c r="H909" s="105" t="e">
        <f>SUMIFS(#REF!,#REF!,$A909,#REF!,$B909,#REF!,$C909,#REF!,"Other Sector Demand")</f>
        <v>#REF!</v>
      </c>
      <c r="I909" s="105" t="e">
        <f t="shared" si="57"/>
        <v>#REF!</v>
      </c>
      <c r="J909" s="106" t="e">
        <f t="shared" si="58"/>
        <v>#REF!</v>
      </c>
      <c r="K909" s="107" t="e">
        <f t="shared" si="59"/>
        <v>#REF!</v>
      </c>
    </row>
    <row r="910" spans="1:11" ht="15" customHeight="1" x14ac:dyDescent="0.2">
      <c r="A910" s="104" t="s">
        <v>207</v>
      </c>
      <c r="B910" s="104" t="s">
        <v>210</v>
      </c>
      <c r="C910" s="104" t="s">
        <v>41</v>
      </c>
      <c r="D910" s="104">
        <v>2020</v>
      </c>
      <c r="E910" s="105" t="e">
        <f>SUMIFS(#REF!,#REF!,$A910,#REF!,$B910,#REF!,$C910,#REF!,"Storage Demand")</f>
        <v>#REF!</v>
      </c>
      <c r="F910" s="105" t="e">
        <f>SUMIFS(#REF!,#REF!,$A910,#REF!,$B910,#REF!,$C910,#REF!,"&lt;&gt;Other Sector Demand")</f>
        <v>#REF!</v>
      </c>
      <c r="G910" s="106" t="e">
        <f t="shared" si="56"/>
        <v>#REF!</v>
      </c>
      <c r="H910" s="105" t="e">
        <f>SUMIFS(#REF!,#REF!,$A910,#REF!,$B910,#REF!,$C910,#REF!,"Other Sector Demand")</f>
        <v>#REF!</v>
      </c>
      <c r="I910" s="105" t="e">
        <f t="shared" si="57"/>
        <v>#REF!</v>
      </c>
      <c r="J910" s="106" t="e">
        <f t="shared" si="58"/>
        <v>#REF!</v>
      </c>
      <c r="K910" s="107" t="e">
        <f t="shared" si="59"/>
        <v>#REF!</v>
      </c>
    </row>
    <row r="911" spans="1:11" ht="15" customHeight="1" x14ac:dyDescent="0.2">
      <c r="A911" s="104" t="s">
        <v>207</v>
      </c>
      <c r="B911" s="104" t="s">
        <v>210</v>
      </c>
      <c r="C911" s="104" t="s">
        <v>41</v>
      </c>
      <c r="D911" s="104">
        <v>2030</v>
      </c>
      <c r="E911" s="105" t="e">
        <f>SUMIFS(#REF!,#REF!,$A911,#REF!,$B911,#REF!,$C911,#REF!,"Storage Demand")</f>
        <v>#REF!</v>
      </c>
      <c r="F911" s="105" t="e">
        <f>SUMIFS(#REF!,#REF!,$A911,#REF!,$B911,#REF!,$C911,#REF!,"&lt;&gt;Other Sector Demand")</f>
        <v>#REF!</v>
      </c>
      <c r="G911" s="106" t="e">
        <f t="shared" si="56"/>
        <v>#REF!</v>
      </c>
      <c r="H911" s="105" t="e">
        <f>SUMIFS(#REF!,#REF!,$A911,#REF!,$B911,#REF!,$C911,#REF!,"Other Sector Demand")</f>
        <v>#REF!</v>
      </c>
      <c r="I911" s="105" t="e">
        <f t="shared" si="57"/>
        <v>#REF!</v>
      </c>
      <c r="J911" s="106" t="e">
        <f t="shared" si="58"/>
        <v>#REF!</v>
      </c>
      <c r="K911" s="107" t="e">
        <f t="shared" si="59"/>
        <v>#REF!</v>
      </c>
    </row>
    <row r="912" spans="1:11" ht="15" customHeight="1" x14ac:dyDescent="0.2">
      <c r="A912" s="104" t="s">
        <v>207</v>
      </c>
      <c r="B912" s="104" t="s">
        <v>210</v>
      </c>
      <c r="C912" s="104" t="s">
        <v>41</v>
      </c>
      <c r="D912" s="104">
        <v>2040</v>
      </c>
      <c r="E912" s="105" t="e">
        <f>SUMIFS(#REF!,#REF!,$A912,#REF!,$B912,#REF!,$C912,#REF!,"Storage Demand")</f>
        <v>#REF!</v>
      </c>
      <c r="F912" s="105" t="e">
        <f>SUMIFS(#REF!,#REF!,$A912,#REF!,$B912,#REF!,$C912,#REF!,"&lt;&gt;Other Sector Demand")</f>
        <v>#REF!</v>
      </c>
      <c r="G912" s="106" t="e">
        <f t="shared" si="56"/>
        <v>#REF!</v>
      </c>
      <c r="H912" s="105" t="e">
        <f>SUMIFS(#REF!,#REF!,$A912,#REF!,$B912,#REF!,$C912,#REF!,"Other Sector Demand")</f>
        <v>#REF!</v>
      </c>
      <c r="I912" s="105" t="e">
        <f t="shared" si="57"/>
        <v>#REF!</v>
      </c>
      <c r="J912" s="106" t="e">
        <f t="shared" si="58"/>
        <v>#REF!</v>
      </c>
      <c r="K912" s="107" t="e">
        <f t="shared" si="59"/>
        <v>#REF!</v>
      </c>
    </row>
    <row r="913" spans="1:11" ht="15" customHeight="1" x14ac:dyDescent="0.2">
      <c r="A913" s="104" t="s">
        <v>207</v>
      </c>
      <c r="B913" s="104" t="s">
        <v>210</v>
      </c>
      <c r="C913" s="104" t="s">
        <v>41</v>
      </c>
      <c r="D913" s="104">
        <v>2050</v>
      </c>
      <c r="E913" s="105" t="e">
        <f>SUMIFS(#REF!,#REF!,$A913,#REF!,$B913,#REF!,$C913,#REF!,"Storage Demand")</f>
        <v>#REF!</v>
      </c>
      <c r="F913" s="105" t="e">
        <f>SUMIFS(#REF!,#REF!,$A913,#REF!,$B913,#REF!,$C913,#REF!,"&lt;&gt;Other Sector Demand")</f>
        <v>#REF!</v>
      </c>
      <c r="G913" s="106" t="e">
        <f t="shared" si="56"/>
        <v>#REF!</v>
      </c>
      <c r="H913" s="105" t="e">
        <f>SUMIFS(#REF!,#REF!,$A913,#REF!,$B913,#REF!,$C913,#REF!,"Other Sector Demand")</f>
        <v>#REF!</v>
      </c>
      <c r="I913" s="105" t="e">
        <f t="shared" si="57"/>
        <v>#REF!</v>
      </c>
      <c r="J913" s="106" t="e">
        <f t="shared" si="58"/>
        <v>#REF!</v>
      </c>
      <c r="K913" s="107" t="e">
        <f t="shared" si="59"/>
        <v>#REF!</v>
      </c>
    </row>
    <row r="914" spans="1:11" ht="15" customHeight="1" x14ac:dyDescent="0.2">
      <c r="A914" s="104" t="s">
        <v>207</v>
      </c>
      <c r="B914" s="104" t="s">
        <v>210</v>
      </c>
      <c r="C914" s="104" t="s">
        <v>42</v>
      </c>
      <c r="D914" s="104">
        <v>2020</v>
      </c>
      <c r="E914" s="105" t="e">
        <f>SUMIFS(#REF!,#REF!,$A914,#REF!,$B914,#REF!,$C914,#REF!,"Storage Demand")</f>
        <v>#REF!</v>
      </c>
      <c r="F914" s="105" t="e">
        <f>SUMIFS(#REF!,#REF!,$A914,#REF!,$B914,#REF!,$C914,#REF!,"&lt;&gt;Other Sector Demand")</f>
        <v>#REF!</v>
      </c>
      <c r="G914" s="106" t="e">
        <f t="shared" si="56"/>
        <v>#REF!</v>
      </c>
      <c r="H914" s="105" t="e">
        <f>SUMIFS(#REF!,#REF!,$A914,#REF!,$B914,#REF!,$C914,#REF!,"Other Sector Demand")</f>
        <v>#REF!</v>
      </c>
      <c r="I914" s="105" t="e">
        <f t="shared" si="57"/>
        <v>#REF!</v>
      </c>
      <c r="J914" s="106" t="e">
        <f t="shared" si="58"/>
        <v>#REF!</v>
      </c>
      <c r="K914" s="107" t="e">
        <f t="shared" si="59"/>
        <v>#REF!</v>
      </c>
    </row>
    <row r="915" spans="1:11" ht="15" customHeight="1" x14ac:dyDescent="0.2">
      <c r="A915" s="104" t="s">
        <v>207</v>
      </c>
      <c r="B915" s="104" t="s">
        <v>210</v>
      </c>
      <c r="C915" s="104" t="s">
        <v>42</v>
      </c>
      <c r="D915" s="104">
        <v>2030</v>
      </c>
      <c r="E915" s="105" t="e">
        <f>SUMIFS(#REF!,#REF!,$A915,#REF!,$B915,#REF!,$C915,#REF!,"Storage Demand")</f>
        <v>#REF!</v>
      </c>
      <c r="F915" s="105" t="e">
        <f>SUMIFS(#REF!,#REF!,$A915,#REF!,$B915,#REF!,$C915,#REF!,"&lt;&gt;Other Sector Demand")</f>
        <v>#REF!</v>
      </c>
      <c r="G915" s="106" t="e">
        <f t="shared" si="56"/>
        <v>#REF!</v>
      </c>
      <c r="H915" s="105" t="e">
        <f>SUMIFS(#REF!,#REF!,$A915,#REF!,$B915,#REF!,$C915,#REF!,"Other Sector Demand")</f>
        <v>#REF!</v>
      </c>
      <c r="I915" s="105" t="e">
        <f t="shared" si="57"/>
        <v>#REF!</v>
      </c>
      <c r="J915" s="106" t="e">
        <f t="shared" si="58"/>
        <v>#REF!</v>
      </c>
      <c r="K915" s="107" t="e">
        <f t="shared" si="59"/>
        <v>#REF!</v>
      </c>
    </row>
    <row r="916" spans="1:11" ht="15" customHeight="1" x14ac:dyDescent="0.2">
      <c r="A916" s="104" t="s">
        <v>207</v>
      </c>
      <c r="B916" s="104" t="s">
        <v>210</v>
      </c>
      <c r="C916" s="104" t="s">
        <v>42</v>
      </c>
      <c r="D916" s="104">
        <v>2040</v>
      </c>
      <c r="E916" s="105" t="e">
        <f>SUMIFS(#REF!,#REF!,$A916,#REF!,$B916,#REF!,$C916,#REF!,"Storage Demand")</f>
        <v>#REF!</v>
      </c>
      <c r="F916" s="105" t="e">
        <f>SUMIFS(#REF!,#REF!,$A916,#REF!,$B916,#REF!,$C916,#REF!,"&lt;&gt;Other Sector Demand")</f>
        <v>#REF!</v>
      </c>
      <c r="G916" s="106" t="e">
        <f t="shared" si="56"/>
        <v>#REF!</v>
      </c>
      <c r="H916" s="105" t="e">
        <f>SUMIFS(#REF!,#REF!,$A916,#REF!,$B916,#REF!,$C916,#REF!,"Other Sector Demand")</f>
        <v>#REF!</v>
      </c>
      <c r="I916" s="105" t="e">
        <f t="shared" si="57"/>
        <v>#REF!</v>
      </c>
      <c r="J916" s="106" t="e">
        <f t="shared" si="58"/>
        <v>#REF!</v>
      </c>
      <c r="K916" s="107" t="e">
        <f t="shared" si="59"/>
        <v>#REF!</v>
      </c>
    </row>
    <row r="917" spans="1:11" ht="15" customHeight="1" x14ac:dyDescent="0.2">
      <c r="A917" s="104" t="s">
        <v>207</v>
      </c>
      <c r="B917" s="104" t="s">
        <v>210</v>
      </c>
      <c r="C917" s="104" t="s">
        <v>42</v>
      </c>
      <c r="D917" s="104">
        <v>2050</v>
      </c>
      <c r="E917" s="105" t="e">
        <f>SUMIFS(#REF!,#REF!,$A917,#REF!,$B917,#REF!,$C917,#REF!,"Storage Demand")</f>
        <v>#REF!</v>
      </c>
      <c r="F917" s="105" t="e">
        <f>SUMIFS(#REF!,#REF!,$A917,#REF!,$B917,#REF!,$C917,#REF!,"&lt;&gt;Other Sector Demand")</f>
        <v>#REF!</v>
      </c>
      <c r="G917" s="106" t="e">
        <f t="shared" si="56"/>
        <v>#REF!</v>
      </c>
      <c r="H917" s="105" t="e">
        <f>SUMIFS(#REF!,#REF!,$A917,#REF!,$B917,#REF!,$C917,#REF!,"Other Sector Demand")</f>
        <v>#REF!</v>
      </c>
      <c r="I917" s="105" t="e">
        <f t="shared" si="57"/>
        <v>#REF!</v>
      </c>
      <c r="J917" s="106" t="e">
        <f t="shared" si="58"/>
        <v>#REF!</v>
      </c>
      <c r="K917" s="107" t="e">
        <f t="shared" si="59"/>
        <v>#REF!</v>
      </c>
    </row>
    <row r="918" spans="1:11" ht="15" customHeight="1" x14ac:dyDescent="0.2">
      <c r="A918" s="104" t="s">
        <v>207</v>
      </c>
      <c r="B918" s="104" t="s">
        <v>210</v>
      </c>
      <c r="C918" s="104" t="s">
        <v>44</v>
      </c>
      <c r="D918" s="104">
        <v>2020</v>
      </c>
      <c r="E918" s="105" t="e">
        <f>SUMIFS(#REF!,#REF!,$A918,#REF!,$B918,#REF!,$C918,#REF!,"Storage Demand")</f>
        <v>#REF!</v>
      </c>
      <c r="F918" s="105" t="e">
        <f>SUMIFS(#REF!,#REF!,$A918,#REF!,$B918,#REF!,$C918,#REF!,"&lt;&gt;Other Sector Demand")</f>
        <v>#REF!</v>
      </c>
      <c r="G918" s="106" t="e">
        <f t="shared" si="56"/>
        <v>#REF!</v>
      </c>
      <c r="H918" s="105" t="e">
        <f>SUMIFS(#REF!,#REF!,$A918,#REF!,$B918,#REF!,$C918,#REF!,"Other Sector Demand")</f>
        <v>#REF!</v>
      </c>
      <c r="I918" s="105" t="e">
        <f t="shared" si="57"/>
        <v>#REF!</v>
      </c>
      <c r="J918" s="106" t="e">
        <f t="shared" si="58"/>
        <v>#REF!</v>
      </c>
      <c r="K918" s="107" t="e">
        <f t="shared" si="59"/>
        <v>#REF!</v>
      </c>
    </row>
    <row r="919" spans="1:11" ht="15" customHeight="1" x14ac:dyDescent="0.2">
      <c r="A919" s="104" t="s">
        <v>207</v>
      </c>
      <c r="B919" s="104" t="s">
        <v>210</v>
      </c>
      <c r="C919" s="104" t="s">
        <v>44</v>
      </c>
      <c r="D919" s="104">
        <v>2030</v>
      </c>
      <c r="E919" s="105" t="e">
        <f>SUMIFS(#REF!,#REF!,$A919,#REF!,$B919,#REF!,$C919,#REF!,"Storage Demand")</f>
        <v>#REF!</v>
      </c>
      <c r="F919" s="105" t="e">
        <f>SUMIFS(#REF!,#REF!,$A919,#REF!,$B919,#REF!,$C919,#REF!,"&lt;&gt;Other Sector Demand")</f>
        <v>#REF!</v>
      </c>
      <c r="G919" s="106" t="e">
        <f t="shared" si="56"/>
        <v>#REF!</v>
      </c>
      <c r="H919" s="105" t="e">
        <f>SUMIFS(#REF!,#REF!,$A919,#REF!,$B919,#REF!,$C919,#REF!,"Other Sector Demand")</f>
        <v>#REF!</v>
      </c>
      <c r="I919" s="105" t="e">
        <f t="shared" si="57"/>
        <v>#REF!</v>
      </c>
      <c r="J919" s="106" t="e">
        <f t="shared" si="58"/>
        <v>#REF!</v>
      </c>
      <c r="K919" s="107" t="e">
        <f t="shared" si="59"/>
        <v>#REF!</v>
      </c>
    </row>
    <row r="920" spans="1:11" ht="15" customHeight="1" x14ac:dyDescent="0.2">
      <c r="A920" s="104" t="s">
        <v>207</v>
      </c>
      <c r="B920" s="104" t="s">
        <v>210</v>
      </c>
      <c r="C920" s="104" t="s">
        <v>44</v>
      </c>
      <c r="D920" s="104">
        <v>2040</v>
      </c>
      <c r="E920" s="105" t="e">
        <f>SUMIFS(#REF!,#REF!,$A920,#REF!,$B920,#REF!,$C920,#REF!,"Storage Demand")</f>
        <v>#REF!</v>
      </c>
      <c r="F920" s="105" t="e">
        <f>SUMIFS(#REF!,#REF!,$A920,#REF!,$B920,#REF!,$C920,#REF!,"&lt;&gt;Other Sector Demand")</f>
        <v>#REF!</v>
      </c>
      <c r="G920" s="106" t="e">
        <f t="shared" si="56"/>
        <v>#REF!</v>
      </c>
      <c r="H920" s="105" t="e">
        <f>SUMIFS(#REF!,#REF!,$A920,#REF!,$B920,#REF!,$C920,#REF!,"Other Sector Demand")</f>
        <v>#REF!</v>
      </c>
      <c r="I920" s="105" t="e">
        <f t="shared" si="57"/>
        <v>#REF!</v>
      </c>
      <c r="J920" s="106" t="e">
        <f t="shared" si="58"/>
        <v>#REF!</v>
      </c>
      <c r="K920" s="107" t="e">
        <f t="shared" si="59"/>
        <v>#REF!</v>
      </c>
    </row>
    <row r="921" spans="1:11" ht="15" customHeight="1" x14ac:dyDescent="0.2">
      <c r="A921" s="104" t="s">
        <v>207</v>
      </c>
      <c r="B921" s="104" t="s">
        <v>210</v>
      </c>
      <c r="C921" s="104" t="s">
        <v>44</v>
      </c>
      <c r="D921" s="104">
        <v>2050</v>
      </c>
      <c r="E921" s="105" t="e">
        <f>SUMIFS(#REF!,#REF!,$A921,#REF!,$B921,#REF!,$C921,#REF!,"Storage Demand")</f>
        <v>#REF!</v>
      </c>
      <c r="F921" s="105" t="e">
        <f>SUMIFS(#REF!,#REF!,$A921,#REF!,$B921,#REF!,$C921,#REF!,"&lt;&gt;Other Sector Demand")</f>
        <v>#REF!</v>
      </c>
      <c r="G921" s="106" t="e">
        <f t="shared" si="56"/>
        <v>#REF!</v>
      </c>
      <c r="H921" s="105" t="e">
        <f>SUMIFS(#REF!,#REF!,$A921,#REF!,$B921,#REF!,$C921,#REF!,"Other Sector Demand")</f>
        <v>#REF!</v>
      </c>
      <c r="I921" s="105" t="e">
        <f t="shared" si="57"/>
        <v>#REF!</v>
      </c>
      <c r="J921" s="106" t="e">
        <f t="shared" si="58"/>
        <v>#REF!</v>
      </c>
      <c r="K921" s="107" t="e">
        <f t="shared" si="59"/>
        <v>#REF!</v>
      </c>
    </row>
    <row r="922" spans="1:11" ht="15" customHeight="1" x14ac:dyDescent="0.2">
      <c r="A922" s="104" t="s">
        <v>207</v>
      </c>
      <c r="B922" s="104" t="s">
        <v>210</v>
      </c>
      <c r="C922" s="104" t="s">
        <v>45</v>
      </c>
      <c r="D922" s="104">
        <v>2020</v>
      </c>
      <c r="E922" s="105" t="e">
        <f>SUMIFS(#REF!,#REF!,$A922,#REF!,$B922,#REF!,$C922,#REF!,"Storage Demand")</f>
        <v>#REF!</v>
      </c>
      <c r="F922" s="105" t="e">
        <f>SUMIFS(#REF!,#REF!,$A922,#REF!,$B922,#REF!,$C922,#REF!,"&lt;&gt;Other Sector Demand")</f>
        <v>#REF!</v>
      </c>
      <c r="G922" s="106" t="e">
        <f t="shared" si="56"/>
        <v>#REF!</v>
      </c>
      <c r="H922" s="105" t="e">
        <f>SUMIFS(#REF!,#REF!,$A922,#REF!,$B922,#REF!,$C922,#REF!,"Other Sector Demand")</f>
        <v>#REF!</v>
      </c>
      <c r="I922" s="105" t="e">
        <f t="shared" si="57"/>
        <v>#REF!</v>
      </c>
      <c r="J922" s="106" t="e">
        <f t="shared" si="58"/>
        <v>#REF!</v>
      </c>
      <c r="K922" s="107" t="e">
        <f t="shared" si="59"/>
        <v>#REF!</v>
      </c>
    </row>
    <row r="923" spans="1:11" ht="15" customHeight="1" x14ac:dyDescent="0.2">
      <c r="A923" s="104" t="s">
        <v>207</v>
      </c>
      <c r="B923" s="104" t="s">
        <v>210</v>
      </c>
      <c r="C923" s="104" t="s">
        <v>45</v>
      </c>
      <c r="D923" s="104">
        <v>2030</v>
      </c>
      <c r="E923" s="105" t="e">
        <f>SUMIFS(#REF!,#REF!,$A923,#REF!,$B923,#REF!,$C923,#REF!,"Storage Demand")</f>
        <v>#REF!</v>
      </c>
      <c r="F923" s="105" t="e">
        <f>SUMIFS(#REF!,#REF!,$A923,#REF!,$B923,#REF!,$C923,#REF!,"&lt;&gt;Other Sector Demand")</f>
        <v>#REF!</v>
      </c>
      <c r="G923" s="106" t="e">
        <f t="shared" si="56"/>
        <v>#REF!</v>
      </c>
      <c r="H923" s="105" t="e">
        <f>SUMIFS(#REF!,#REF!,$A923,#REF!,$B923,#REF!,$C923,#REF!,"Other Sector Demand")</f>
        <v>#REF!</v>
      </c>
      <c r="I923" s="105" t="e">
        <f t="shared" si="57"/>
        <v>#REF!</v>
      </c>
      <c r="J923" s="106" t="e">
        <f t="shared" si="58"/>
        <v>#REF!</v>
      </c>
      <c r="K923" s="107" t="e">
        <f t="shared" si="59"/>
        <v>#REF!</v>
      </c>
    </row>
    <row r="924" spans="1:11" ht="15" customHeight="1" x14ac:dyDescent="0.2">
      <c r="A924" s="104" t="s">
        <v>207</v>
      </c>
      <c r="B924" s="104" t="s">
        <v>210</v>
      </c>
      <c r="C924" s="104" t="s">
        <v>45</v>
      </c>
      <c r="D924" s="104">
        <v>2040</v>
      </c>
      <c r="E924" s="105" t="e">
        <f>SUMIFS(#REF!,#REF!,$A924,#REF!,$B924,#REF!,$C924,#REF!,"Storage Demand")</f>
        <v>#REF!</v>
      </c>
      <c r="F924" s="105" t="e">
        <f>SUMIFS(#REF!,#REF!,$A924,#REF!,$B924,#REF!,$C924,#REF!,"&lt;&gt;Other Sector Demand")</f>
        <v>#REF!</v>
      </c>
      <c r="G924" s="106" t="e">
        <f t="shared" si="56"/>
        <v>#REF!</v>
      </c>
      <c r="H924" s="105" t="e">
        <f>SUMIFS(#REF!,#REF!,$A924,#REF!,$B924,#REF!,$C924,#REF!,"Other Sector Demand")</f>
        <v>#REF!</v>
      </c>
      <c r="I924" s="105" t="e">
        <f t="shared" si="57"/>
        <v>#REF!</v>
      </c>
      <c r="J924" s="106" t="e">
        <f t="shared" si="58"/>
        <v>#REF!</v>
      </c>
      <c r="K924" s="107" t="e">
        <f t="shared" si="59"/>
        <v>#REF!</v>
      </c>
    </row>
    <row r="925" spans="1:11" ht="15" customHeight="1" x14ac:dyDescent="0.2">
      <c r="A925" s="104" t="s">
        <v>207</v>
      </c>
      <c r="B925" s="104" t="s">
        <v>210</v>
      </c>
      <c r="C925" s="104" t="s">
        <v>45</v>
      </c>
      <c r="D925" s="104">
        <v>2050</v>
      </c>
      <c r="E925" s="105" t="e">
        <f>SUMIFS(#REF!,#REF!,$A925,#REF!,$B925,#REF!,$C925,#REF!,"Storage Demand")</f>
        <v>#REF!</v>
      </c>
      <c r="F925" s="105" t="e">
        <f>SUMIFS(#REF!,#REF!,$A925,#REF!,$B925,#REF!,$C925,#REF!,"&lt;&gt;Other Sector Demand")</f>
        <v>#REF!</v>
      </c>
      <c r="G925" s="106" t="e">
        <f t="shared" si="56"/>
        <v>#REF!</v>
      </c>
      <c r="H925" s="105" t="e">
        <f>SUMIFS(#REF!,#REF!,$A925,#REF!,$B925,#REF!,$C925,#REF!,"Other Sector Demand")</f>
        <v>#REF!</v>
      </c>
      <c r="I925" s="105" t="e">
        <f t="shared" si="57"/>
        <v>#REF!</v>
      </c>
      <c r="J925" s="106" t="e">
        <f t="shared" si="58"/>
        <v>#REF!</v>
      </c>
      <c r="K925" s="107" t="e">
        <f t="shared" si="59"/>
        <v>#REF!</v>
      </c>
    </row>
    <row r="926" spans="1:11" ht="15" customHeight="1" x14ac:dyDescent="0.2">
      <c r="A926" s="104" t="s">
        <v>207</v>
      </c>
      <c r="B926" s="104" t="s">
        <v>210</v>
      </c>
      <c r="C926" s="104" t="s">
        <v>46</v>
      </c>
      <c r="D926" s="104">
        <v>2020</v>
      </c>
      <c r="E926" s="105" t="e">
        <f>SUMIFS(#REF!,#REF!,$A926,#REF!,$B926,#REF!,$C926,#REF!,"Storage Demand")</f>
        <v>#REF!</v>
      </c>
      <c r="F926" s="105" t="e">
        <f>SUMIFS(#REF!,#REF!,$A926,#REF!,$B926,#REF!,$C926,#REF!,"&lt;&gt;Other Sector Demand")</f>
        <v>#REF!</v>
      </c>
      <c r="G926" s="106" t="e">
        <f t="shared" si="56"/>
        <v>#REF!</v>
      </c>
      <c r="H926" s="105" t="e">
        <f>SUMIFS(#REF!,#REF!,$A926,#REF!,$B926,#REF!,$C926,#REF!,"Other Sector Demand")</f>
        <v>#REF!</v>
      </c>
      <c r="I926" s="105" t="e">
        <f t="shared" si="57"/>
        <v>#REF!</v>
      </c>
      <c r="J926" s="106" t="e">
        <f t="shared" si="58"/>
        <v>#REF!</v>
      </c>
      <c r="K926" s="107" t="e">
        <f t="shared" si="59"/>
        <v>#REF!</v>
      </c>
    </row>
    <row r="927" spans="1:11" ht="15" customHeight="1" x14ac:dyDescent="0.2">
      <c r="A927" s="104" t="s">
        <v>207</v>
      </c>
      <c r="B927" s="104" t="s">
        <v>210</v>
      </c>
      <c r="C927" s="104" t="s">
        <v>46</v>
      </c>
      <c r="D927" s="104">
        <v>2030</v>
      </c>
      <c r="E927" s="105" t="e">
        <f>SUMIFS(#REF!,#REF!,$A927,#REF!,$B927,#REF!,$C927,#REF!,"Storage Demand")</f>
        <v>#REF!</v>
      </c>
      <c r="F927" s="105" t="e">
        <f>SUMIFS(#REF!,#REF!,$A927,#REF!,$B927,#REF!,$C927,#REF!,"&lt;&gt;Other Sector Demand")</f>
        <v>#REF!</v>
      </c>
      <c r="G927" s="106" t="e">
        <f t="shared" si="56"/>
        <v>#REF!</v>
      </c>
      <c r="H927" s="105" t="e">
        <f>SUMIFS(#REF!,#REF!,$A927,#REF!,$B927,#REF!,$C927,#REF!,"Other Sector Demand")</f>
        <v>#REF!</v>
      </c>
      <c r="I927" s="105" t="e">
        <f t="shared" si="57"/>
        <v>#REF!</v>
      </c>
      <c r="J927" s="106" t="e">
        <f t="shared" si="58"/>
        <v>#REF!</v>
      </c>
      <c r="K927" s="107" t="e">
        <f t="shared" si="59"/>
        <v>#REF!</v>
      </c>
    </row>
    <row r="928" spans="1:11" ht="15" customHeight="1" x14ac:dyDescent="0.2">
      <c r="A928" s="104" t="s">
        <v>207</v>
      </c>
      <c r="B928" s="104" t="s">
        <v>210</v>
      </c>
      <c r="C928" s="104" t="s">
        <v>46</v>
      </c>
      <c r="D928" s="104">
        <v>2040</v>
      </c>
      <c r="E928" s="105" t="e">
        <f>SUMIFS(#REF!,#REF!,$A928,#REF!,$B928,#REF!,$C928,#REF!,"Storage Demand")</f>
        <v>#REF!</v>
      </c>
      <c r="F928" s="105" t="e">
        <f>SUMIFS(#REF!,#REF!,$A928,#REF!,$B928,#REF!,$C928,#REF!,"&lt;&gt;Other Sector Demand")</f>
        <v>#REF!</v>
      </c>
      <c r="G928" s="106" t="e">
        <f t="shared" si="56"/>
        <v>#REF!</v>
      </c>
      <c r="H928" s="105" t="e">
        <f>SUMIFS(#REF!,#REF!,$A928,#REF!,$B928,#REF!,$C928,#REF!,"Other Sector Demand")</f>
        <v>#REF!</v>
      </c>
      <c r="I928" s="105" t="e">
        <f t="shared" si="57"/>
        <v>#REF!</v>
      </c>
      <c r="J928" s="106" t="e">
        <f t="shared" si="58"/>
        <v>#REF!</v>
      </c>
      <c r="K928" s="107" t="e">
        <f t="shared" si="59"/>
        <v>#REF!</v>
      </c>
    </row>
    <row r="929" spans="1:11" ht="15" customHeight="1" x14ac:dyDescent="0.2">
      <c r="A929" s="104" t="s">
        <v>207</v>
      </c>
      <c r="B929" s="104" t="s">
        <v>210</v>
      </c>
      <c r="C929" s="104" t="s">
        <v>46</v>
      </c>
      <c r="D929" s="104">
        <v>2050</v>
      </c>
      <c r="E929" s="105" t="e">
        <f>SUMIFS(#REF!,#REF!,$A929,#REF!,$B929,#REF!,$C929,#REF!,"Storage Demand")</f>
        <v>#REF!</v>
      </c>
      <c r="F929" s="105" t="e">
        <f>SUMIFS(#REF!,#REF!,$A929,#REF!,$B929,#REF!,$C929,#REF!,"&lt;&gt;Other Sector Demand")</f>
        <v>#REF!</v>
      </c>
      <c r="G929" s="106" t="e">
        <f t="shared" si="56"/>
        <v>#REF!</v>
      </c>
      <c r="H929" s="105" t="e">
        <f>SUMIFS(#REF!,#REF!,$A929,#REF!,$B929,#REF!,$C929,#REF!,"Other Sector Demand")</f>
        <v>#REF!</v>
      </c>
      <c r="I929" s="105" t="e">
        <f t="shared" si="57"/>
        <v>#REF!</v>
      </c>
      <c r="J929" s="106" t="e">
        <f t="shared" si="58"/>
        <v>#REF!</v>
      </c>
      <c r="K929" s="107" t="e">
        <f t="shared" si="59"/>
        <v>#REF!</v>
      </c>
    </row>
    <row r="930" spans="1:11" ht="15" customHeight="1" x14ac:dyDescent="0.2">
      <c r="A930" s="104" t="s">
        <v>207</v>
      </c>
      <c r="B930" s="104" t="s">
        <v>210</v>
      </c>
      <c r="C930" s="104" t="s">
        <v>47</v>
      </c>
      <c r="D930" s="104">
        <v>2020</v>
      </c>
      <c r="E930" s="105" t="e">
        <f>SUMIFS(#REF!,#REF!,$A930,#REF!,$B930,#REF!,$C930,#REF!,"Storage Demand")</f>
        <v>#REF!</v>
      </c>
      <c r="F930" s="105" t="e">
        <f>SUMIFS(#REF!,#REF!,$A930,#REF!,$B930,#REF!,$C930,#REF!,"&lt;&gt;Other Sector Demand")</f>
        <v>#REF!</v>
      </c>
      <c r="G930" s="106" t="e">
        <f t="shared" si="56"/>
        <v>#REF!</v>
      </c>
      <c r="H930" s="105" t="e">
        <f>SUMIFS(#REF!,#REF!,$A930,#REF!,$B930,#REF!,$C930,#REF!,"Other Sector Demand")</f>
        <v>#REF!</v>
      </c>
      <c r="I930" s="105" t="e">
        <f t="shared" si="57"/>
        <v>#REF!</v>
      </c>
      <c r="J930" s="106" t="e">
        <f t="shared" si="58"/>
        <v>#REF!</v>
      </c>
      <c r="K930" s="107" t="e">
        <f t="shared" si="59"/>
        <v>#REF!</v>
      </c>
    </row>
    <row r="931" spans="1:11" ht="15" customHeight="1" x14ac:dyDescent="0.2">
      <c r="A931" s="104" t="s">
        <v>207</v>
      </c>
      <c r="B931" s="104" t="s">
        <v>210</v>
      </c>
      <c r="C931" s="104" t="s">
        <v>47</v>
      </c>
      <c r="D931" s="104">
        <v>2030</v>
      </c>
      <c r="E931" s="105" t="e">
        <f>SUMIFS(#REF!,#REF!,$A931,#REF!,$B931,#REF!,$C931,#REF!,"Storage Demand")</f>
        <v>#REF!</v>
      </c>
      <c r="F931" s="105" t="e">
        <f>SUMIFS(#REF!,#REF!,$A931,#REF!,$B931,#REF!,$C931,#REF!,"&lt;&gt;Other Sector Demand")</f>
        <v>#REF!</v>
      </c>
      <c r="G931" s="106" t="e">
        <f t="shared" si="56"/>
        <v>#REF!</v>
      </c>
      <c r="H931" s="105" t="e">
        <f>SUMIFS(#REF!,#REF!,$A931,#REF!,$B931,#REF!,$C931,#REF!,"Other Sector Demand")</f>
        <v>#REF!</v>
      </c>
      <c r="I931" s="105" t="e">
        <f t="shared" si="57"/>
        <v>#REF!</v>
      </c>
      <c r="J931" s="106" t="e">
        <f t="shared" si="58"/>
        <v>#REF!</v>
      </c>
      <c r="K931" s="107" t="e">
        <f t="shared" si="59"/>
        <v>#REF!</v>
      </c>
    </row>
    <row r="932" spans="1:11" ht="15" customHeight="1" x14ac:dyDescent="0.2">
      <c r="A932" s="104" t="s">
        <v>207</v>
      </c>
      <c r="B932" s="104" t="s">
        <v>210</v>
      </c>
      <c r="C932" s="104" t="s">
        <v>47</v>
      </c>
      <c r="D932" s="104">
        <v>2040</v>
      </c>
      <c r="E932" s="105" t="e">
        <f>SUMIFS(#REF!,#REF!,$A932,#REF!,$B932,#REF!,$C932,#REF!,"Storage Demand")</f>
        <v>#REF!</v>
      </c>
      <c r="F932" s="105" t="e">
        <f>SUMIFS(#REF!,#REF!,$A932,#REF!,$B932,#REF!,$C932,#REF!,"&lt;&gt;Other Sector Demand")</f>
        <v>#REF!</v>
      </c>
      <c r="G932" s="106" t="e">
        <f t="shared" si="56"/>
        <v>#REF!</v>
      </c>
      <c r="H932" s="105" t="e">
        <f>SUMIFS(#REF!,#REF!,$A932,#REF!,$B932,#REF!,$C932,#REF!,"Other Sector Demand")</f>
        <v>#REF!</v>
      </c>
      <c r="I932" s="105" t="e">
        <f t="shared" si="57"/>
        <v>#REF!</v>
      </c>
      <c r="J932" s="106" t="e">
        <f t="shared" si="58"/>
        <v>#REF!</v>
      </c>
      <c r="K932" s="107" t="e">
        <f t="shared" si="59"/>
        <v>#REF!</v>
      </c>
    </row>
    <row r="933" spans="1:11" ht="15" customHeight="1" x14ac:dyDescent="0.2">
      <c r="A933" s="104" t="s">
        <v>207</v>
      </c>
      <c r="B933" s="104" t="s">
        <v>210</v>
      </c>
      <c r="C933" s="104" t="s">
        <v>47</v>
      </c>
      <c r="D933" s="104">
        <v>2050</v>
      </c>
      <c r="E933" s="105" t="e">
        <f>SUMIFS(#REF!,#REF!,$A933,#REF!,$B933,#REF!,$C933,#REF!,"Storage Demand")</f>
        <v>#REF!</v>
      </c>
      <c r="F933" s="105" t="e">
        <f>SUMIFS(#REF!,#REF!,$A933,#REF!,$B933,#REF!,$C933,#REF!,"&lt;&gt;Other Sector Demand")</f>
        <v>#REF!</v>
      </c>
      <c r="G933" s="106" t="e">
        <f t="shared" si="56"/>
        <v>#REF!</v>
      </c>
      <c r="H933" s="105" t="e">
        <f>SUMIFS(#REF!,#REF!,$A933,#REF!,$B933,#REF!,$C933,#REF!,"Other Sector Demand")</f>
        <v>#REF!</v>
      </c>
      <c r="I933" s="105" t="e">
        <f t="shared" si="57"/>
        <v>#REF!</v>
      </c>
      <c r="J933" s="106" t="e">
        <f t="shared" si="58"/>
        <v>#REF!</v>
      </c>
      <c r="K933" s="107" t="e">
        <f t="shared" si="59"/>
        <v>#REF!</v>
      </c>
    </row>
    <row r="934" spans="1:11" ht="15" customHeight="1" x14ac:dyDescent="0.2">
      <c r="A934" s="104" t="s">
        <v>207</v>
      </c>
      <c r="B934" s="104" t="s">
        <v>210</v>
      </c>
      <c r="C934" s="104" t="s">
        <v>49</v>
      </c>
      <c r="D934" s="104">
        <v>2020</v>
      </c>
      <c r="E934" s="105" t="e">
        <f>SUMIFS(#REF!,#REF!,$A934,#REF!,$B934,#REF!,$C934,#REF!,"Storage Demand")</f>
        <v>#REF!</v>
      </c>
      <c r="F934" s="105" t="e">
        <f>SUMIFS(#REF!,#REF!,$A934,#REF!,$B934,#REF!,$C934,#REF!,"&lt;&gt;Other Sector Demand")</f>
        <v>#REF!</v>
      </c>
      <c r="G934" s="106" t="e">
        <f t="shared" si="56"/>
        <v>#REF!</v>
      </c>
      <c r="H934" s="105" t="e">
        <f>SUMIFS(#REF!,#REF!,$A934,#REF!,$B934,#REF!,$C934,#REF!,"Other Sector Demand")</f>
        <v>#REF!</v>
      </c>
      <c r="I934" s="105" t="e">
        <f t="shared" si="57"/>
        <v>#REF!</v>
      </c>
      <c r="J934" s="106" t="e">
        <f t="shared" si="58"/>
        <v>#REF!</v>
      </c>
      <c r="K934" s="107" t="e">
        <f t="shared" si="59"/>
        <v>#REF!</v>
      </c>
    </row>
    <row r="935" spans="1:11" ht="15" customHeight="1" x14ac:dyDescent="0.2">
      <c r="A935" s="104" t="s">
        <v>207</v>
      </c>
      <c r="B935" s="104" t="s">
        <v>210</v>
      </c>
      <c r="C935" s="104" t="s">
        <v>49</v>
      </c>
      <c r="D935" s="104">
        <v>2030</v>
      </c>
      <c r="E935" s="105" t="e">
        <f>SUMIFS(#REF!,#REF!,$A935,#REF!,$B935,#REF!,$C935,#REF!,"Storage Demand")</f>
        <v>#REF!</v>
      </c>
      <c r="F935" s="105" t="e">
        <f>SUMIFS(#REF!,#REF!,$A935,#REF!,$B935,#REF!,$C935,#REF!,"&lt;&gt;Other Sector Demand")</f>
        <v>#REF!</v>
      </c>
      <c r="G935" s="106" t="e">
        <f t="shared" si="56"/>
        <v>#REF!</v>
      </c>
      <c r="H935" s="105" t="e">
        <f>SUMIFS(#REF!,#REF!,$A935,#REF!,$B935,#REF!,$C935,#REF!,"Other Sector Demand")</f>
        <v>#REF!</v>
      </c>
      <c r="I935" s="105" t="e">
        <f t="shared" si="57"/>
        <v>#REF!</v>
      </c>
      <c r="J935" s="106" t="e">
        <f t="shared" si="58"/>
        <v>#REF!</v>
      </c>
      <c r="K935" s="107" t="e">
        <f t="shared" si="59"/>
        <v>#REF!</v>
      </c>
    </row>
    <row r="936" spans="1:11" ht="15" customHeight="1" x14ac:dyDescent="0.2">
      <c r="A936" s="104" t="s">
        <v>207</v>
      </c>
      <c r="B936" s="104" t="s">
        <v>210</v>
      </c>
      <c r="C936" s="104" t="s">
        <v>49</v>
      </c>
      <c r="D936" s="104">
        <v>2040</v>
      </c>
      <c r="E936" s="105" t="e">
        <f>SUMIFS(#REF!,#REF!,$A936,#REF!,$B936,#REF!,$C936,#REF!,"Storage Demand")</f>
        <v>#REF!</v>
      </c>
      <c r="F936" s="105" t="e">
        <f>SUMIFS(#REF!,#REF!,$A936,#REF!,$B936,#REF!,$C936,#REF!,"&lt;&gt;Other Sector Demand")</f>
        <v>#REF!</v>
      </c>
      <c r="G936" s="106" t="e">
        <f t="shared" si="56"/>
        <v>#REF!</v>
      </c>
      <c r="H936" s="105" t="e">
        <f>SUMIFS(#REF!,#REF!,$A936,#REF!,$B936,#REF!,$C936,#REF!,"Other Sector Demand")</f>
        <v>#REF!</v>
      </c>
      <c r="I936" s="105" t="e">
        <f t="shared" si="57"/>
        <v>#REF!</v>
      </c>
      <c r="J936" s="106" t="e">
        <f t="shared" si="58"/>
        <v>#REF!</v>
      </c>
      <c r="K936" s="107" t="e">
        <f t="shared" si="59"/>
        <v>#REF!</v>
      </c>
    </row>
    <row r="937" spans="1:11" ht="15" customHeight="1" x14ac:dyDescent="0.2">
      <c r="A937" s="104" t="s">
        <v>207</v>
      </c>
      <c r="B937" s="104" t="s">
        <v>210</v>
      </c>
      <c r="C937" s="104" t="s">
        <v>49</v>
      </c>
      <c r="D937" s="104">
        <v>2050</v>
      </c>
      <c r="E937" s="105" t="e">
        <f>SUMIFS(#REF!,#REF!,$A937,#REF!,$B937,#REF!,$C937,#REF!,"Storage Demand")</f>
        <v>#REF!</v>
      </c>
      <c r="F937" s="105" t="e">
        <f>SUMIFS(#REF!,#REF!,$A937,#REF!,$B937,#REF!,$C937,#REF!,"&lt;&gt;Other Sector Demand")</f>
        <v>#REF!</v>
      </c>
      <c r="G937" s="106" t="e">
        <f t="shared" si="56"/>
        <v>#REF!</v>
      </c>
      <c r="H937" s="105" t="e">
        <f>SUMIFS(#REF!,#REF!,$A937,#REF!,$B937,#REF!,$C937,#REF!,"Other Sector Demand")</f>
        <v>#REF!</v>
      </c>
      <c r="I937" s="105" t="e">
        <f t="shared" si="57"/>
        <v>#REF!</v>
      </c>
      <c r="J937" s="106" t="e">
        <f t="shared" si="58"/>
        <v>#REF!</v>
      </c>
      <c r="K937" s="107" t="e">
        <f t="shared" si="59"/>
        <v>#REF!</v>
      </c>
    </row>
    <row r="938" spans="1:11" ht="15" customHeight="1" x14ac:dyDescent="0.2">
      <c r="A938" s="104" t="s">
        <v>207</v>
      </c>
      <c r="B938" s="104" t="s">
        <v>210</v>
      </c>
      <c r="C938" s="104" t="s">
        <v>50</v>
      </c>
      <c r="D938" s="104">
        <v>2020</v>
      </c>
      <c r="E938" s="105" t="e">
        <f>SUMIFS(#REF!,#REF!,$A938,#REF!,$B938,#REF!,$C938,#REF!,"Storage Demand")</f>
        <v>#REF!</v>
      </c>
      <c r="F938" s="105" t="e">
        <f>SUMIFS(#REF!,#REF!,$A938,#REF!,$B938,#REF!,$C938,#REF!,"&lt;&gt;Other Sector Demand")</f>
        <v>#REF!</v>
      </c>
      <c r="G938" s="106" t="e">
        <f t="shared" si="56"/>
        <v>#REF!</v>
      </c>
      <c r="H938" s="105" t="e">
        <f>SUMIFS(#REF!,#REF!,$A938,#REF!,$B938,#REF!,$C938,#REF!,"Other Sector Demand")</f>
        <v>#REF!</v>
      </c>
      <c r="I938" s="105" t="e">
        <f t="shared" si="57"/>
        <v>#REF!</v>
      </c>
      <c r="J938" s="106" t="e">
        <f t="shared" si="58"/>
        <v>#REF!</v>
      </c>
      <c r="K938" s="107" t="e">
        <f t="shared" si="59"/>
        <v>#REF!</v>
      </c>
    </row>
    <row r="939" spans="1:11" ht="15" customHeight="1" x14ac:dyDescent="0.2">
      <c r="A939" s="104" t="s">
        <v>207</v>
      </c>
      <c r="B939" s="104" t="s">
        <v>210</v>
      </c>
      <c r="C939" s="104" t="s">
        <v>50</v>
      </c>
      <c r="D939" s="104">
        <v>2030</v>
      </c>
      <c r="E939" s="105" t="e">
        <f>SUMIFS(#REF!,#REF!,$A939,#REF!,$B939,#REF!,$C939,#REF!,"Storage Demand")</f>
        <v>#REF!</v>
      </c>
      <c r="F939" s="105" t="e">
        <f>SUMIFS(#REF!,#REF!,$A939,#REF!,$B939,#REF!,$C939,#REF!,"&lt;&gt;Other Sector Demand")</f>
        <v>#REF!</v>
      </c>
      <c r="G939" s="106" t="e">
        <f t="shared" si="56"/>
        <v>#REF!</v>
      </c>
      <c r="H939" s="105" t="e">
        <f>SUMIFS(#REF!,#REF!,$A939,#REF!,$B939,#REF!,$C939,#REF!,"Other Sector Demand")</f>
        <v>#REF!</v>
      </c>
      <c r="I939" s="105" t="e">
        <f t="shared" si="57"/>
        <v>#REF!</v>
      </c>
      <c r="J939" s="106" t="e">
        <f t="shared" si="58"/>
        <v>#REF!</v>
      </c>
      <c r="K939" s="107" t="e">
        <f t="shared" si="59"/>
        <v>#REF!</v>
      </c>
    </row>
    <row r="940" spans="1:11" ht="15" customHeight="1" x14ac:dyDescent="0.2">
      <c r="A940" s="104" t="s">
        <v>207</v>
      </c>
      <c r="B940" s="104" t="s">
        <v>210</v>
      </c>
      <c r="C940" s="104" t="s">
        <v>50</v>
      </c>
      <c r="D940" s="104">
        <v>2040</v>
      </c>
      <c r="E940" s="105" t="e">
        <f>SUMIFS(#REF!,#REF!,$A940,#REF!,$B940,#REF!,$C940,#REF!,"Storage Demand")</f>
        <v>#REF!</v>
      </c>
      <c r="F940" s="105" t="e">
        <f>SUMIFS(#REF!,#REF!,$A940,#REF!,$B940,#REF!,$C940,#REF!,"&lt;&gt;Other Sector Demand")</f>
        <v>#REF!</v>
      </c>
      <c r="G940" s="106" t="e">
        <f t="shared" si="56"/>
        <v>#REF!</v>
      </c>
      <c r="H940" s="105" t="e">
        <f>SUMIFS(#REF!,#REF!,$A940,#REF!,$B940,#REF!,$C940,#REF!,"Other Sector Demand")</f>
        <v>#REF!</v>
      </c>
      <c r="I940" s="105" t="e">
        <f t="shared" si="57"/>
        <v>#REF!</v>
      </c>
      <c r="J940" s="106" t="e">
        <f t="shared" si="58"/>
        <v>#REF!</v>
      </c>
      <c r="K940" s="107" t="e">
        <f t="shared" si="59"/>
        <v>#REF!</v>
      </c>
    </row>
    <row r="941" spans="1:11" ht="15" customHeight="1" x14ac:dyDescent="0.2">
      <c r="A941" s="104" t="s">
        <v>207</v>
      </c>
      <c r="B941" s="104" t="s">
        <v>210</v>
      </c>
      <c r="C941" s="104" t="s">
        <v>50</v>
      </c>
      <c r="D941" s="104">
        <v>2050</v>
      </c>
      <c r="E941" s="105" t="e">
        <f>SUMIFS(#REF!,#REF!,$A941,#REF!,$B941,#REF!,$C941,#REF!,"Storage Demand")</f>
        <v>#REF!</v>
      </c>
      <c r="F941" s="105" t="e">
        <f>SUMIFS(#REF!,#REF!,$A941,#REF!,$B941,#REF!,$C941,#REF!,"&lt;&gt;Other Sector Demand")</f>
        <v>#REF!</v>
      </c>
      <c r="G941" s="106" t="e">
        <f t="shared" si="56"/>
        <v>#REF!</v>
      </c>
      <c r="H941" s="105" t="e">
        <f>SUMIFS(#REF!,#REF!,$A941,#REF!,$B941,#REF!,$C941,#REF!,"Other Sector Demand")</f>
        <v>#REF!</v>
      </c>
      <c r="I941" s="105" t="e">
        <f t="shared" si="57"/>
        <v>#REF!</v>
      </c>
      <c r="J941" s="106" t="e">
        <f t="shared" si="58"/>
        <v>#REF!</v>
      </c>
      <c r="K941" s="107" t="e">
        <f t="shared" si="59"/>
        <v>#REF!</v>
      </c>
    </row>
    <row r="942" spans="1:11" ht="15" customHeight="1" x14ac:dyDescent="0.2">
      <c r="A942" s="104" t="s">
        <v>207</v>
      </c>
      <c r="B942" s="104" t="s">
        <v>210</v>
      </c>
      <c r="C942" s="104" t="s">
        <v>52</v>
      </c>
      <c r="D942" s="104">
        <v>2020</v>
      </c>
      <c r="E942" s="105" t="e">
        <f>SUMIFS(#REF!,#REF!,$A942,#REF!,$B942,#REF!,$C942,#REF!,"Storage Demand")</f>
        <v>#REF!</v>
      </c>
      <c r="F942" s="105" t="e">
        <f>SUMIFS(#REF!,#REF!,$A942,#REF!,$B942,#REF!,$C942,#REF!,"&lt;&gt;Other Sector Demand")</f>
        <v>#REF!</v>
      </c>
      <c r="G942" s="106" t="e">
        <f t="shared" si="56"/>
        <v>#REF!</v>
      </c>
      <c r="H942" s="105" t="e">
        <f>SUMIFS(#REF!,#REF!,$A942,#REF!,$B942,#REF!,$C942,#REF!,"Other Sector Demand")</f>
        <v>#REF!</v>
      </c>
      <c r="I942" s="105" t="e">
        <f t="shared" si="57"/>
        <v>#REF!</v>
      </c>
      <c r="J942" s="106" t="e">
        <f t="shared" si="58"/>
        <v>#REF!</v>
      </c>
      <c r="K942" s="107" t="e">
        <f t="shared" si="59"/>
        <v>#REF!</v>
      </c>
    </row>
    <row r="943" spans="1:11" ht="15" customHeight="1" x14ac:dyDescent="0.2">
      <c r="A943" s="104" t="s">
        <v>207</v>
      </c>
      <c r="B943" s="104" t="s">
        <v>210</v>
      </c>
      <c r="C943" s="104" t="s">
        <v>52</v>
      </c>
      <c r="D943" s="104">
        <v>2030</v>
      </c>
      <c r="E943" s="105" t="e">
        <f>SUMIFS(#REF!,#REF!,$A943,#REF!,$B943,#REF!,$C943,#REF!,"Storage Demand")</f>
        <v>#REF!</v>
      </c>
      <c r="F943" s="105" t="e">
        <f>SUMIFS(#REF!,#REF!,$A943,#REF!,$B943,#REF!,$C943,#REF!,"&lt;&gt;Other Sector Demand")</f>
        <v>#REF!</v>
      </c>
      <c r="G943" s="106" t="e">
        <f t="shared" si="56"/>
        <v>#REF!</v>
      </c>
      <c r="H943" s="105" t="e">
        <f>SUMIFS(#REF!,#REF!,$A943,#REF!,$B943,#REF!,$C943,#REF!,"Other Sector Demand")</f>
        <v>#REF!</v>
      </c>
      <c r="I943" s="105" t="e">
        <f t="shared" si="57"/>
        <v>#REF!</v>
      </c>
      <c r="J943" s="106" t="e">
        <f t="shared" si="58"/>
        <v>#REF!</v>
      </c>
      <c r="K943" s="107" t="e">
        <f t="shared" si="59"/>
        <v>#REF!</v>
      </c>
    </row>
    <row r="944" spans="1:11" ht="15" customHeight="1" x14ac:dyDescent="0.2">
      <c r="A944" s="104" t="s">
        <v>207</v>
      </c>
      <c r="B944" s="104" t="s">
        <v>210</v>
      </c>
      <c r="C944" s="104" t="s">
        <v>52</v>
      </c>
      <c r="D944" s="104">
        <v>2040</v>
      </c>
      <c r="E944" s="105" t="e">
        <f>SUMIFS(#REF!,#REF!,$A944,#REF!,$B944,#REF!,$C944,#REF!,"Storage Demand")</f>
        <v>#REF!</v>
      </c>
      <c r="F944" s="105" t="e">
        <f>SUMIFS(#REF!,#REF!,$A944,#REF!,$B944,#REF!,$C944,#REF!,"&lt;&gt;Other Sector Demand")</f>
        <v>#REF!</v>
      </c>
      <c r="G944" s="106" t="e">
        <f t="shared" si="56"/>
        <v>#REF!</v>
      </c>
      <c r="H944" s="105" t="e">
        <f>SUMIFS(#REF!,#REF!,$A944,#REF!,$B944,#REF!,$C944,#REF!,"Other Sector Demand")</f>
        <v>#REF!</v>
      </c>
      <c r="I944" s="105" t="e">
        <f t="shared" si="57"/>
        <v>#REF!</v>
      </c>
      <c r="J944" s="106" t="e">
        <f t="shared" si="58"/>
        <v>#REF!</v>
      </c>
      <c r="K944" s="107" t="e">
        <f t="shared" si="59"/>
        <v>#REF!</v>
      </c>
    </row>
    <row r="945" spans="1:11" ht="15" customHeight="1" x14ac:dyDescent="0.2">
      <c r="A945" s="104" t="s">
        <v>207</v>
      </c>
      <c r="B945" s="104" t="s">
        <v>210</v>
      </c>
      <c r="C945" s="104" t="s">
        <v>52</v>
      </c>
      <c r="D945" s="104">
        <v>2050</v>
      </c>
      <c r="E945" s="105" t="e">
        <f>SUMIFS(#REF!,#REF!,$A945,#REF!,$B945,#REF!,$C945,#REF!,"Storage Demand")</f>
        <v>#REF!</v>
      </c>
      <c r="F945" s="105" t="e">
        <f>SUMIFS(#REF!,#REF!,$A945,#REF!,$B945,#REF!,$C945,#REF!,"&lt;&gt;Other Sector Demand")</f>
        <v>#REF!</v>
      </c>
      <c r="G945" s="106" t="e">
        <f t="shared" si="56"/>
        <v>#REF!</v>
      </c>
      <c r="H945" s="105" t="e">
        <f>SUMIFS(#REF!,#REF!,$A945,#REF!,$B945,#REF!,$C945,#REF!,"Other Sector Demand")</f>
        <v>#REF!</v>
      </c>
      <c r="I945" s="105" t="e">
        <f t="shared" si="57"/>
        <v>#REF!</v>
      </c>
      <c r="J945" s="106" t="e">
        <f t="shared" si="58"/>
        <v>#REF!</v>
      </c>
      <c r="K945" s="107" t="e">
        <f t="shared" si="59"/>
        <v>#REF!</v>
      </c>
    </row>
    <row r="946" spans="1:11" ht="15" customHeight="1" x14ac:dyDescent="0.2">
      <c r="A946" s="104" t="s">
        <v>207</v>
      </c>
      <c r="B946" s="104" t="s">
        <v>210</v>
      </c>
      <c r="C946" s="104" t="s">
        <v>53</v>
      </c>
      <c r="D946" s="104">
        <v>2020</v>
      </c>
      <c r="E946" s="105" t="e">
        <f>SUMIFS(#REF!,#REF!,$A946,#REF!,$B946,#REF!,$C946,#REF!,"Storage Demand")</f>
        <v>#REF!</v>
      </c>
      <c r="F946" s="105" t="e">
        <f>SUMIFS(#REF!,#REF!,$A946,#REF!,$B946,#REF!,$C946,#REF!,"&lt;&gt;Other Sector Demand")</f>
        <v>#REF!</v>
      </c>
      <c r="G946" s="106" t="e">
        <f t="shared" si="56"/>
        <v>#REF!</v>
      </c>
      <c r="H946" s="105" t="e">
        <f>SUMIFS(#REF!,#REF!,$A946,#REF!,$B946,#REF!,$C946,#REF!,"Other Sector Demand")</f>
        <v>#REF!</v>
      </c>
      <c r="I946" s="105" t="e">
        <f t="shared" si="57"/>
        <v>#REF!</v>
      </c>
      <c r="J946" s="106" t="e">
        <f t="shared" si="58"/>
        <v>#REF!</v>
      </c>
      <c r="K946" s="107" t="e">
        <f t="shared" si="59"/>
        <v>#REF!</v>
      </c>
    </row>
    <row r="947" spans="1:11" ht="15" customHeight="1" x14ac:dyDescent="0.2">
      <c r="A947" s="104" t="s">
        <v>207</v>
      </c>
      <c r="B947" s="104" t="s">
        <v>210</v>
      </c>
      <c r="C947" s="104" t="s">
        <v>53</v>
      </c>
      <c r="D947" s="104">
        <v>2030</v>
      </c>
      <c r="E947" s="105" t="e">
        <f>SUMIFS(#REF!,#REF!,$A947,#REF!,$B947,#REF!,$C947,#REF!,"Storage Demand")</f>
        <v>#REF!</v>
      </c>
      <c r="F947" s="105" t="e">
        <f>SUMIFS(#REF!,#REF!,$A947,#REF!,$B947,#REF!,$C947,#REF!,"&lt;&gt;Other Sector Demand")</f>
        <v>#REF!</v>
      </c>
      <c r="G947" s="106" t="e">
        <f t="shared" si="56"/>
        <v>#REF!</v>
      </c>
      <c r="H947" s="105" t="e">
        <f>SUMIFS(#REF!,#REF!,$A947,#REF!,$B947,#REF!,$C947,#REF!,"Other Sector Demand")</f>
        <v>#REF!</v>
      </c>
      <c r="I947" s="105" t="e">
        <f t="shared" si="57"/>
        <v>#REF!</v>
      </c>
      <c r="J947" s="106" t="e">
        <f t="shared" si="58"/>
        <v>#REF!</v>
      </c>
      <c r="K947" s="107" t="e">
        <f t="shared" si="59"/>
        <v>#REF!</v>
      </c>
    </row>
    <row r="948" spans="1:11" ht="15" customHeight="1" x14ac:dyDescent="0.2">
      <c r="A948" s="104" t="s">
        <v>207</v>
      </c>
      <c r="B948" s="104" t="s">
        <v>210</v>
      </c>
      <c r="C948" s="104" t="s">
        <v>53</v>
      </c>
      <c r="D948" s="104">
        <v>2040</v>
      </c>
      <c r="E948" s="105" t="e">
        <f>SUMIFS(#REF!,#REF!,$A948,#REF!,$B948,#REF!,$C948,#REF!,"Storage Demand")</f>
        <v>#REF!</v>
      </c>
      <c r="F948" s="105" t="e">
        <f>SUMIFS(#REF!,#REF!,$A948,#REF!,$B948,#REF!,$C948,#REF!,"&lt;&gt;Other Sector Demand")</f>
        <v>#REF!</v>
      </c>
      <c r="G948" s="106" t="e">
        <f t="shared" si="56"/>
        <v>#REF!</v>
      </c>
      <c r="H948" s="105" t="e">
        <f>SUMIFS(#REF!,#REF!,$A948,#REF!,$B948,#REF!,$C948,#REF!,"Other Sector Demand")</f>
        <v>#REF!</v>
      </c>
      <c r="I948" s="105" t="e">
        <f t="shared" si="57"/>
        <v>#REF!</v>
      </c>
      <c r="J948" s="106" t="e">
        <f t="shared" si="58"/>
        <v>#REF!</v>
      </c>
      <c r="K948" s="107" t="e">
        <f t="shared" si="59"/>
        <v>#REF!</v>
      </c>
    </row>
    <row r="949" spans="1:11" ht="15" customHeight="1" x14ac:dyDescent="0.2">
      <c r="A949" s="104" t="s">
        <v>207</v>
      </c>
      <c r="B949" s="104" t="s">
        <v>210</v>
      </c>
      <c r="C949" s="104" t="s">
        <v>53</v>
      </c>
      <c r="D949" s="104">
        <v>2050</v>
      </c>
      <c r="E949" s="105" t="e">
        <f>SUMIFS(#REF!,#REF!,$A949,#REF!,$B949,#REF!,$C949,#REF!,"Storage Demand")</f>
        <v>#REF!</v>
      </c>
      <c r="F949" s="105" t="e">
        <f>SUMIFS(#REF!,#REF!,$A949,#REF!,$B949,#REF!,$C949,#REF!,"&lt;&gt;Other Sector Demand")</f>
        <v>#REF!</v>
      </c>
      <c r="G949" s="106" t="e">
        <f t="shared" si="56"/>
        <v>#REF!</v>
      </c>
      <c r="H949" s="105" t="e">
        <f>SUMIFS(#REF!,#REF!,$A949,#REF!,$B949,#REF!,$C949,#REF!,"Other Sector Demand")</f>
        <v>#REF!</v>
      </c>
      <c r="I949" s="105" t="e">
        <f t="shared" si="57"/>
        <v>#REF!</v>
      </c>
      <c r="J949" s="106" t="e">
        <f t="shared" si="58"/>
        <v>#REF!</v>
      </c>
      <c r="K949" s="107" t="e">
        <f t="shared" si="59"/>
        <v>#REF!</v>
      </c>
    </row>
    <row r="950" spans="1:11" ht="15" customHeight="1" x14ac:dyDescent="0.2">
      <c r="A950" s="104" t="s">
        <v>207</v>
      </c>
      <c r="B950" s="104" t="s">
        <v>210</v>
      </c>
      <c r="C950" s="104" t="s">
        <v>55</v>
      </c>
      <c r="D950" s="104">
        <v>2020</v>
      </c>
      <c r="E950" s="105" t="e">
        <f>SUMIFS(#REF!,#REF!,$A950,#REF!,$B950,#REF!,$C950,#REF!,"Storage Demand")</f>
        <v>#REF!</v>
      </c>
      <c r="F950" s="105" t="e">
        <f>SUMIFS(#REF!,#REF!,$A950,#REF!,$B950,#REF!,$C950,#REF!,"&lt;&gt;Other Sector Demand")</f>
        <v>#REF!</v>
      </c>
      <c r="G950" s="106" t="e">
        <f t="shared" si="56"/>
        <v>#REF!</v>
      </c>
      <c r="H950" s="105" t="e">
        <f>SUMIFS(#REF!,#REF!,$A950,#REF!,$B950,#REF!,$C950,#REF!,"Other Sector Demand")</f>
        <v>#REF!</v>
      </c>
      <c r="I950" s="105" t="e">
        <f t="shared" si="57"/>
        <v>#REF!</v>
      </c>
      <c r="J950" s="106" t="e">
        <f t="shared" si="58"/>
        <v>#REF!</v>
      </c>
      <c r="K950" s="107" t="e">
        <f t="shared" si="59"/>
        <v>#REF!</v>
      </c>
    </row>
    <row r="951" spans="1:11" ht="15" customHeight="1" x14ac:dyDescent="0.2">
      <c r="A951" s="104" t="s">
        <v>207</v>
      </c>
      <c r="B951" s="104" t="s">
        <v>210</v>
      </c>
      <c r="C951" s="104" t="s">
        <v>55</v>
      </c>
      <c r="D951" s="104">
        <v>2030</v>
      </c>
      <c r="E951" s="105" t="e">
        <f>SUMIFS(#REF!,#REF!,$A951,#REF!,$B951,#REF!,$C951,#REF!,"Storage Demand")</f>
        <v>#REF!</v>
      </c>
      <c r="F951" s="105" t="e">
        <f>SUMIFS(#REF!,#REF!,$A951,#REF!,$B951,#REF!,$C951,#REF!,"&lt;&gt;Other Sector Demand")</f>
        <v>#REF!</v>
      </c>
      <c r="G951" s="106" t="e">
        <f t="shared" si="56"/>
        <v>#REF!</v>
      </c>
      <c r="H951" s="105" t="e">
        <f>SUMIFS(#REF!,#REF!,$A951,#REF!,$B951,#REF!,$C951,#REF!,"Other Sector Demand")</f>
        <v>#REF!</v>
      </c>
      <c r="I951" s="105" t="e">
        <f t="shared" si="57"/>
        <v>#REF!</v>
      </c>
      <c r="J951" s="106" t="e">
        <f t="shared" si="58"/>
        <v>#REF!</v>
      </c>
      <c r="K951" s="107" t="e">
        <f t="shared" si="59"/>
        <v>#REF!</v>
      </c>
    </row>
    <row r="952" spans="1:11" ht="15" customHeight="1" x14ac:dyDescent="0.2">
      <c r="A952" s="104" t="s">
        <v>207</v>
      </c>
      <c r="B952" s="104" t="s">
        <v>210</v>
      </c>
      <c r="C952" s="104" t="s">
        <v>55</v>
      </c>
      <c r="D952" s="104">
        <v>2040</v>
      </c>
      <c r="E952" s="105" t="e">
        <f>SUMIFS(#REF!,#REF!,$A952,#REF!,$B952,#REF!,$C952,#REF!,"Storage Demand")</f>
        <v>#REF!</v>
      </c>
      <c r="F952" s="105" t="e">
        <f>SUMIFS(#REF!,#REF!,$A952,#REF!,$B952,#REF!,$C952,#REF!,"&lt;&gt;Other Sector Demand")</f>
        <v>#REF!</v>
      </c>
      <c r="G952" s="106" t="e">
        <f t="shared" si="56"/>
        <v>#REF!</v>
      </c>
      <c r="H952" s="105" t="e">
        <f>SUMIFS(#REF!,#REF!,$A952,#REF!,$B952,#REF!,$C952,#REF!,"Other Sector Demand")</f>
        <v>#REF!</v>
      </c>
      <c r="I952" s="105" t="e">
        <f t="shared" si="57"/>
        <v>#REF!</v>
      </c>
      <c r="J952" s="106" t="e">
        <f t="shared" si="58"/>
        <v>#REF!</v>
      </c>
      <c r="K952" s="107" t="e">
        <f t="shared" si="59"/>
        <v>#REF!</v>
      </c>
    </row>
    <row r="953" spans="1:11" ht="15" customHeight="1" x14ac:dyDescent="0.2">
      <c r="A953" s="104" t="s">
        <v>207</v>
      </c>
      <c r="B953" s="104" t="s">
        <v>210</v>
      </c>
      <c r="C953" s="104" t="s">
        <v>55</v>
      </c>
      <c r="D953" s="104">
        <v>2050</v>
      </c>
      <c r="E953" s="105" t="e">
        <f>SUMIFS(#REF!,#REF!,$A953,#REF!,$B953,#REF!,$C953,#REF!,"Storage Demand")</f>
        <v>#REF!</v>
      </c>
      <c r="F953" s="105" t="e">
        <f>SUMIFS(#REF!,#REF!,$A953,#REF!,$B953,#REF!,$C953,#REF!,"&lt;&gt;Other Sector Demand")</f>
        <v>#REF!</v>
      </c>
      <c r="G953" s="106" t="e">
        <f t="shared" si="56"/>
        <v>#REF!</v>
      </c>
      <c r="H953" s="105" t="e">
        <f>SUMIFS(#REF!,#REF!,$A953,#REF!,$B953,#REF!,$C953,#REF!,"Other Sector Demand")</f>
        <v>#REF!</v>
      </c>
      <c r="I953" s="105" t="e">
        <f t="shared" si="57"/>
        <v>#REF!</v>
      </c>
      <c r="J953" s="106" t="e">
        <f t="shared" si="58"/>
        <v>#REF!</v>
      </c>
      <c r="K953" s="107" t="e">
        <f t="shared" si="59"/>
        <v>#REF!</v>
      </c>
    </row>
    <row r="954" spans="1:11" ht="15" customHeight="1" x14ac:dyDescent="0.2">
      <c r="A954" s="104" t="s">
        <v>207</v>
      </c>
      <c r="B954" s="104" t="s">
        <v>210</v>
      </c>
      <c r="C954" s="104" t="s">
        <v>57</v>
      </c>
      <c r="D954" s="104">
        <v>2020</v>
      </c>
      <c r="E954" s="105" t="e">
        <f>SUMIFS(#REF!,#REF!,$A954,#REF!,$B954,#REF!,$C954,#REF!,"Storage Demand")</f>
        <v>#REF!</v>
      </c>
      <c r="F954" s="105" t="e">
        <f>SUMIFS(#REF!,#REF!,$A954,#REF!,$B954,#REF!,$C954,#REF!,"&lt;&gt;Other Sector Demand")</f>
        <v>#REF!</v>
      </c>
      <c r="G954" s="106" t="e">
        <f t="shared" si="56"/>
        <v>#REF!</v>
      </c>
      <c r="H954" s="105" t="e">
        <f>SUMIFS(#REF!,#REF!,$A954,#REF!,$B954,#REF!,$C954,#REF!,"Other Sector Demand")</f>
        <v>#REF!</v>
      </c>
      <c r="I954" s="105" t="e">
        <f t="shared" si="57"/>
        <v>#REF!</v>
      </c>
      <c r="J954" s="106" t="e">
        <f t="shared" si="58"/>
        <v>#REF!</v>
      </c>
      <c r="K954" s="107" t="e">
        <f t="shared" si="59"/>
        <v>#REF!</v>
      </c>
    </row>
    <row r="955" spans="1:11" ht="15" customHeight="1" x14ac:dyDescent="0.2">
      <c r="A955" s="104" t="s">
        <v>207</v>
      </c>
      <c r="B955" s="104" t="s">
        <v>210</v>
      </c>
      <c r="C955" s="104" t="s">
        <v>57</v>
      </c>
      <c r="D955" s="104">
        <v>2030</v>
      </c>
      <c r="E955" s="105" t="e">
        <f>SUMIFS(#REF!,#REF!,$A955,#REF!,$B955,#REF!,$C955,#REF!,"Storage Demand")</f>
        <v>#REF!</v>
      </c>
      <c r="F955" s="105" t="e">
        <f>SUMIFS(#REF!,#REF!,$A955,#REF!,$B955,#REF!,$C955,#REF!,"&lt;&gt;Other Sector Demand")</f>
        <v>#REF!</v>
      </c>
      <c r="G955" s="106" t="e">
        <f t="shared" si="56"/>
        <v>#REF!</v>
      </c>
      <c r="H955" s="105" t="e">
        <f>SUMIFS(#REF!,#REF!,$A955,#REF!,$B955,#REF!,$C955,#REF!,"Other Sector Demand")</f>
        <v>#REF!</v>
      </c>
      <c r="I955" s="105" t="e">
        <f t="shared" si="57"/>
        <v>#REF!</v>
      </c>
      <c r="J955" s="106" t="e">
        <f t="shared" si="58"/>
        <v>#REF!</v>
      </c>
      <c r="K955" s="107" t="e">
        <f t="shared" si="59"/>
        <v>#REF!</v>
      </c>
    </row>
    <row r="956" spans="1:11" ht="15" customHeight="1" x14ac:dyDescent="0.2">
      <c r="A956" s="104" t="s">
        <v>207</v>
      </c>
      <c r="B956" s="104" t="s">
        <v>210</v>
      </c>
      <c r="C956" s="104" t="s">
        <v>57</v>
      </c>
      <c r="D956" s="104">
        <v>2040</v>
      </c>
      <c r="E956" s="105" t="e">
        <f>SUMIFS(#REF!,#REF!,$A956,#REF!,$B956,#REF!,$C956,#REF!,"Storage Demand")</f>
        <v>#REF!</v>
      </c>
      <c r="F956" s="105" t="e">
        <f>SUMIFS(#REF!,#REF!,$A956,#REF!,$B956,#REF!,$C956,#REF!,"&lt;&gt;Other Sector Demand")</f>
        <v>#REF!</v>
      </c>
      <c r="G956" s="106" t="e">
        <f t="shared" si="56"/>
        <v>#REF!</v>
      </c>
      <c r="H956" s="105" t="e">
        <f>SUMIFS(#REF!,#REF!,$A956,#REF!,$B956,#REF!,$C956,#REF!,"Other Sector Demand")</f>
        <v>#REF!</v>
      </c>
      <c r="I956" s="105" t="e">
        <f t="shared" si="57"/>
        <v>#REF!</v>
      </c>
      <c r="J956" s="106" t="e">
        <f t="shared" si="58"/>
        <v>#REF!</v>
      </c>
      <c r="K956" s="107" t="e">
        <f t="shared" si="59"/>
        <v>#REF!</v>
      </c>
    </row>
    <row r="957" spans="1:11" ht="15" customHeight="1" x14ac:dyDescent="0.2">
      <c r="A957" s="104" t="s">
        <v>207</v>
      </c>
      <c r="B957" s="104" t="s">
        <v>210</v>
      </c>
      <c r="C957" s="104" t="s">
        <v>57</v>
      </c>
      <c r="D957" s="104">
        <v>2050</v>
      </c>
      <c r="E957" s="105" t="e">
        <f>SUMIFS(#REF!,#REF!,$A957,#REF!,$B957,#REF!,$C957,#REF!,"Storage Demand")</f>
        <v>#REF!</v>
      </c>
      <c r="F957" s="105" t="e">
        <f>SUMIFS(#REF!,#REF!,$A957,#REF!,$B957,#REF!,$C957,#REF!,"&lt;&gt;Other Sector Demand")</f>
        <v>#REF!</v>
      </c>
      <c r="G957" s="106" t="e">
        <f t="shared" si="56"/>
        <v>#REF!</v>
      </c>
      <c r="H957" s="105" t="e">
        <f>SUMIFS(#REF!,#REF!,$A957,#REF!,$B957,#REF!,$C957,#REF!,"Other Sector Demand")</f>
        <v>#REF!</v>
      </c>
      <c r="I957" s="105" t="e">
        <f t="shared" si="57"/>
        <v>#REF!</v>
      </c>
      <c r="J957" s="106" t="e">
        <f t="shared" si="58"/>
        <v>#REF!</v>
      </c>
      <c r="K957" s="107" t="e">
        <f t="shared" si="59"/>
        <v>#REF!</v>
      </c>
    </row>
    <row r="958" spans="1:11" ht="15" customHeight="1" x14ac:dyDescent="0.2">
      <c r="A958" s="104" t="s">
        <v>207</v>
      </c>
      <c r="B958" s="104" t="s">
        <v>210</v>
      </c>
      <c r="C958" s="104" t="s">
        <v>58</v>
      </c>
      <c r="D958" s="104">
        <v>2020</v>
      </c>
      <c r="E958" s="105" t="e">
        <f>SUMIFS(#REF!,#REF!,$A958,#REF!,$B958,#REF!,$C958,#REF!,"Storage Demand")</f>
        <v>#REF!</v>
      </c>
      <c r="F958" s="105" t="e">
        <f>SUMIFS(#REF!,#REF!,$A958,#REF!,$B958,#REF!,$C958,#REF!,"&lt;&gt;Other Sector Demand")</f>
        <v>#REF!</v>
      </c>
      <c r="G958" s="106" t="e">
        <f t="shared" si="56"/>
        <v>#REF!</v>
      </c>
      <c r="H958" s="105" t="e">
        <f>SUMIFS(#REF!,#REF!,$A958,#REF!,$B958,#REF!,$C958,#REF!,"Other Sector Demand")</f>
        <v>#REF!</v>
      </c>
      <c r="I958" s="105" t="e">
        <f t="shared" si="57"/>
        <v>#REF!</v>
      </c>
      <c r="J958" s="106" t="e">
        <f t="shared" si="58"/>
        <v>#REF!</v>
      </c>
      <c r="K958" s="107" t="e">
        <f t="shared" si="59"/>
        <v>#REF!</v>
      </c>
    </row>
    <row r="959" spans="1:11" ht="15" customHeight="1" x14ac:dyDescent="0.2">
      <c r="A959" s="104" t="s">
        <v>207</v>
      </c>
      <c r="B959" s="104" t="s">
        <v>210</v>
      </c>
      <c r="C959" s="104" t="s">
        <v>58</v>
      </c>
      <c r="D959" s="104">
        <v>2030</v>
      </c>
      <c r="E959" s="105" t="e">
        <f>SUMIFS(#REF!,#REF!,$A959,#REF!,$B959,#REF!,$C959,#REF!,"Storage Demand")</f>
        <v>#REF!</v>
      </c>
      <c r="F959" s="105" t="e">
        <f>SUMIFS(#REF!,#REF!,$A959,#REF!,$B959,#REF!,$C959,#REF!,"&lt;&gt;Other Sector Demand")</f>
        <v>#REF!</v>
      </c>
      <c r="G959" s="106" t="e">
        <f t="shared" si="56"/>
        <v>#REF!</v>
      </c>
      <c r="H959" s="105" t="e">
        <f>SUMIFS(#REF!,#REF!,$A959,#REF!,$B959,#REF!,$C959,#REF!,"Other Sector Demand")</f>
        <v>#REF!</v>
      </c>
      <c r="I959" s="105" t="e">
        <f t="shared" si="57"/>
        <v>#REF!</v>
      </c>
      <c r="J959" s="106" t="e">
        <f t="shared" si="58"/>
        <v>#REF!</v>
      </c>
      <c r="K959" s="107" t="e">
        <f t="shared" si="59"/>
        <v>#REF!</v>
      </c>
    </row>
    <row r="960" spans="1:11" ht="15" customHeight="1" x14ac:dyDescent="0.2">
      <c r="A960" s="104" t="s">
        <v>207</v>
      </c>
      <c r="B960" s="104" t="s">
        <v>210</v>
      </c>
      <c r="C960" s="104" t="s">
        <v>58</v>
      </c>
      <c r="D960" s="104">
        <v>2040</v>
      </c>
      <c r="E960" s="105" t="e">
        <f>SUMIFS(#REF!,#REF!,$A960,#REF!,$B960,#REF!,$C960,#REF!,"Storage Demand")</f>
        <v>#REF!</v>
      </c>
      <c r="F960" s="105" t="e">
        <f>SUMIFS(#REF!,#REF!,$A960,#REF!,$B960,#REF!,$C960,#REF!,"&lt;&gt;Other Sector Demand")</f>
        <v>#REF!</v>
      </c>
      <c r="G960" s="106" t="e">
        <f t="shared" si="56"/>
        <v>#REF!</v>
      </c>
      <c r="H960" s="105" t="e">
        <f>SUMIFS(#REF!,#REF!,$A960,#REF!,$B960,#REF!,$C960,#REF!,"Other Sector Demand")</f>
        <v>#REF!</v>
      </c>
      <c r="I960" s="105" t="e">
        <f t="shared" si="57"/>
        <v>#REF!</v>
      </c>
      <c r="J960" s="106" t="e">
        <f t="shared" si="58"/>
        <v>#REF!</v>
      </c>
      <c r="K960" s="107" t="e">
        <f t="shared" si="59"/>
        <v>#REF!</v>
      </c>
    </row>
    <row r="961" spans="1:11" ht="15" customHeight="1" x14ac:dyDescent="0.2">
      <c r="A961" s="104" t="s">
        <v>207</v>
      </c>
      <c r="B961" s="104" t="s">
        <v>210</v>
      </c>
      <c r="C961" s="104" t="s">
        <v>58</v>
      </c>
      <c r="D961" s="104">
        <v>2050</v>
      </c>
      <c r="E961" s="105" t="e">
        <f>SUMIFS(#REF!,#REF!,$A961,#REF!,$B961,#REF!,$C961,#REF!,"Storage Demand")</f>
        <v>#REF!</v>
      </c>
      <c r="F961" s="105" t="e">
        <f>SUMIFS(#REF!,#REF!,$A961,#REF!,$B961,#REF!,$C961,#REF!,"&lt;&gt;Other Sector Demand")</f>
        <v>#REF!</v>
      </c>
      <c r="G961" s="106" t="e">
        <f t="shared" si="56"/>
        <v>#REF!</v>
      </c>
      <c r="H961" s="105" t="e">
        <f>SUMIFS(#REF!,#REF!,$A961,#REF!,$B961,#REF!,$C961,#REF!,"Other Sector Demand")</f>
        <v>#REF!</v>
      </c>
      <c r="I961" s="105" t="e">
        <f t="shared" si="57"/>
        <v>#REF!</v>
      </c>
      <c r="J961" s="106" t="e">
        <f t="shared" si="58"/>
        <v>#REF!</v>
      </c>
      <c r="K961" s="107" t="e">
        <f t="shared" si="59"/>
        <v>#REF!</v>
      </c>
    </row>
    <row r="962" spans="1:11" ht="15" customHeight="1" x14ac:dyDescent="0.2">
      <c r="A962" s="104" t="s">
        <v>207</v>
      </c>
      <c r="B962" s="104" t="s">
        <v>210</v>
      </c>
      <c r="C962" s="104" t="s">
        <v>59</v>
      </c>
      <c r="D962" s="104">
        <v>2020</v>
      </c>
      <c r="E962" s="105" t="e">
        <f>SUMIFS(#REF!,#REF!,$A962,#REF!,$B962,#REF!,$C962,#REF!,"Storage Demand")</f>
        <v>#REF!</v>
      </c>
      <c r="F962" s="105" t="e">
        <f>SUMIFS(#REF!,#REF!,$A962,#REF!,$B962,#REF!,$C962,#REF!,"&lt;&gt;Other Sector Demand")</f>
        <v>#REF!</v>
      </c>
      <c r="G962" s="106" t="e">
        <f t="shared" ref="G962:G1025" si="60">IF($F962=0,0,$E962/$F962)</f>
        <v>#REF!</v>
      </c>
      <c r="H962" s="105" t="e">
        <f>SUMIFS(#REF!,#REF!,$A962,#REF!,$B962,#REF!,$C962,#REF!,"Other Sector Demand")</f>
        <v>#REF!</v>
      </c>
      <c r="I962" s="105" t="e">
        <f t="shared" ref="I962:I1025" si="61">$F962+$H962</f>
        <v>#REF!</v>
      </c>
      <c r="J962" s="106" t="e">
        <f t="shared" ref="J962:J1025" si="62">IF($I962=0,0,$E962/$I962)</f>
        <v>#REF!</v>
      </c>
      <c r="K962" s="107" t="e">
        <f t="shared" ref="K962:K1025" si="63">IF(SUMIFS($F$2:$F$1025,$A$2:$A$1025,$A962,$B$2:$B$1025,$B962,$C$2:$C$1025,$C962)=0,0,SUMIFS($E$2:$E$1025,$A$2:$A$1025,$A962,$B$2:$B$1025,$B962,$C$2:$C$1025,$C962)/SUMIFS($F$2:$F$1025,$A$2:$A$1025,$A962,$B$2:$B$1025,$B962,$C$2:$C$1025,$C962))</f>
        <v>#REF!</v>
      </c>
    </row>
    <row r="963" spans="1:11" ht="15" customHeight="1" x14ac:dyDescent="0.2">
      <c r="A963" s="104" t="s">
        <v>207</v>
      </c>
      <c r="B963" s="104" t="s">
        <v>210</v>
      </c>
      <c r="C963" s="104" t="s">
        <v>59</v>
      </c>
      <c r="D963" s="104">
        <v>2030</v>
      </c>
      <c r="E963" s="105" t="e">
        <f>SUMIFS(#REF!,#REF!,$A963,#REF!,$B963,#REF!,$C963,#REF!,"Storage Demand")</f>
        <v>#REF!</v>
      </c>
      <c r="F963" s="105" t="e">
        <f>SUMIFS(#REF!,#REF!,$A963,#REF!,$B963,#REF!,$C963,#REF!,"&lt;&gt;Other Sector Demand")</f>
        <v>#REF!</v>
      </c>
      <c r="G963" s="106" t="e">
        <f t="shared" si="60"/>
        <v>#REF!</v>
      </c>
      <c r="H963" s="105" t="e">
        <f>SUMIFS(#REF!,#REF!,$A963,#REF!,$B963,#REF!,$C963,#REF!,"Other Sector Demand")</f>
        <v>#REF!</v>
      </c>
      <c r="I963" s="105" t="e">
        <f t="shared" si="61"/>
        <v>#REF!</v>
      </c>
      <c r="J963" s="106" t="e">
        <f t="shared" si="62"/>
        <v>#REF!</v>
      </c>
      <c r="K963" s="107" t="e">
        <f t="shared" si="63"/>
        <v>#REF!</v>
      </c>
    </row>
    <row r="964" spans="1:11" ht="15" customHeight="1" x14ac:dyDescent="0.2">
      <c r="A964" s="104" t="s">
        <v>207</v>
      </c>
      <c r="B964" s="104" t="s">
        <v>210</v>
      </c>
      <c r="C964" s="104" t="s">
        <v>59</v>
      </c>
      <c r="D964" s="104">
        <v>2040</v>
      </c>
      <c r="E964" s="105" t="e">
        <f>SUMIFS(#REF!,#REF!,$A964,#REF!,$B964,#REF!,$C964,#REF!,"Storage Demand")</f>
        <v>#REF!</v>
      </c>
      <c r="F964" s="105" t="e">
        <f>SUMIFS(#REF!,#REF!,$A964,#REF!,$B964,#REF!,$C964,#REF!,"&lt;&gt;Other Sector Demand")</f>
        <v>#REF!</v>
      </c>
      <c r="G964" s="106" t="e">
        <f t="shared" si="60"/>
        <v>#REF!</v>
      </c>
      <c r="H964" s="105" t="e">
        <f>SUMIFS(#REF!,#REF!,$A964,#REF!,$B964,#REF!,$C964,#REF!,"Other Sector Demand")</f>
        <v>#REF!</v>
      </c>
      <c r="I964" s="105" t="e">
        <f t="shared" si="61"/>
        <v>#REF!</v>
      </c>
      <c r="J964" s="106" t="e">
        <f t="shared" si="62"/>
        <v>#REF!</v>
      </c>
      <c r="K964" s="107" t="e">
        <f t="shared" si="63"/>
        <v>#REF!</v>
      </c>
    </row>
    <row r="965" spans="1:11" ht="15" customHeight="1" x14ac:dyDescent="0.2">
      <c r="A965" s="104" t="s">
        <v>207</v>
      </c>
      <c r="B965" s="104" t="s">
        <v>210</v>
      </c>
      <c r="C965" s="104" t="s">
        <v>59</v>
      </c>
      <c r="D965" s="104">
        <v>2050</v>
      </c>
      <c r="E965" s="105" t="e">
        <f>SUMIFS(#REF!,#REF!,$A965,#REF!,$B965,#REF!,$C965,#REF!,"Storage Demand")</f>
        <v>#REF!</v>
      </c>
      <c r="F965" s="105" t="e">
        <f>SUMIFS(#REF!,#REF!,$A965,#REF!,$B965,#REF!,$C965,#REF!,"&lt;&gt;Other Sector Demand")</f>
        <v>#REF!</v>
      </c>
      <c r="G965" s="106" t="e">
        <f t="shared" si="60"/>
        <v>#REF!</v>
      </c>
      <c r="H965" s="105" t="e">
        <f>SUMIFS(#REF!,#REF!,$A965,#REF!,$B965,#REF!,$C965,#REF!,"Other Sector Demand")</f>
        <v>#REF!</v>
      </c>
      <c r="I965" s="105" t="e">
        <f t="shared" si="61"/>
        <v>#REF!</v>
      </c>
      <c r="J965" s="106" t="e">
        <f t="shared" si="62"/>
        <v>#REF!</v>
      </c>
      <c r="K965" s="107" t="e">
        <f t="shared" si="63"/>
        <v>#REF!</v>
      </c>
    </row>
    <row r="966" spans="1:11" ht="15" customHeight="1" x14ac:dyDescent="0.2">
      <c r="A966" s="104" t="s">
        <v>207</v>
      </c>
      <c r="B966" s="104" t="s">
        <v>210</v>
      </c>
      <c r="C966" s="104" t="s">
        <v>60</v>
      </c>
      <c r="D966" s="104">
        <v>2020</v>
      </c>
      <c r="E966" s="105" t="e">
        <f>SUMIFS(#REF!,#REF!,$A966,#REF!,$B966,#REF!,$C966,#REF!,"Storage Demand")</f>
        <v>#REF!</v>
      </c>
      <c r="F966" s="105" t="e">
        <f>SUMIFS(#REF!,#REF!,$A966,#REF!,$B966,#REF!,$C966,#REF!,"&lt;&gt;Other Sector Demand")</f>
        <v>#REF!</v>
      </c>
      <c r="G966" s="106" t="e">
        <f t="shared" si="60"/>
        <v>#REF!</v>
      </c>
      <c r="H966" s="105" t="e">
        <f>SUMIFS(#REF!,#REF!,$A966,#REF!,$B966,#REF!,$C966,#REF!,"Other Sector Demand")</f>
        <v>#REF!</v>
      </c>
      <c r="I966" s="105" t="e">
        <f t="shared" si="61"/>
        <v>#REF!</v>
      </c>
      <c r="J966" s="106" t="e">
        <f t="shared" si="62"/>
        <v>#REF!</v>
      </c>
      <c r="K966" s="107" t="e">
        <f t="shared" si="63"/>
        <v>#REF!</v>
      </c>
    </row>
    <row r="967" spans="1:11" ht="15" customHeight="1" x14ac:dyDescent="0.2">
      <c r="A967" s="104" t="s">
        <v>207</v>
      </c>
      <c r="B967" s="104" t="s">
        <v>210</v>
      </c>
      <c r="C967" s="104" t="s">
        <v>60</v>
      </c>
      <c r="D967" s="104">
        <v>2030</v>
      </c>
      <c r="E967" s="105" t="e">
        <f>SUMIFS(#REF!,#REF!,$A967,#REF!,$B967,#REF!,$C967,#REF!,"Storage Demand")</f>
        <v>#REF!</v>
      </c>
      <c r="F967" s="105" t="e">
        <f>SUMIFS(#REF!,#REF!,$A967,#REF!,$B967,#REF!,$C967,#REF!,"&lt;&gt;Other Sector Demand")</f>
        <v>#REF!</v>
      </c>
      <c r="G967" s="106" t="e">
        <f t="shared" si="60"/>
        <v>#REF!</v>
      </c>
      <c r="H967" s="105" t="e">
        <f>SUMIFS(#REF!,#REF!,$A967,#REF!,$B967,#REF!,$C967,#REF!,"Other Sector Demand")</f>
        <v>#REF!</v>
      </c>
      <c r="I967" s="105" t="e">
        <f t="shared" si="61"/>
        <v>#REF!</v>
      </c>
      <c r="J967" s="106" t="e">
        <f t="shared" si="62"/>
        <v>#REF!</v>
      </c>
      <c r="K967" s="107" t="e">
        <f t="shared" si="63"/>
        <v>#REF!</v>
      </c>
    </row>
    <row r="968" spans="1:11" ht="15" customHeight="1" x14ac:dyDescent="0.2">
      <c r="A968" s="104" t="s">
        <v>207</v>
      </c>
      <c r="B968" s="104" t="s">
        <v>210</v>
      </c>
      <c r="C968" s="104" t="s">
        <v>60</v>
      </c>
      <c r="D968" s="104">
        <v>2040</v>
      </c>
      <c r="E968" s="105" t="e">
        <f>SUMIFS(#REF!,#REF!,$A968,#REF!,$B968,#REF!,$C968,#REF!,"Storage Demand")</f>
        <v>#REF!</v>
      </c>
      <c r="F968" s="105" t="e">
        <f>SUMIFS(#REF!,#REF!,$A968,#REF!,$B968,#REF!,$C968,#REF!,"&lt;&gt;Other Sector Demand")</f>
        <v>#REF!</v>
      </c>
      <c r="G968" s="106" t="e">
        <f t="shared" si="60"/>
        <v>#REF!</v>
      </c>
      <c r="H968" s="105" t="e">
        <f>SUMIFS(#REF!,#REF!,$A968,#REF!,$B968,#REF!,$C968,#REF!,"Other Sector Demand")</f>
        <v>#REF!</v>
      </c>
      <c r="I968" s="105" t="e">
        <f t="shared" si="61"/>
        <v>#REF!</v>
      </c>
      <c r="J968" s="106" t="e">
        <f t="shared" si="62"/>
        <v>#REF!</v>
      </c>
      <c r="K968" s="107" t="e">
        <f t="shared" si="63"/>
        <v>#REF!</v>
      </c>
    </row>
    <row r="969" spans="1:11" ht="15" customHeight="1" x14ac:dyDescent="0.2">
      <c r="A969" s="104" t="s">
        <v>207</v>
      </c>
      <c r="B969" s="104" t="s">
        <v>210</v>
      </c>
      <c r="C969" s="104" t="s">
        <v>60</v>
      </c>
      <c r="D969" s="104">
        <v>2050</v>
      </c>
      <c r="E969" s="105" t="e">
        <f>SUMIFS(#REF!,#REF!,$A969,#REF!,$B969,#REF!,$C969,#REF!,"Storage Demand")</f>
        <v>#REF!</v>
      </c>
      <c r="F969" s="105" t="e">
        <f>SUMIFS(#REF!,#REF!,$A969,#REF!,$B969,#REF!,$C969,#REF!,"&lt;&gt;Other Sector Demand")</f>
        <v>#REF!</v>
      </c>
      <c r="G969" s="106" t="e">
        <f t="shared" si="60"/>
        <v>#REF!</v>
      </c>
      <c r="H969" s="105" t="e">
        <f>SUMIFS(#REF!,#REF!,$A969,#REF!,$B969,#REF!,$C969,#REF!,"Other Sector Demand")</f>
        <v>#REF!</v>
      </c>
      <c r="I969" s="105" t="e">
        <f t="shared" si="61"/>
        <v>#REF!</v>
      </c>
      <c r="J969" s="106" t="e">
        <f t="shared" si="62"/>
        <v>#REF!</v>
      </c>
      <c r="K969" s="107" t="e">
        <f t="shared" si="63"/>
        <v>#REF!</v>
      </c>
    </row>
    <row r="970" spans="1:11" ht="15" customHeight="1" x14ac:dyDescent="0.2">
      <c r="A970" s="104" t="s">
        <v>207</v>
      </c>
      <c r="B970" s="104" t="s">
        <v>210</v>
      </c>
      <c r="C970" s="104" t="s">
        <v>61</v>
      </c>
      <c r="D970" s="104">
        <v>2020</v>
      </c>
      <c r="E970" s="105" t="e">
        <f>SUMIFS(#REF!,#REF!,$A970,#REF!,$B970,#REF!,$C970,#REF!,"Storage Demand")</f>
        <v>#REF!</v>
      </c>
      <c r="F970" s="105" t="e">
        <f>SUMIFS(#REF!,#REF!,$A970,#REF!,$B970,#REF!,$C970,#REF!,"&lt;&gt;Other Sector Demand")</f>
        <v>#REF!</v>
      </c>
      <c r="G970" s="106" t="e">
        <f t="shared" si="60"/>
        <v>#REF!</v>
      </c>
      <c r="H970" s="105" t="e">
        <f>SUMIFS(#REF!,#REF!,$A970,#REF!,$B970,#REF!,$C970,#REF!,"Other Sector Demand")</f>
        <v>#REF!</v>
      </c>
      <c r="I970" s="105" t="e">
        <f t="shared" si="61"/>
        <v>#REF!</v>
      </c>
      <c r="J970" s="106" t="e">
        <f t="shared" si="62"/>
        <v>#REF!</v>
      </c>
      <c r="K970" s="107" t="e">
        <f t="shared" si="63"/>
        <v>#REF!</v>
      </c>
    </row>
    <row r="971" spans="1:11" ht="15" customHeight="1" x14ac:dyDescent="0.2">
      <c r="A971" s="104" t="s">
        <v>207</v>
      </c>
      <c r="B971" s="104" t="s">
        <v>210</v>
      </c>
      <c r="C971" s="104" t="s">
        <v>61</v>
      </c>
      <c r="D971" s="104">
        <v>2030</v>
      </c>
      <c r="E971" s="105" t="e">
        <f>SUMIFS(#REF!,#REF!,$A971,#REF!,$B971,#REF!,$C971,#REF!,"Storage Demand")</f>
        <v>#REF!</v>
      </c>
      <c r="F971" s="105" t="e">
        <f>SUMIFS(#REF!,#REF!,$A971,#REF!,$B971,#REF!,$C971,#REF!,"&lt;&gt;Other Sector Demand")</f>
        <v>#REF!</v>
      </c>
      <c r="G971" s="106" t="e">
        <f t="shared" si="60"/>
        <v>#REF!</v>
      </c>
      <c r="H971" s="105" t="e">
        <f>SUMIFS(#REF!,#REF!,$A971,#REF!,$B971,#REF!,$C971,#REF!,"Other Sector Demand")</f>
        <v>#REF!</v>
      </c>
      <c r="I971" s="105" t="e">
        <f t="shared" si="61"/>
        <v>#REF!</v>
      </c>
      <c r="J971" s="106" t="e">
        <f t="shared" si="62"/>
        <v>#REF!</v>
      </c>
      <c r="K971" s="107" t="e">
        <f t="shared" si="63"/>
        <v>#REF!</v>
      </c>
    </row>
    <row r="972" spans="1:11" ht="15" customHeight="1" x14ac:dyDescent="0.2">
      <c r="A972" s="104" t="s">
        <v>207</v>
      </c>
      <c r="B972" s="104" t="s">
        <v>210</v>
      </c>
      <c r="C972" s="104" t="s">
        <v>61</v>
      </c>
      <c r="D972" s="104">
        <v>2040</v>
      </c>
      <c r="E972" s="105" t="e">
        <f>SUMIFS(#REF!,#REF!,$A972,#REF!,$B972,#REF!,$C972,#REF!,"Storage Demand")</f>
        <v>#REF!</v>
      </c>
      <c r="F972" s="105" t="e">
        <f>SUMIFS(#REF!,#REF!,$A972,#REF!,$B972,#REF!,$C972,#REF!,"&lt;&gt;Other Sector Demand")</f>
        <v>#REF!</v>
      </c>
      <c r="G972" s="106" t="e">
        <f t="shared" si="60"/>
        <v>#REF!</v>
      </c>
      <c r="H972" s="105" t="e">
        <f>SUMIFS(#REF!,#REF!,$A972,#REF!,$B972,#REF!,$C972,#REF!,"Other Sector Demand")</f>
        <v>#REF!</v>
      </c>
      <c r="I972" s="105" t="e">
        <f t="shared" si="61"/>
        <v>#REF!</v>
      </c>
      <c r="J972" s="106" t="e">
        <f t="shared" si="62"/>
        <v>#REF!</v>
      </c>
      <c r="K972" s="107" t="e">
        <f t="shared" si="63"/>
        <v>#REF!</v>
      </c>
    </row>
    <row r="973" spans="1:11" ht="15" customHeight="1" x14ac:dyDescent="0.2">
      <c r="A973" s="104" t="s">
        <v>207</v>
      </c>
      <c r="B973" s="104" t="s">
        <v>210</v>
      </c>
      <c r="C973" s="104" t="s">
        <v>61</v>
      </c>
      <c r="D973" s="104">
        <v>2050</v>
      </c>
      <c r="E973" s="105" t="e">
        <f>SUMIFS(#REF!,#REF!,$A973,#REF!,$B973,#REF!,$C973,#REF!,"Storage Demand")</f>
        <v>#REF!</v>
      </c>
      <c r="F973" s="105" t="e">
        <f>SUMIFS(#REF!,#REF!,$A973,#REF!,$B973,#REF!,$C973,#REF!,"&lt;&gt;Other Sector Demand")</f>
        <v>#REF!</v>
      </c>
      <c r="G973" s="106" t="e">
        <f t="shared" si="60"/>
        <v>#REF!</v>
      </c>
      <c r="H973" s="105" t="e">
        <f>SUMIFS(#REF!,#REF!,$A973,#REF!,$B973,#REF!,$C973,#REF!,"Other Sector Demand")</f>
        <v>#REF!</v>
      </c>
      <c r="I973" s="105" t="e">
        <f t="shared" si="61"/>
        <v>#REF!</v>
      </c>
      <c r="J973" s="106" t="e">
        <f t="shared" si="62"/>
        <v>#REF!</v>
      </c>
      <c r="K973" s="107" t="e">
        <f t="shared" si="63"/>
        <v>#REF!</v>
      </c>
    </row>
    <row r="974" spans="1:11" ht="15" customHeight="1" x14ac:dyDescent="0.2">
      <c r="A974" s="104" t="s">
        <v>207</v>
      </c>
      <c r="B974" s="104" t="s">
        <v>210</v>
      </c>
      <c r="C974" s="104" t="s">
        <v>64</v>
      </c>
      <c r="D974" s="104">
        <v>2020</v>
      </c>
      <c r="E974" s="105" t="e">
        <f>SUMIFS(#REF!,#REF!,$A974,#REF!,$B974,#REF!,$C974,#REF!,"Storage Demand")</f>
        <v>#REF!</v>
      </c>
      <c r="F974" s="105" t="e">
        <f>SUMIFS(#REF!,#REF!,$A974,#REF!,$B974,#REF!,$C974,#REF!,"&lt;&gt;Other Sector Demand")</f>
        <v>#REF!</v>
      </c>
      <c r="G974" s="106" t="e">
        <f t="shared" si="60"/>
        <v>#REF!</v>
      </c>
      <c r="H974" s="105" t="e">
        <f>SUMIFS(#REF!,#REF!,$A974,#REF!,$B974,#REF!,$C974,#REF!,"Other Sector Demand")</f>
        <v>#REF!</v>
      </c>
      <c r="I974" s="105" t="e">
        <f t="shared" si="61"/>
        <v>#REF!</v>
      </c>
      <c r="J974" s="106" t="e">
        <f t="shared" si="62"/>
        <v>#REF!</v>
      </c>
      <c r="K974" s="107" t="e">
        <f t="shared" si="63"/>
        <v>#REF!</v>
      </c>
    </row>
    <row r="975" spans="1:11" ht="15" customHeight="1" x14ac:dyDescent="0.2">
      <c r="A975" s="104" t="s">
        <v>207</v>
      </c>
      <c r="B975" s="104" t="s">
        <v>210</v>
      </c>
      <c r="C975" s="104" t="s">
        <v>64</v>
      </c>
      <c r="D975" s="104">
        <v>2030</v>
      </c>
      <c r="E975" s="105" t="e">
        <f>SUMIFS(#REF!,#REF!,$A975,#REF!,$B975,#REF!,$C975,#REF!,"Storage Demand")</f>
        <v>#REF!</v>
      </c>
      <c r="F975" s="105" t="e">
        <f>SUMIFS(#REF!,#REF!,$A975,#REF!,$B975,#REF!,$C975,#REF!,"&lt;&gt;Other Sector Demand")</f>
        <v>#REF!</v>
      </c>
      <c r="G975" s="106" t="e">
        <f t="shared" si="60"/>
        <v>#REF!</v>
      </c>
      <c r="H975" s="105" t="e">
        <f>SUMIFS(#REF!,#REF!,$A975,#REF!,$B975,#REF!,$C975,#REF!,"Other Sector Demand")</f>
        <v>#REF!</v>
      </c>
      <c r="I975" s="105" t="e">
        <f t="shared" si="61"/>
        <v>#REF!</v>
      </c>
      <c r="J975" s="106" t="e">
        <f t="shared" si="62"/>
        <v>#REF!</v>
      </c>
      <c r="K975" s="107" t="e">
        <f t="shared" si="63"/>
        <v>#REF!</v>
      </c>
    </row>
    <row r="976" spans="1:11" ht="15" customHeight="1" x14ac:dyDescent="0.2">
      <c r="A976" s="104" t="s">
        <v>207</v>
      </c>
      <c r="B976" s="104" t="s">
        <v>210</v>
      </c>
      <c r="C976" s="104" t="s">
        <v>64</v>
      </c>
      <c r="D976" s="104">
        <v>2040</v>
      </c>
      <c r="E976" s="105" t="e">
        <f>SUMIFS(#REF!,#REF!,$A976,#REF!,$B976,#REF!,$C976,#REF!,"Storage Demand")</f>
        <v>#REF!</v>
      </c>
      <c r="F976" s="105" t="e">
        <f>SUMIFS(#REF!,#REF!,$A976,#REF!,$B976,#REF!,$C976,#REF!,"&lt;&gt;Other Sector Demand")</f>
        <v>#REF!</v>
      </c>
      <c r="G976" s="106" t="e">
        <f t="shared" si="60"/>
        <v>#REF!</v>
      </c>
      <c r="H976" s="105" t="e">
        <f>SUMIFS(#REF!,#REF!,$A976,#REF!,$B976,#REF!,$C976,#REF!,"Other Sector Demand")</f>
        <v>#REF!</v>
      </c>
      <c r="I976" s="105" t="e">
        <f t="shared" si="61"/>
        <v>#REF!</v>
      </c>
      <c r="J976" s="106" t="e">
        <f t="shared" si="62"/>
        <v>#REF!</v>
      </c>
      <c r="K976" s="107" t="e">
        <f t="shared" si="63"/>
        <v>#REF!</v>
      </c>
    </row>
    <row r="977" spans="1:11" ht="15" customHeight="1" x14ac:dyDescent="0.2">
      <c r="A977" s="104" t="s">
        <v>207</v>
      </c>
      <c r="B977" s="104" t="s">
        <v>210</v>
      </c>
      <c r="C977" s="104" t="s">
        <v>64</v>
      </c>
      <c r="D977" s="104">
        <v>2050</v>
      </c>
      <c r="E977" s="105" t="e">
        <f>SUMIFS(#REF!,#REF!,$A977,#REF!,$B977,#REF!,$C977,#REF!,"Storage Demand")</f>
        <v>#REF!</v>
      </c>
      <c r="F977" s="105" t="e">
        <f>SUMIFS(#REF!,#REF!,$A977,#REF!,$B977,#REF!,$C977,#REF!,"&lt;&gt;Other Sector Demand")</f>
        <v>#REF!</v>
      </c>
      <c r="G977" s="106" t="e">
        <f t="shared" si="60"/>
        <v>#REF!</v>
      </c>
      <c r="H977" s="105" t="e">
        <f>SUMIFS(#REF!,#REF!,$A977,#REF!,$B977,#REF!,$C977,#REF!,"Other Sector Demand")</f>
        <v>#REF!</v>
      </c>
      <c r="I977" s="105" t="e">
        <f t="shared" si="61"/>
        <v>#REF!</v>
      </c>
      <c r="J977" s="106" t="e">
        <f t="shared" si="62"/>
        <v>#REF!</v>
      </c>
      <c r="K977" s="107" t="e">
        <f t="shared" si="63"/>
        <v>#REF!</v>
      </c>
    </row>
    <row r="978" spans="1:11" ht="15" customHeight="1" x14ac:dyDescent="0.2">
      <c r="A978" s="104" t="s">
        <v>207</v>
      </c>
      <c r="B978" s="104" t="s">
        <v>210</v>
      </c>
      <c r="C978" s="104" t="s">
        <v>66</v>
      </c>
      <c r="D978" s="104">
        <v>2020</v>
      </c>
      <c r="E978" s="105" t="e">
        <f>SUMIFS(#REF!,#REF!,$A978,#REF!,$B978,#REF!,$C978,#REF!,"Storage Demand")</f>
        <v>#REF!</v>
      </c>
      <c r="F978" s="105" t="e">
        <f>SUMIFS(#REF!,#REF!,$A978,#REF!,$B978,#REF!,$C978,#REF!,"&lt;&gt;Other Sector Demand")</f>
        <v>#REF!</v>
      </c>
      <c r="G978" s="106" t="e">
        <f t="shared" si="60"/>
        <v>#REF!</v>
      </c>
      <c r="H978" s="105" t="e">
        <f>SUMIFS(#REF!,#REF!,$A978,#REF!,$B978,#REF!,$C978,#REF!,"Other Sector Demand")</f>
        <v>#REF!</v>
      </c>
      <c r="I978" s="105" t="e">
        <f t="shared" si="61"/>
        <v>#REF!</v>
      </c>
      <c r="J978" s="106" t="e">
        <f t="shared" si="62"/>
        <v>#REF!</v>
      </c>
      <c r="K978" s="107" t="e">
        <f t="shared" si="63"/>
        <v>#REF!</v>
      </c>
    </row>
    <row r="979" spans="1:11" ht="15" customHeight="1" x14ac:dyDescent="0.2">
      <c r="A979" s="104" t="s">
        <v>207</v>
      </c>
      <c r="B979" s="104" t="s">
        <v>210</v>
      </c>
      <c r="C979" s="104" t="s">
        <v>66</v>
      </c>
      <c r="D979" s="104">
        <v>2030</v>
      </c>
      <c r="E979" s="105" t="e">
        <f>SUMIFS(#REF!,#REF!,$A979,#REF!,$B979,#REF!,$C979,#REF!,"Storage Demand")</f>
        <v>#REF!</v>
      </c>
      <c r="F979" s="105" t="e">
        <f>SUMIFS(#REF!,#REF!,$A979,#REF!,$B979,#REF!,$C979,#REF!,"&lt;&gt;Other Sector Demand")</f>
        <v>#REF!</v>
      </c>
      <c r="G979" s="106" t="e">
        <f t="shared" si="60"/>
        <v>#REF!</v>
      </c>
      <c r="H979" s="105" t="e">
        <f>SUMIFS(#REF!,#REF!,$A979,#REF!,$B979,#REF!,$C979,#REF!,"Other Sector Demand")</f>
        <v>#REF!</v>
      </c>
      <c r="I979" s="105" t="e">
        <f t="shared" si="61"/>
        <v>#REF!</v>
      </c>
      <c r="J979" s="106" t="e">
        <f t="shared" si="62"/>
        <v>#REF!</v>
      </c>
      <c r="K979" s="107" t="e">
        <f t="shared" si="63"/>
        <v>#REF!</v>
      </c>
    </row>
    <row r="980" spans="1:11" ht="15" customHeight="1" x14ac:dyDescent="0.2">
      <c r="A980" s="104" t="s">
        <v>207</v>
      </c>
      <c r="B980" s="104" t="s">
        <v>210</v>
      </c>
      <c r="C980" s="104" t="s">
        <v>66</v>
      </c>
      <c r="D980" s="104">
        <v>2040</v>
      </c>
      <c r="E980" s="105" t="e">
        <f>SUMIFS(#REF!,#REF!,$A980,#REF!,$B980,#REF!,$C980,#REF!,"Storage Demand")</f>
        <v>#REF!</v>
      </c>
      <c r="F980" s="105" t="e">
        <f>SUMIFS(#REF!,#REF!,$A980,#REF!,$B980,#REF!,$C980,#REF!,"&lt;&gt;Other Sector Demand")</f>
        <v>#REF!</v>
      </c>
      <c r="G980" s="106" t="e">
        <f t="shared" si="60"/>
        <v>#REF!</v>
      </c>
      <c r="H980" s="105" t="e">
        <f>SUMIFS(#REF!,#REF!,$A980,#REF!,$B980,#REF!,$C980,#REF!,"Other Sector Demand")</f>
        <v>#REF!</v>
      </c>
      <c r="I980" s="105" t="e">
        <f t="shared" si="61"/>
        <v>#REF!</v>
      </c>
      <c r="J980" s="106" t="e">
        <f t="shared" si="62"/>
        <v>#REF!</v>
      </c>
      <c r="K980" s="107" t="e">
        <f t="shared" si="63"/>
        <v>#REF!</v>
      </c>
    </row>
    <row r="981" spans="1:11" ht="15" customHeight="1" x14ac:dyDescent="0.2">
      <c r="A981" s="104" t="s">
        <v>207</v>
      </c>
      <c r="B981" s="104" t="s">
        <v>210</v>
      </c>
      <c r="C981" s="104" t="s">
        <v>66</v>
      </c>
      <c r="D981" s="104">
        <v>2050</v>
      </c>
      <c r="E981" s="105" t="e">
        <f>SUMIFS(#REF!,#REF!,$A981,#REF!,$B981,#REF!,$C981,#REF!,"Storage Demand")</f>
        <v>#REF!</v>
      </c>
      <c r="F981" s="105" t="e">
        <f>SUMIFS(#REF!,#REF!,$A981,#REF!,$B981,#REF!,$C981,#REF!,"&lt;&gt;Other Sector Demand")</f>
        <v>#REF!</v>
      </c>
      <c r="G981" s="106" t="e">
        <f t="shared" si="60"/>
        <v>#REF!</v>
      </c>
      <c r="H981" s="105" t="e">
        <f>SUMIFS(#REF!,#REF!,$A981,#REF!,$B981,#REF!,$C981,#REF!,"Other Sector Demand")</f>
        <v>#REF!</v>
      </c>
      <c r="I981" s="105" t="e">
        <f t="shared" si="61"/>
        <v>#REF!</v>
      </c>
      <c r="J981" s="106" t="e">
        <f t="shared" si="62"/>
        <v>#REF!</v>
      </c>
      <c r="K981" s="107" t="e">
        <f t="shared" si="63"/>
        <v>#REF!</v>
      </c>
    </row>
    <row r="982" spans="1:11" ht="15" customHeight="1" x14ac:dyDescent="0.2">
      <c r="A982" s="104" t="s">
        <v>207</v>
      </c>
      <c r="B982" s="104" t="s">
        <v>210</v>
      </c>
      <c r="C982" s="104" t="s">
        <v>67</v>
      </c>
      <c r="D982" s="104">
        <v>2020</v>
      </c>
      <c r="E982" s="105" t="e">
        <f>SUMIFS(#REF!,#REF!,$A982,#REF!,$B982,#REF!,$C982,#REF!,"Storage Demand")</f>
        <v>#REF!</v>
      </c>
      <c r="F982" s="105" t="e">
        <f>SUMIFS(#REF!,#REF!,$A982,#REF!,$B982,#REF!,$C982,#REF!,"&lt;&gt;Other Sector Demand")</f>
        <v>#REF!</v>
      </c>
      <c r="G982" s="106" t="e">
        <f t="shared" si="60"/>
        <v>#REF!</v>
      </c>
      <c r="H982" s="105" t="e">
        <f>SUMIFS(#REF!,#REF!,$A982,#REF!,$B982,#REF!,$C982,#REF!,"Other Sector Demand")</f>
        <v>#REF!</v>
      </c>
      <c r="I982" s="105" t="e">
        <f t="shared" si="61"/>
        <v>#REF!</v>
      </c>
      <c r="J982" s="106" t="e">
        <f t="shared" si="62"/>
        <v>#REF!</v>
      </c>
      <c r="K982" s="107" t="e">
        <f t="shared" si="63"/>
        <v>#REF!</v>
      </c>
    </row>
    <row r="983" spans="1:11" ht="15" customHeight="1" x14ac:dyDescent="0.2">
      <c r="A983" s="104" t="s">
        <v>207</v>
      </c>
      <c r="B983" s="104" t="s">
        <v>210</v>
      </c>
      <c r="C983" s="104" t="s">
        <v>67</v>
      </c>
      <c r="D983" s="104">
        <v>2030</v>
      </c>
      <c r="E983" s="105" t="e">
        <f>SUMIFS(#REF!,#REF!,$A983,#REF!,$B983,#REF!,$C983,#REF!,"Storage Demand")</f>
        <v>#REF!</v>
      </c>
      <c r="F983" s="105" t="e">
        <f>SUMIFS(#REF!,#REF!,$A983,#REF!,$B983,#REF!,$C983,#REF!,"&lt;&gt;Other Sector Demand")</f>
        <v>#REF!</v>
      </c>
      <c r="G983" s="106" t="e">
        <f t="shared" si="60"/>
        <v>#REF!</v>
      </c>
      <c r="H983" s="105" t="e">
        <f>SUMIFS(#REF!,#REF!,$A983,#REF!,$B983,#REF!,$C983,#REF!,"Other Sector Demand")</f>
        <v>#REF!</v>
      </c>
      <c r="I983" s="105" t="e">
        <f t="shared" si="61"/>
        <v>#REF!</v>
      </c>
      <c r="J983" s="106" t="e">
        <f t="shared" si="62"/>
        <v>#REF!</v>
      </c>
      <c r="K983" s="107" t="e">
        <f t="shared" si="63"/>
        <v>#REF!</v>
      </c>
    </row>
    <row r="984" spans="1:11" ht="15" customHeight="1" x14ac:dyDescent="0.2">
      <c r="A984" s="104" t="s">
        <v>207</v>
      </c>
      <c r="B984" s="104" t="s">
        <v>210</v>
      </c>
      <c r="C984" s="104" t="s">
        <v>67</v>
      </c>
      <c r="D984" s="104">
        <v>2040</v>
      </c>
      <c r="E984" s="105" t="e">
        <f>SUMIFS(#REF!,#REF!,$A984,#REF!,$B984,#REF!,$C984,#REF!,"Storage Demand")</f>
        <v>#REF!</v>
      </c>
      <c r="F984" s="105" t="e">
        <f>SUMIFS(#REF!,#REF!,$A984,#REF!,$B984,#REF!,$C984,#REF!,"&lt;&gt;Other Sector Demand")</f>
        <v>#REF!</v>
      </c>
      <c r="G984" s="106" t="e">
        <f t="shared" si="60"/>
        <v>#REF!</v>
      </c>
      <c r="H984" s="105" t="e">
        <f>SUMIFS(#REF!,#REF!,$A984,#REF!,$B984,#REF!,$C984,#REF!,"Other Sector Demand")</f>
        <v>#REF!</v>
      </c>
      <c r="I984" s="105" t="e">
        <f t="shared" si="61"/>
        <v>#REF!</v>
      </c>
      <c r="J984" s="106" t="e">
        <f t="shared" si="62"/>
        <v>#REF!</v>
      </c>
      <c r="K984" s="107" t="e">
        <f t="shared" si="63"/>
        <v>#REF!</v>
      </c>
    </row>
    <row r="985" spans="1:11" ht="15" customHeight="1" x14ac:dyDescent="0.2">
      <c r="A985" s="104" t="s">
        <v>207</v>
      </c>
      <c r="B985" s="104" t="s">
        <v>210</v>
      </c>
      <c r="C985" s="104" t="s">
        <v>67</v>
      </c>
      <c r="D985" s="104">
        <v>2050</v>
      </c>
      <c r="E985" s="105" t="e">
        <f>SUMIFS(#REF!,#REF!,$A985,#REF!,$B985,#REF!,$C985,#REF!,"Storage Demand")</f>
        <v>#REF!</v>
      </c>
      <c r="F985" s="105" t="e">
        <f>SUMIFS(#REF!,#REF!,$A985,#REF!,$B985,#REF!,$C985,#REF!,"&lt;&gt;Other Sector Demand")</f>
        <v>#REF!</v>
      </c>
      <c r="G985" s="106" t="e">
        <f t="shared" si="60"/>
        <v>#REF!</v>
      </c>
      <c r="H985" s="105" t="e">
        <f>SUMIFS(#REF!,#REF!,$A985,#REF!,$B985,#REF!,$C985,#REF!,"Other Sector Demand")</f>
        <v>#REF!</v>
      </c>
      <c r="I985" s="105" t="e">
        <f t="shared" si="61"/>
        <v>#REF!</v>
      </c>
      <c r="J985" s="106" t="e">
        <f t="shared" si="62"/>
        <v>#REF!</v>
      </c>
      <c r="K985" s="107" t="e">
        <f t="shared" si="63"/>
        <v>#REF!</v>
      </c>
    </row>
    <row r="986" spans="1:11" ht="15" customHeight="1" x14ac:dyDescent="0.2">
      <c r="A986" s="104" t="s">
        <v>207</v>
      </c>
      <c r="B986" s="104" t="s">
        <v>210</v>
      </c>
      <c r="C986" s="104" t="s">
        <v>68</v>
      </c>
      <c r="D986" s="104">
        <v>2020</v>
      </c>
      <c r="E986" s="105" t="e">
        <f>SUMIFS(#REF!,#REF!,$A986,#REF!,$B986,#REF!,$C986,#REF!,"Storage Demand")</f>
        <v>#REF!</v>
      </c>
      <c r="F986" s="105" t="e">
        <f>SUMIFS(#REF!,#REF!,$A986,#REF!,$B986,#REF!,$C986,#REF!,"&lt;&gt;Other Sector Demand")</f>
        <v>#REF!</v>
      </c>
      <c r="G986" s="106" t="e">
        <f t="shared" si="60"/>
        <v>#REF!</v>
      </c>
      <c r="H986" s="105" t="e">
        <f>SUMIFS(#REF!,#REF!,$A986,#REF!,$B986,#REF!,$C986,#REF!,"Other Sector Demand")</f>
        <v>#REF!</v>
      </c>
      <c r="I986" s="105" t="e">
        <f t="shared" si="61"/>
        <v>#REF!</v>
      </c>
      <c r="J986" s="106" t="e">
        <f t="shared" si="62"/>
        <v>#REF!</v>
      </c>
      <c r="K986" s="107" t="e">
        <f t="shared" si="63"/>
        <v>#REF!</v>
      </c>
    </row>
    <row r="987" spans="1:11" ht="15" customHeight="1" x14ac:dyDescent="0.2">
      <c r="A987" s="104" t="s">
        <v>207</v>
      </c>
      <c r="B987" s="104" t="s">
        <v>210</v>
      </c>
      <c r="C987" s="104" t="s">
        <v>68</v>
      </c>
      <c r="D987" s="104">
        <v>2030</v>
      </c>
      <c r="E987" s="105" t="e">
        <f>SUMIFS(#REF!,#REF!,$A987,#REF!,$B987,#REF!,$C987,#REF!,"Storage Demand")</f>
        <v>#REF!</v>
      </c>
      <c r="F987" s="105" t="e">
        <f>SUMIFS(#REF!,#REF!,$A987,#REF!,$B987,#REF!,$C987,#REF!,"&lt;&gt;Other Sector Demand")</f>
        <v>#REF!</v>
      </c>
      <c r="G987" s="106" t="e">
        <f t="shared" si="60"/>
        <v>#REF!</v>
      </c>
      <c r="H987" s="105" t="e">
        <f>SUMIFS(#REF!,#REF!,$A987,#REF!,$B987,#REF!,$C987,#REF!,"Other Sector Demand")</f>
        <v>#REF!</v>
      </c>
      <c r="I987" s="105" t="e">
        <f t="shared" si="61"/>
        <v>#REF!</v>
      </c>
      <c r="J987" s="106" t="e">
        <f t="shared" si="62"/>
        <v>#REF!</v>
      </c>
      <c r="K987" s="107" t="e">
        <f t="shared" si="63"/>
        <v>#REF!</v>
      </c>
    </row>
    <row r="988" spans="1:11" ht="15" customHeight="1" x14ac:dyDescent="0.2">
      <c r="A988" s="104" t="s">
        <v>207</v>
      </c>
      <c r="B988" s="104" t="s">
        <v>210</v>
      </c>
      <c r="C988" s="104" t="s">
        <v>68</v>
      </c>
      <c r="D988" s="104">
        <v>2040</v>
      </c>
      <c r="E988" s="105" t="e">
        <f>SUMIFS(#REF!,#REF!,$A988,#REF!,$B988,#REF!,$C988,#REF!,"Storage Demand")</f>
        <v>#REF!</v>
      </c>
      <c r="F988" s="105" t="e">
        <f>SUMIFS(#REF!,#REF!,$A988,#REF!,$B988,#REF!,$C988,#REF!,"&lt;&gt;Other Sector Demand")</f>
        <v>#REF!</v>
      </c>
      <c r="G988" s="106" t="e">
        <f t="shared" si="60"/>
        <v>#REF!</v>
      </c>
      <c r="H988" s="105" t="e">
        <f>SUMIFS(#REF!,#REF!,$A988,#REF!,$B988,#REF!,$C988,#REF!,"Other Sector Demand")</f>
        <v>#REF!</v>
      </c>
      <c r="I988" s="105" t="e">
        <f t="shared" si="61"/>
        <v>#REF!</v>
      </c>
      <c r="J988" s="106" t="e">
        <f t="shared" si="62"/>
        <v>#REF!</v>
      </c>
      <c r="K988" s="107" t="e">
        <f t="shared" si="63"/>
        <v>#REF!</v>
      </c>
    </row>
    <row r="989" spans="1:11" ht="15" customHeight="1" x14ac:dyDescent="0.2">
      <c r="A989" s="104" t="s">
        <v>207</v>
      </c>
      <c r="B989" s="104" t="s">
        <v>210</v>
      </c>
      <c r="C989" s="104" t="s">
        <v>68</v>
      </c>
      <c r="D989" s="104">
        <v>2050</v>
      </c>
      <c r="E989" s="105" t="e">
        <f>SUMIFS(#REF!,#REF!,$A989,#REF!,$B989,#REF!,$C989,#REF!,"Storage Demand")</f>
        <v>#REF!</v>
      </c>
      <c r="F989" s="105" t="e">
        <f>SUMIFS(#REF!,#REF!,$A989,#REF!,$B989,#REF!,$C989,#REF!,"&lt;&gt;Other Sector Demand")</f>
        <v>#REF!</v>
      </c>
      <c r="G989" s="106" t="e">
        <f t="shared" si="60"/>
        <v>#REF!</v>
      </c>
      <c r="H989" s="105" t="e">
        <f>SUMIFS(#REF!,#REF!,$A989,#REF!,$B989,#REF!,$C989,#REF!,"Other Sector Demand")</f>
        <v>#REF!</v>
      </c>
      <c r="I989" s="105" t="e">
        <f t="shared" si="61"/>
        <v>#REF!</v>
      </c>
      <c r="J989" s="106" t="e">
        <f t="shared" si="62"/>
        <v>#REF!</v>
      </c>
      <c r="K989" s="107" t="e">
        <f t="shared" si="63"/>
        <v>#REF!</v>
      </c>
    </row>
    <row r="990" spans="1:11" ht="15" customHeight="1" x14ac:dyDescent="0.2">
      <c r="A990" s="104" t="s">
        <v>207</v>
      </c>
      <c r="B990" s="104" t="s">
        <v>210</v>
      </c>
      <c r="C990" s="104" t="s">
        <v>69</v>
      </c>
      <c r="D990" s="104">
        <v>2020</v>
      </c>
      <c r="E990" s="105" t="e">
        <f>SUMIFS(#REF!,#REF!,$A990,#REF!,$B990,#REF!,$C990,#REF!,"Storage Demand")</f>
        <v>#REF!</v>
      </c>
      <c r="F990" s="105" t="e">
        <f>SUMIFS(#REF!,#REF!,$A990,#REF!,$B990,#REF!,$C990,#REF!,"&lt;&gt;Other Sector Demand")</f>
        <v>#REF!</v>
      </c>
      <c r="G990" s="106" t="e">
        <f t="shared" si="60"/>
        <v>#REF!</v>
      </c>
      <c r="H990" s="105" t="e">
        <f>SUMIFS(#REF!,#REF!,$A990,#REF!,$B990,#REF!,$C990,#REF!,"Other Sector Demand")</f>
        <v>#REF!</v>
      </c>
      <c r="I990" s="105" t="e">
        <f t="shared" si="61"/>
        <v>#REF!</v>
      </c>
      <c r="J990" s="106" t="e">
        <f t="shared" si="62"/>
        <v>#REF!</v>
      </c>
      <c r="K990" s="107" t="e">
        <f t="shared" si="63"/>
        <v>#REF!</v>
      </c>
    </row>
    <row r="991" spans="1:11" ht="15" customHeight="1" x14ac:dyDescent="0.2">
      <c r="A991" s="104" t="s">
        <v>207</v>
      </c>
      <c r="B991" s="104" t="s">
        <v>210</v>
      </c>
      <c r="C991" s="104" t="s">
        <v>69</v>
      </c>
      <c r="D991" s="104">
        <v>2030</v>
      </c>
      <c r="E991" s="105" t="e">
        <f>SUMIFS(#REF!,#REF!,$A991,#REF!,$B991,#REF!,$C991,#REF!,"Storage Demand")</f>
        <v>#REF!</v>
      </c>
      <c r="F991" s="105" t="e">
        <f>SUMIFS(#REF!,#REF!,$A991,#REF!,$B991,#REF!,$C991,#REF!,"&lt;&gt;Other Sector Demand")</f>
        <v>#REF!</v>
      </c>
      <c r="G991" s="106" t="e">
        <f t="shared" si="60"/>
        <v>#REF!</v>
      </c>
      <c r="H991" s="105" t="e">
        <f>SUMIFS(#REF!,#REF!,$A991,#REF!,$B991,#REF!,$C991,#REF!,"Other Sector Demand")</f>
        <v>#REF!</v>
      </c>
      <c r="I991" s="105" t="e">
        <f t="shared" si="61"/>
        <v>#REF!</v>
      </c>
      <c r="J991" s="106" t="e">
        <f t="shared" si="62"/>
        <v>#REF!</v>
      </c>
      <c r="K991" s="107" t="e">
        <f t="shared" si="63"/>
        <v>#REF!</v>
      </c>
    </row>
    <row r="992" spans="1:11" ht="15" customHeight="1" x14ac:dyDescent="0.2">
      <c r="A992" s="104" t="s">
        <v>207</v>
      </c>
      <c r="B992" s="104" t="s">
        <v>210</v>
      </c>
      <c r="C992" s="104" t="s">
        <v>69</v>
      </c>
      <c r="D992" s="104">
        <v>2040</v>
      </c>
      <c r="E992" s="105" t="e">
        <f>SUMIFS(#REF!,#REF!,$A992,#REF!,$B992,#REF!,$C992,#REF!,"Storage Demand")</f>
        <v>#REF!</v>
      </c>
      <c r="F992" s="105" t="e">
        <f>SUMIFS(#REF!,#REF!,$A992,#REF!,$B992,#REF!,$C992,#REF!,"&lt;&gt;Other Sector Demand")</f>
        <v>#REF!</v>
      </c>
      <c r="G992" s="106" t="e">
        <f t="shared" si="60"/>
        <v>#REF!</v>
      </c>
      <c r="H992" s="105" t="e">
        <f>SUMIFS(#REF!,#REF!,$A992,#REF!,$B992,#REF!,$C992,#REF!,"Other Sector Demand")</f>
        <v>#REF!</v>
      </c>
      <c r="I992" s="105" t="e">
        <f t="shared" si="61"/>
        <v>#REF!</v>
      </c>
      <c r="J992" s="106" t="e">
        <f t="shared" si="62"/>
        <v>#REF!</v>
      </c>
      <c r="K992" s="107" t="e">
        <f t="shared" si="63"/>
        <v>#REF!</v>
      </c>
    </row>
    <row r="993" spans="1:11" ht="15" customHeight="1" x14ac:dyDescent="0.2">
      <c r="A993" s="104" t="s">
        <v>207</v>
      </c>
      <c r="B993" s="104" t="s">
        <v>210</v>
      </c>
      <c r="C993" s="104" t="s">
        <v>69</v>
      </c>
      <c r="D993" s="104">
        <v>2050</v>
      </c>
      <c r="E993" s="105" t="e">
        <f>SUMIFS(#REF!,#REF!,$A993,#REF!,$B993,#REF!,$C993,#REF!,"Storage Demand")</f>
        <v>#REF!</v>
      </c>
      <c r="F993" s="105" t="e">
        <f>SUMIFS(#REF!,#REF!,$A993,#REF!,$B993,#REF!,$C993,#REF!,"&lt;&gt;Other Sector Demand")</f>
        <v>#REF!</v>
      </c>
      <c r="G993" s="106" t="e">
        <f t="shared" si="60"/>
        <v>#REF!</v>
      </c>
      <c r="H993" s="105" t="e">
        <f>SUMIFS(#REF!,#REF!,$A993,#REF!,$B993,#REF!,$C993,#REF!,"Other Sector Demand")</f>
        <v>#REF!</v>
      </c>
      <c r="I993" s="105" t="e">
        <f t="shared" si="61"/>
        <v>#REF!</v>
      </c>
      <c r="J993" s="106" t="e">
        <f t="shared" si="62"/>
        <v>#REF!</v>
      </c>
      <c r="K993" s="107" t="e">
        <f t="shared" si="63"/>
        <v>#REF!</v>
      </c>
    </row>
    <row r="994" spans="1:11" ht="15" customHeight="1" x14ac:dyDescent="0.2">
      <c r="A994" s="104" t="s">
        <v>207</v>
      </c>
      <c r="B994" s="104" t="s">
        <v>210</v>
      </c>
      <c r="C994" s="104" t="s">
        <v>70</v>
      </c>
      <c r="D994" s="104">
        <v>2020</v>
      </c>
      <c r="E994" s="105" t="e">
        <f>SUMIFS(#REF!,#REF!,$A994,#REF!,$B994,#REF!,$C994,#REF!,"Storage Demand")</f>
        <v>#REF!</v>
      </c>
      <c r="F994" s="105" t="e">
        <f>SUMIFS(#REF!,#REF!,$A994,#REF!,$B994,#REF!,$C994,#REF!,"&lt;&gt;Other Sector Demand")</f>
        <v>#REF!</v>
      </c>
      <c r="G994" s="106" t="e">
        <f t="shared" si="60"/>
        <v>#REF!</v>
      </c>
      <c r="H994" s="105" t="e">
        <f>SUMIFS(#REF!,#REF!,$A994,#REF!,$B994,#REF!,$C994,#REF!,"Other Sector Demand")</f>
        <v>#REF!</v>
      </c>
      <c r="I994" s="105" t="e">
        <f t="shared" si="61"/>
        <v>#REF!</v>
      </c>
      <c r="J994" s="106" t="e">
        <f t="shared" si="62"/>
        <v>#REF!</v>
      </c>
      <c r="K994" s="107" t="e">
        <f t="shared" si="63"/>
        <v>#REF!</v>
      </c>
    </row>
    <row r="995" spans="1:11" ht="15" customHeight="1" x14ac:dyDescent="0.2">
      <c r="A995" s="104" t="s">
        <v>207</v>
      </c>
      <c r="B995" s="104" t="s">
        <v>210</v>
      </c>
      <c r="C995" s="104" t="s">
        <v>70</v>
      </c>
      <c r="D995" s="104">
        <v>2030</v>
      </c>
      <c r="E995" s="105" t="e">
        <f>SUMIFS(#REF!,#REF!,$A995,#REF!,$B995,#REF!,$C995,#REF!,"Storage Demand")</f>
        <v>#REF!</v>
      </c>
      <c r="F995" s="105" t="e">
        <f>SUMIFS(#REF!,#REF!,$A995,#REF!,$B995,#REF!,$C995,#REF!,"&lt;&gt;Other Sector Demand")</f>
        <v>#REF!</v>
      </c>
      <c r="G995" s="106" t="e">
        <f t="shared" si="60"/>
        <v>#REF!</v>
      </c>
      <c r="H995" s="105" t="e">
        <f>SUMIFS(#REF!,#REF!,$A995,#REF!,$B995,#REF!,$C995,#REF!,"Other Sector Demand")</f>
        <v>#REF!</v>
      </c>
      <c r="I995" s="105" t="e">
        <f t="shared" si="61"/>
        <v>#REF!</v>
      </c>
      <c r="J995" s="106" t="e">
        <f t="shared" si="62"/>
        <v>#REF!</v>
      </c>
      <c r="K995" s="107" t="e">
        <f t="shared" si="63"/>
        <v>#REF!</v>
      </c>
    </row>
    <row r="996" spans="1:11" ht="15" customHeight="1" x14ac:dyDescent="0.2">
      <c r="A996" s="104" t="s">
        <v>207</v>
      </c>
      <c r="B996" s="104" t="s">
        <v>210</v>
      </c>
      <c r="C996" s="104" t="s">
        <v>70</v>
      </c>
      <c r="D996" s="104">
        <v>2040</v>
      </c>
      <c r="E996" s="105" t="e">
        <f>SUMIFS(#REF!,#REF!,$A996,#REF!,$B996,#REF!,$C996,#REF!,"Storage Demand")</f>
        <v>#REF!</v>
      </c>
      <c r="F996" s="105" t="e">
        <f>SUMIFS(#REF!,#REF!,$A996,#REF!,$B996,#REF!,$C996,#REF!,"&lt;&gt;Other Sector Demand")</f>
        <v>#REF!</v>
      </c>
      <c r="G996" s="106" t="e">
        <f t="shared" si="60"/>
        <v>#REF!</v>
      </c>
      <c r="H996" s="105" t="e">
        <f>SUMIFS(#REF!,#REF!,$A996,#REF!,$B996,#REF!,$C996,#REF!,"Other Sector Demand")</f>
        <v>#REF!</v>
      </c>
      <c r="I996" s="105" t="e">
        <f t="shared" si="61"/>
        <v>#REF!</v>
      </c>
      <c r="J996" s="106" t="e">
        <f t="shared" si="62"/>
        <v>#REF!</v>
      </c>
      <c r="K996" s="107" t="e">
        <f t="shared" si="63"/>
        <v>#REF!</v>
      </c>
    </row>
    <row r="997" spans="1:11" ht="15" customHeight="1" x14ac:dyDescent="0.2">
      <c r="A997" s="104" t="s">
        <v>207</v>
      </c>
      <c r="B997" s="104" t="s">
        <v>210</v>
      </c>
      <c r="C997" s="104" t="s">
        <v>70</v>
      </c>
      <c r="D997" s="104">
        <v>2050</v>
      </c>
      <c r="E997" s="105" t="e">
        <f>SUMIFS(#REF!,#REF!,$A997,#REF!,$B997,#REF!,$C997,#REF!,"Storage Demand")</f>
        <v>#REF!</v>
      </c>
      <c r="F997" s="105" t="e">
        <f>SUMIFS(#REF!,#REF!,$A997,#REF!,$B997,#REF!,$C997,#REF!,"&lt;&gt;Other Sector Demand")</f>
        <v>#REF!</v>
      </c>
      <c r="G997" s="106" t="e">
        <f t="shared" si="60"/>
        <v>#REF!</v>
      </c>
      <c r="H997" s="105" t="e">
        <f>SUMIFS(#REF!,#REF!,$A997,#REF!,$B997,#REF!,$C997,#REF!,"Other Sector Demand")</f>
        <v>#REF!</v>
      </c>
      <c r="I997" s="105" t="e">
        <f t="shared" si="61"/>
        <v>#REF!</v>
      </c>
      <c r="J997" s="106" t="e">
        <f t="shared" si="62"/>
        <v>#REF!</v>
      </c>
      <c r="K997" s="107" t="e">
        <f t="shared" si="63"/>
        <v>#REF!</v>
      </c>
    </row>
    <row r="998" spans="1:11" ht="15" customHeight="1" x14ac:dyDescent="0.2">
      <c r="A998" s="104" t="s">
        <v>207</v>
      </c>
      <c r="B998" s="104" t="s">
        <v>210</v>
      </c>
      <c r="C998" s="104" t="s">
        <v>71</v>
      </c>
      <c r="D998" s="104">
        <v>2020</v>
      </c>
      <c r="E998" s="105" t="e">
        <f>SUMIFS(#REF!,#REF!,$A998,#REF!,$B998,#REF!,$C998,#REF!,"Storage Demand")</f>
        <v>#REF!</v>
      </c>
      <c r="F998" s="105" t="e">
        <f>SUMIFS(#REF!,#REF!,$A998,#REF!,$B998,#REF!,$C998,#REF!,"&lt;&gt;Other Sector Demand")</f>
        <v>#REF!</v>
      </c>
      <c r="G998" s="106" t="e">
        <f t="shared" si="60"/>
        <v>#REF!</v>
      </c>
      <c r="H998" s="105" t="e">
        <f>SUMIFS(#REF!,#REF!,$A998,#REF!,$B998,#REF!,$C998,#REF!,"Other Sector Demand")</f>
        <v>#REF!</v>
      </c>
      <c r="I998" s="105" t="e">
        <f t="shared" si="61"/>
        <v>#REF!</v>
      </c>
      <c r="J998" s="106" t="e">
        <f t="shared" si="62"/>
        <v>#REF!</v>
      </c>
      <c r="K998" s="107" t="e">
        <f t="shared" si="63"/>
        <v>#REF!</v>
      </c>
    </row>
    <row r="999" spans="1:11" ht="15" customHeight="1" x14ac:dyDescent="0.2">
      <c r="A999" s="104" t="s">
        <v>207</v>
      </c>
      <c r="B999" s="104" t="s">
        <v>210</v>
      </c>
      <c r="C999" s="104" t="s">
        <v>71</v>
      </c>
      <c r="D999" s="104">
        <v>2030</v>
      </c>
      <c r="E999" s="105" t="e">
        <f>SUMIFS(#REF!,#REF!,$A999,#REF!,$B999,#REF!,$C999,#REF!,"Storage Demand")</f>
        <v>#REF!</v>
      </c>
      <c r="F999" s="105" t="e">
        <f>SUMIFS(#REF!,#REF!,$A999,#REF!,$B999,#REF!,$C999,#REF!,"&lt;&gt;Other Sector Demand")</f>
        <v>#REF!</v>
      </c>
      <c r="G999" s="106" t="e">
        <f t="shared" si="60"/>
        <v>#REF!</v>
      </c>
      <c r="H999" s="105" t="e">
        <f>SUMIFS(#REF!,#REF!,$A999,#REF!,$B999,#REF!,$C999,#REF!,"Other Sector Demand")</f>
        <v>#REF!</v>
      </c>
      <c r="I999" s="105" t="e">
        <f t="shared" si="61"/>
        <v>#REF!</v>
      </c>
      <c r="J999" s="106" t="e">
        <f t="shared" si="62"/>
        <v>#REF!</v>
      </c>
      <c r="K999" s="107" t="e">
        <f t="shared" si="63"/>
        <v>#REF!</v>
      </c>
    </row>
    <row r="1000" spans="1:11" ht="15" customHeight="1" x14ac:dyDescent="0.2">
      <c r="A1000" s="104" t="s">
        <v>207</v>
      </c>
      <c r="B1000" s="104" t="s">
        <v>210</v>
      </c>
      <c r="C1000" s="104" t="s">
        <v>71</v>
      </c>
      <c r="D1000" s="104">
        <v>2040</v>
      </c>
      <c r="E1000" s="105" t="e">
        <f>SUMIFS(#REF!,#REF!,$A1000,#REF!,$B1000,#REF!,$C1000,#REF!,"Storage Demand")</f>
        <v>#REF!</v>
      </c>
      <c r="F1000" s="105" t="e">
        <f>SUMIFS(#REF!,#REF!,$A1000,#REF!,$B1000,#REF!,$C1000,#REF!,"&lt;&gt;Other Sector Demand")</f>
        <v>#REF!</v>
      </c>
      <c r="G1000" s="106" t="e">
        <f t="shared" si="60"/>
        <v>#REF!</v>
      </c>
      <c r="H1000" s="105" t="e">
        <f>SUMIFS(#REF!,#REF!,$A1000,#REF!,$B1000,#REF!,$C1000,#REF!,"Other Sector Demand")</f>
        <v>#REF!</v>
      </c>
      <c r="I1000" s="105" t="e">
        <f t="shared" si="61"/>
        <v>#REF!</v>
      </c>
      <c r="J1000" s="106" t="e">
        <f t="shared" si="62"/>
        <v>#REF!</v>
      </c>
      <c r="K1000" s="107" t="e">
        <f t="shared" si="63"/>
        <v>#REF!</v>
      </c>
    </row>
    <row r="1001" spans="1:11" ht="15" customHeight="1" x14ac:dyDescent="0.2">
      <c r="A1001" s="104" t="s">
        <v>207</v>
      </c>
      <c r="B1001" s="104" t="s">
        <v>210</v>
      </c>
      <c r="C1001" s="104" t="s">
        <v>71</v>
      </c>
      <c r="D1001" s="104">
        <v>2050</v>
      </c>
      <c r="E1001" s="105" t="e">
        <f>SUMIFS(#REF!,#REF!,$A1001,#REF!,$B1001,#REF!,$C1001,#REF!,"Storage Demand")</f>
        <v>#REF!</v>
      </c>
      <c r="F1001" s="105" t="e">
        <f>SUMIFS(#REF!,#REF!,$A1001,#REF!,$B1001,#REF!,$C1001,#REF!,"&lt;&gt;Other Sector Demand")</f>
        <v>#REF!</v>
      </c>
      <c r="G1001" s="106" t="e">
        <f t="shared" si="60"/>
        <v>#REF!</v>
      </c>
      <c r="H1001" s="105" t="e">
        <f>SUMIFS(#REF!,#REF!,$A1001,#REF!,$B1001,#REF!,$C1001,#REF!,"Other Sector Demand")</f>
        <v>#REF!</v>
      </c>
      <c r="I1001" s="105" t="e">
        <f t="shared" si="61"/>
        <v>#REF!</v>
      </c>
      <c r="J1001" s="106" t="e">
        <f t="shared" si="62"/>
        <v>#REF!</v>
      </c>
      <c r="K1001" s="107" t="e">
        <f t="shared" si="63"/>
        <v>#REF!</v>
      </c>
    </row>
    <row r="1002" spans="1:11" ht="15" customHeight="1" x14ac:dyDescent="0.2">
      <c r="A1002" s="104" t="s">
        <v>207</v>
      </c>
      <c r="B1002" s="104" t="s">
        <v>210</v>
      </c>
      <c r="C1002" s="104" t="s">
        <v>73</v>
      </c>
      <c r="D1002" s="104">
        <v>2020</v>
      </c>
      <c r="E1002" s="105" t="e">
        <f>SUMIFS(#REF!,#REF!,$A1002,#REF!,$B1002,#REF!,$C1002,#REF!,"Storage Demand")</f>
        <v>#REF!</v>
      </c>
      <c r="F1002" s="105" t="e">
        <f>SUMIFS(#REF!,#REF!,$A1002,#REF!,$B1002,#REF!,$C1002,#REF!,"&lt;&gt;Other Sector Demand")</f>
        <v>#REF!</v>
      </c>
      <c r="G1002" s="106" t="e">
        <f t="shared" si="60"/>
        <v>#REF!</v>
      </c>
      <c r="H1002" s="105" t="e">
        <f>SUMIFS(#REF!,#REF!,$A1002,#REF!,$B1002,#REF!,$C1002,#REF!,"Other Sector Demand")</f>
        <v>#REF!</v>
      </c>
      <c r="I1002" s="105" t="e">
        <f t="shared" si="61"/>
        <v>#REF!</v>
      </c>
      <c r="J1002" s="106" t="e">
        <f t="shared" si="62"/>
        <v>#REF!</v>
      </c>
      <c r="K1002" s="107" t="e">
        <f t="shared" si="63"/>
        <v>#REF!</v>
      </c>
    </row>
    <row r="1003" spans="1:11" ht="15" customHeight="1" x14ac:dyDescent="0.2">
      <c r="A1003" s="104" t="s">
        <v>207</v>
      </c>
      <c r="B1003" s="104" t="s">
        <v>210</v>
      </c>
      <c r="C1003" s="104" t="s">
        <v>73</v>
      </c>
      <c r="D1003" s="104">
        <v>2030</v>
      </c>
      <c r="E1003" s="105" t="e">
        <f>SUMIFS(#REF!,#REF!,$A1003,#REF!,$B1003,#REF!,$C1003,#REF!,"Storage Demand")</f>
        <v>#REF!</v>
      </c>
      <c r="F1003" s="105" t="e">
        <f>SUMIFS(#REF!,#REF!,$A1003,#REF!,$B1003,#REF!,$C1003,#REF!,"&lt;&gt;Other Sector Demand")</f>
        <v>#REF!</v>
      </c>
      <c r="G1003" s="106" t="e">
        <f t="shared" si="60"/>
        <v>#REF!</v>
      </c>
      <c r="H1003" s="105" t="e">
        <f>SUMIFS(#REF!,#REF!,$A1003,#REF!,$B1003,#REF!,$C1003,#REF!,"Other Sector Demand")</f>
        <v>#REF!</v>
      </c>
      <c r="I1003" s="105" t="e">
        <f t="shared" si="61"/>
        <v>#REF!</v>
      </c>
      <c r="J1003" s="106" t="e">
        <f t="shared" si="62"/>
        <v>#REF!</v>
      </c>
      <c r="K1003" s="107" t="e">
        <f t="shared" si="63"/>
        <v>#REF!</v>
      </c>
    </row>
    <row r="1004" spans="1:11" ht="15" customHeight="1" x14ac:dyDescent="0.2">
      <c r="A1004" s="104" t="s">
        <v>207</v>
      </c>
      <c r="B1004" s="104" t="s">
        <v>210</v>
      </c>
      <c r="C1004" s="104" t="s">
        <v>73</v>
      </c>
      <c r="D1004" s="104">
        <v>2040</v>
      </c>
      <c r="E1004" s="105" t="e">
        <f>SUMIFS(#REF!,#REF!,$A1004,#REF!,$B1004,#REF!,$C1004,#REF!,"Storage Demand")</f>
        <v>#REF!</v>
      </c>
      <c r="F1004" s="105" t="e">
        <f>SUMIFS(#REF!,#REF!,$A1004,#REF!,$B1004,#REF!,$C1004,#REF!,"&lt;&gt;Other Sector Demand")</f>
        <v>#REF!</v>
      </c>
      <c r="G1004" s="106" t="e">
        <f t="shared" si="60"/>
        <v>#REF!</v>
      </c>
      <c r="H1004" s="105" t="e">
        <f>SUMIFS(#REF!,#REF!,$A1004,#REF!,$B1004,#REF!,$C1004,#REF!,"Other Sector Demand")</f>
        <v>#REF!</v>
      </c>
      <c r="I1004" s="105" t="e">
        <f t="shared" si="61"/>
        <v>#REF!</v>
      </c>
      <c r="J1004" s="106" t="e">
        <f t="shared" si="62"/>
        <v>#REF!</v>
      </c>
      <c r="K1004" s="107" t="e">
        <f t="shared" si="63"/>
        <v>#REF!</v>
      </c>
    </row>
    <row r="1005" spans="1:11" ht="15" customHeight="1" x14ac:dyDescent="0.2">
      <c r="A1005" s="104" t="s">
        <v>207</v>
      </c>
      <c r="B1005" s="104" t="s">
        <v>210</v>
      </c>
      <c r="C1005" s="104" t="s">
        <v>73</v>
      </c>
      <c r="D1005" s="104">
        <v>2050</v>
      </c>
      <c r="E1005" s="105" t="e">
        <f>SUMIFS(#REF!,#REF!,$A1005,#REF!,$B1005,#REF!,$C1005,#REF!,"Storage Demand")</f>
        <v>#REF!</v>
      </c>
      <c r="F1005" s="105" t="e">
        <f>SUMIFS(#REF!,#REF!,$A1005,#REF!,$B1005,#REF!,$C1005,#REF!,"&lt;&gt;Other Sector Demand")</f>
        <v>#REF!</v>
      </c>
      <c r="G1005" s="106" t="e">
        <f t="shared" si="60"/>
        <v>#REF!</v>
      </c>
      <c r="H1005" s="105" t="e">
        <f>SUMIFS(#REF!,#REF!,$A1005,#REF!,$B1005,#REF!,$C1005,#REF!,"Other Sector Demand")</f>
        <v>#REF!</v>
      </c>
      <c r="I1005" s="105" t="e">
        <f t="shared" si="61"/>
        <v>#REF!</v>
      </c>
      <c r="J1005" s="106" t="e">
        <f t="shared" si="62"/>
        <v>#REF!</v>
      </c>
      <c r="K1005" s="107" t="e">
        <f t="shared" si="63"/>
        <v>#REF!</v>
      </c>
    </row>
    <row r="1006" spans="1:11" ht="15" customHeight="1" x14ac:dyDescent="0.2">
      <c r="A1006" s="104" t="s">
        <v>207</v>
      </c>
      <c r="B1006" s="104" t="s">
        <v>210</v>
      </c>
      <c r="C1006" s="104" t="s">
        <v>74</v>
      </c>
      <c r="D1006" s="104">
        <v>2020</v>
      </c>
      <c r="E1006" s="105" t="e">
        <f>SUMIFS(#REF!,#REF!,$A1006,#REF!,$B1006,#REF!,$C1006,#REF!,"Storage Demand")</f>
        <v>#REF!</v>
      </c>
      <c r="F1006" s="105" t="e">
        <f>SUMIFS(#REF!,#REF!,$A1006,#REF!,$B1006,#REF!,$C1006,#REF!,"&lt;&gt;Other Sector Demand")</f>
        <v>#REF!</v>
      </c>
      <c r="G1006" s="106" t="e">
        <f t="shared" si="60"/>
        <v>#REF!</v>
      </c>
      <c r="H1006" s="105" t="e">
        <f>SUMIFS(#REF!,#REF!,$A1006,#REF!,$B1006,#REF!,$C1006,#REF!,"Other Sector Demand")</f>
        <v>#REF!</v>
      </c>
      <c r="I1006" s="105" t="e">
        <f t="shared" si="61"/>
        <v>#REF!</v>
      </c>
      <c r="J1006" s="106" t="e">
        <f t="shared" si="62"/>
        <v>#REF!</v>
      </c>
      <c r="K1006" s="107" t="e">
        <f t="shared" si="63"/>
        <v>#REF!</v>
      </c>
    </row>
    <row r="1007" spans="1:11" ht="15" customHeight="1" x14ac:dyDescent="0.2">
      <c r="A1007" s="104" t="s">
        <v>207</v>
      </c>
      <c r="B1007" s="104" t="s">
        <v>210</v>
      </c>
      <c r="C1007" s="104" t="s">
        <v>74</v>
      </c>
      <c r="D1007" s="104">
        <v>2030</v>
      </c>
      <c r="E1007" s="105" t="e">
        <f>SUMIFS(#REF!,#REF!,$A1007,#REF!,$B1007,#REF!,$C1007,#REF!,"Storage Demand")</f>
        <v>#REF!</v>
      </c>
      <c r="F1007" s="105" t="e">
        <f>SUMIFS(#REF!,#REF!,$A1007,#REF!,$B1007,#REF!,$C1007,#REF!,"&lt;&gt;Other Sector Demand")</f>
        <v>#REF!</v>
      </c>
      <c r="G1007" s="106" t="e">
        <f t="shared" si="60"/>
        <v>#REF!</v>
      </c>
      <c r="H1007" s="105" t="e">
        <f>SUMIFS(#REF!,#REF!,$A1007,#REF!,$B1007,#REF!,$C1007,#REF!,"Other Sector Demand")</f>
        <v>#REF!</v>
      </c>
      <c r="I1007" s="105" t="e">
        <f t="shared" si="61"/>
        <v>#REF!</v>
      </c>
      <c r="J1007" s="106" t="e">
        <f t="shared" si="62"/>
        <v>#REF!</v>
      </c>
      <c r="K1007" s="107" t="e">
        <f t="shared" si="63"/>
        <v>#REF!</v>
      </c>
    </row>
    <row r="1008" spans="1:11" ht="15" customHeight="1" x14ac:dyDescent="0.2">
      <c r="A1008" s="104" t="s">
        <v>207</v>
      </c>
      <c r="B1008" s="104" t="s">
        <v>210</v>
      </c>
      <c r="C1008" s="104" t="s">
        <v>74</v>
      </c>
      <c r="D1008" s="104">
        <v>2040</v>
      </c>
      <c r="E1008" s="105" t="e">
        <f>SUMIFS(#REF!,#REF!,$A1008,#REF!,$B1008,#REF!,$C1008,#REF!,"Storage Demand")</f>
        <v>#REF!</v>
      </c>
      <c r="F1008" s="105" t="e">
        <f>SUMIFS(#REF!,#REF!,$A1008,#REF!,$B1008,#REF!,$C1008,#REF!,"&lt;&gt;Other Sector Demand")</f>
        <v>#REF!</v>
      </c>
      <c r="G1008" s="106" t="e">
        <f t="shared" si="60"/>
        <v>#REF!</v>
      </c>
      <c r="H1008" s="105" t="e">
        <f>SUMIFS(#REF!,#REF!,$A1008,#REF!,$B1008,#REF!,$C1008,#REF!,"Other Sector Demand")</f>
        <v>#REF!</v>
      </c>
      <c r="I1008" s="105" t="e">
        <f t="shared" si="61"/>
        <v>#REF!</v>
      </c>
      <c r="J1008" s="106" t="e">
        <f t="shared" si="62"/>
        <v>#REF!</v>
      </c>
      <c r="K1008" s="107" t="e">
        <f t="shared" si="63"/>
        <v>#REF!</v>
      </c>
    </row>
    <row r="1009" spans="1:11" ht="15" customHeight="1" x14ac:dyDescent="0.2">
      <c r="A1009" s="104" t="s">
        <v>207</v>
      </c>
      <c r="B1009" s="104" t="s">
        <v>210</v>
      </c>
      <c r="C1009" s="104" t="s">
        <v>74</v>
      </c>
      <c r="D1009" s="104">
        <v>2050</v>
      </c>
      <c r="E1009" s="105" t="e">
        <f>SUMIFS(#REF!,#REF!,$A1009,#REF!,$B1009,#REF!,$C1009,#REF!,"Storage Demand")</f>
        <v>#REF!</v>
      </c>
      <c r="F1009" s="105" t="e">
        <f>SUMIFS(#REF!,#REF!,$A1009,#REF!,$B1009,#REF!,$C1009,#REF!,"&lt;&gt;Other Sector Demand")</f>
        <v>#REF!</v>
      </c>
      <c r="G1009" s="106" t="e">
        <f t="shared" si="60"/>
        <v>#REF!</v>
      </c>
      <c r="H1009" s="105" t="e">
        <f>SUMIFS(#REF!,#REF!,$A1009,#REF!,$B1009,#REF!,$C1009,#REF!,"Other Sector Demand")</f>
        <v>#REF!</v>
      </c>
      <c r="I1009" s="105" t="e">
        <f t="shared" si="61"/>
        <v>#REF!</v>
      </c>
      <c r="J1009" s="106" t="e">
        <f t="shared" si="62"/>
        <v>#REF!</v>
      </c>
      <c r="K1009" s="107" t="e">
        <f t="shared" si="63"/>
        <v>#REF!</v>
      </c>
    </row>
    <row r="1010" spans="1:11" ht="15" customHeight="1" x14ac:dyDescent="0.2">
      <c r="A1010" s="104" t="s">
        <v>207</v>
      </c>
      <c r="B1010" s="104" t="s">
        <v>210</v>
      </c>
      <c r="C1010" s="104" t="s">
        <v>75</v>
      </c>
      <c r="D1010" s="104">
        <v>2020</v>
      </c>
      <c r="E1010" s="105" t="e">
        <f>SUMIFS(#REF!,#REF!,$A1010,#REF!,$B1010,#REF!,$C1010,#REF!,"Storage Demand")</f>
        <v>#REF!</v>
      </c>
      <c r="F1010" s="105" t="e">
        <f>SUMIFS(#REF!,#REF!,$A1010,#REF!,$B1010,#REF!,$C1010,#REF!,"&lt;&gt;Other Sector Demand")</f>
        <v>#REF!</v>
      </c>
      <c r="G1010" s="106" t="e">
        <f t="shared" si="60"/>
        <v>#REF!</v>
      </c>
      <c r="H1010" s="105" t="e">
        <f>SUMIFS(#REF!,#REF!,$A1010,#REF!,$B1010,#REF!,$C1010,#REF!,"Other Sector Demand")</f>
        <v>#REF!</v>
      </c>
      <c r="I1010" s="105" t="e">
        <f t="shared" si="61"/>
        <v>#REF!</v>
      </c>
      <c r="J1010" s="106" t="e">
        <f t="shared" si="62"/>
        <v>#REF!</v>
      </c>
      <c r="K1010" s="107" t="e">
        <f t="shared" si="63"/>
        <v>#REF!</v>
      </c>
    </row>
    <row r="1011" spans="1:11" ht="15" customHeight="1" x14ac:dyDescent="0.2">
      <c r="A1011" s="104" t="s">
        <v>207</v>
      </c>
      <c r="B1011" s="104" t="s">
        <v>210</v>
      </c>
      <c r="C1011" s="104" t="s">
        <v>75</v>
      </c>
      <c r="D1011" s="104">
        <v>2030</v>
      </c>
      <c r="E1011" s="105" t="e">
        <f>SUMIFS(#REF!,#REF!,$A1011,#REF!,$B1011,#REF!,$C1011,#REF!,"Storage Demand")</f>
        <v>#REF!</v>
      </c>
      <c r="F1011" s="105" t="e">
        <f>SUMIFS(#REF!,#REF!,$A1011,#REF!,$B1011,#REF!,$C1011,#REF!,"&lt;&gt;Other Sector Demand")</f>
        <v>#REF!</v>
      </c>
      <c r="G1011" s="106" t="e">
        <f t="shared" si="60"/>
        <v>#REF!</v>
      </c>
      <c r="H1011" s="105" t="e">
        <f>SUMIFS(#REF!,#REF!,$A1011,#REF!,$B1011,#REF!,$C1011,#REF!,"Other Sector Demand")</f>
        <v>#REF!</v>
      </c>
      <c r="I1011" s="105" t="e">
        <f t="shared" si="61"/>
        <v>#REF!</v>
      </c>
      <c r="J1011" s="106" t="e">
        <f t="shared" si="62"/>
        <v>#REF!</v>
      </c>
      <c r="K1011" s="107" t="e">
        <f t="shared" si="63"/>
        <v>#REF!</v>
      </c>
    </row>
    <row r="1012" spans="1:11" ht="15" customHeight="1" x14ac:dyDescent="0.2">
      <c r="A1012" s="104" t="s">
        <v>207</v>
      </c>
      <c r="B1012" s="104" t="s">
        <v>210</v>
      </c>
      <c r="C1012" s="104" t="s">
        <v>75</v>
      </c>
      <c r="D1012" s="104">
        <v>2040</v>
      </c>
      <c r="E1012" s="105" t="e">
        <f>SUMIFS(#REF!,#REF!,$A1012,#REF!,$B1012,#REF!,$C1012,#REF!,"Storage Demand")</f>
        <v>#REF!</v>
      </c>
      <c r="F1012" s="105" t="e">
        <f>SUMIFS(#REF!,#REF!,$A1012,#REF!,$B1012,#REF!,$C1012,#REF!,"&lt;&gt;Other Sector Demand")</f>
        <v>#REF!</v>
      </c>
      <c r="G1012" s="106" t="e">
        <f t="shared" si="60"/>
        <v>#REF!</v>
      </c>
      <c r="H1012" s="105" t="e">
        <f>SUMIFS(#REF!,#REF!,$A1012,#REF!,$B1012,#REF!,$C1012,#REF!,"Other Sector Demand")</f>
        <v>#REF!</v>
      </c>
      <c r="I1012" s="105" t="e">
        <f t="shared" si="61"/>
        <v>#REF!</v>
      </c>
      <c r="J1012" s="106" t="e">
        <f t="shared" si="62"/>
        <v>#REF!</v>
      </c>
      <c r="K1012" s="107" t="e">
        <f t="shared" si="63"/>
        <v>#REF!</v>
      </c>
    </row>
    <row r="1013" spans="1:11" ht="15" customHeight="1" x14ac:dyDescent="0.2">
      <c r="A1013" s="104" t="s">
        <v>207</v>
      </c>
      <c r="B1013" s="104" t="s">
        <v>210</v>
      </c>
      <c r="C1013" s="104" t="s">
        <v>75</v>
      </c>
      <c r="D1013" s="104">
        <v>2050</v>
      </c>
      <c r="E1013" s="105" t="e">
        <f>SUMIFS(#REF!,#REF!,$A1013,#REF!,$B1013,#REF!,$C1013,#REF!,"Storage Demand")</f>
        <v>#REF!</v>
      </c>
      <c r="F1013" s="105" t="e">
        <f>SUMIFS(#REF!,#REF!,$A1013,#REF!,$B1013,#REF!,$C1013,#REF!,"&lt;&gt;Other Sector Demand")</f>
        <v>#REF!</v>
      </c>
      <c r="G1013" s="106" t="e">
        <f t="shared" si="60"/>
        <v>#REF!</v>
      </c>
      <c r="H1013" s="105" t="e">
        <f>SUMIFS(#REF!,#REF!,$A1013,#REF!,$B1013,#REF!,$C1013,#REF!,"Other Sector Demand")</f>
        <v>#REF!</v>
      </c>
      <c r="I1013" s="105" t="e">
        <f t="shared" si="61"/>
        <v>#REF!</v>
      </c>
      <c r="J1013" s="106" t="e">
        <f t="shared" si="62"/>
        <v>#REF!</v>
      </c>
      <c r="K1013" s="107" t="e">
        <f t="shared" si="63"/>
        <v>#REF!</v>
      </c>
    </row>
    <row r="1014" spans="1:11" ht="15" customHeight="1" x14ac:dyDescent="0.2">
      <c r="A1014" s="104" t="s">
        <v>207</v>
      </c>
      <c r="B1014" s="104" t="s">
        <v>210</v>
      </c>
      <c r="C1014" s="104" t="s">
        <v>76</v>
      </c>
      <c r="D1014" s="104">
        <v>2020</v>
      </c>
      <c r="E1014" s="105" t="e">
        <f>SUMIFS(#REF!,#REF!,$A1014,#REF!,$B1014,#REF!,$C1014,#REF!,"Storage Demand")</f>
        <v>#REF!</v>
      </c>
      <c r="F1014" s="105" t="e">
        <f>SUMIFS(#REF!,#REF!,$A1014,#REF!,$B1014,#REF!,$C1014,#REF!,"&lt;&gt;Other Sector Demand")</f>
        <v>#REF!</v>
      </c>
      <c r="G1014" s="106" t="e">
        <f t="shared" si="60"/>
        <v>#REF!</v>
      </c>
      <c r="H1014" s="105" t="e">
        <f>SUMIFS(#REF!,#REF!,$A1014,#REF!,$B1014,#REF!,$C1014,#REF!,"Other Sector Demand")</f>
        <v>#REF!</v>
      </c>
      <c r="I1014" s="105" t="e">
        <f t="shared" si="61"/>
        <v>#REF!</v>
      </c>
      <c r="J1014" s="106" t="e">
        <f t="shared" si="62"/>
        <v>#REF!</v>
      </c>
      <c r="K1014" s="107" t="e">
        <f t="shared" si="63"/>
        <v>#REF!</v>
      </c>
    </row>
    <row r="1015" spans="1:11" ht="15" customHeight="1" x14ac:dyDescent="0.2">
      <c r="A1015" s="104" t="s">
        <v>207</v>
      </c>
      <c r="B1015" s="104" t="s">
        <v>210</v>
      </c>
      <c r="C1015" s="104" t="s">
        <v>76</v>
      </c>
      <c r="D1015" s="104">
        <v>2030</v>
      </c>
      <c r="E1015" s="105" t="e">
        <f>SUMIFS(#REF!,#REF!,$A1015,#REF!,$B1015,#REF!,$C1015,#REF!,"Storage Demand")</f>
        <v>#REF!</v>
      </c>
      <c r="F1015" s="105" t="e">
        <f>SUMIFS(#REF!,#REF!,$A1015,#REF!,$B1015,#REF!,$C1015,#REF!,"&lt;&gt;Other Sector Demand")</f>
        <v>#REF!</v>
      </c>
      <c r="G1015" s="106" t="e">
        <f t="shared" si="60"/>
        <v>#REF!</v>
      </c>
      <c r="H1015" s="105" t="e">
        <f>SUMIFS(#REF!,#REF!,$A1015,#REF!,$B1015,#REF!,$C1015,#REF!,"Other Sector Demand")</f>
        <v>#REF!</v>
      </c>
      <c r="I1015" s="105" t="e">
        <f t="shared" si="61"/>
        <v>#REF!</v>
      </c>
      <c r="J1015" s="106" t="e">
        <f t="shared" si="62"/>
        <v>#REF!</v>
      </c>
      <c r="K1015" s="107" t="e">
        <f t="shared" si="63"/>
        <v>#REF!</v>
      </c>
    </row>
    <row r="1016" spans="1:11" ht="15" customHeight="1" x14ac:dyDescent="0.2">
      <c r="A1016" s="104" t="s">
        <v>207</v>
      </c>
      <c r="B1016" s="104" t="s">
        <v>210</v>
      </c>
      <c r="C1016" s="104" t="s">
        <v>76</v>
      </c>
      <c r="D1016" s="104">
        <v>2040</v>
      </c>
      <c r="E1016" s="105" t="e">
        <f>SUMIFS(#REF!,#REF!,$A1016,#REF!,$B1016,#REF!,$C1016,#REF!,"Storage Demand")</f>
        <v>#REF!</v>
      </c>
      <c r="F1016" s="105" t="e">
        <f>SUMIFS(#REF!,#REF!,$A1016,#REF!,$B1016,#REF!,$C1016,#REF!,"&lt;&gt;Other Sector Demand")</f>
        <v>#REF!</v>
      </c>
      <c r="G1016" s="106" t="e">
        <f t="shared" si="60"/>
        <v>#REF!</v>
      </c>
      <c r="H1016" s="105" t="e">
        <f>SUMIFS(#REF!,#REF!,$A1016,#REF!,$B1016,#REF!,$C1016,#REF!,"Other Sector Demand")</f>
        <v>#REF!</v>
      </c>
      <c r="I1016" s="105" t="e">
        <f t="shared" si="61"/>
        <v>#REF!</v>
      </c>
      <c r="J1016" s="106" t="e">
        <f t="shared" si="62"/>
        <v>#REF!</v>
      </c>
      <c r="K1016" s="107" t="e">
        <f t="shared" si="63"/>
        <v>#REF!</v>
      </c>
    </row>
    <row r="1017" spans="1:11" ht="15" customHeight="1" x14ac:dyDescent="0.2">
      <c r="A1017" s="104" t="s">
        <v>207</v>
      </c>
      <c r="B1017" s="104" t="s">
        <v>210</v>
      </c>
      <c r="C1017" s="104" t="s">
        <v>76</v>
      </c>
      <c r="D1017" s="104">
        <v>2050</v>
      </c>
      <c r="E1017" s="105" t="e">
        <f>SUMIFS(#REF!,#REF!,$A1017,#REF!,$B1017,#REF!,$C1017,#REF!,"Storage Demand")</f>
        <v>#REF!</v>
      </c>
      <c r="F1017" s="105" t="e">
        <f>SUMIFS(#REF!,#REF!,$A1017,#REF!,$B1017,#REF!,$C1017,#REF!,"&lt;&gt;Other Sector Demand")</f>
        <v>#REF!</v>
      </c>
      <c r="G1017" s="106" t="e">
        <f t="shared" si="60"/>
        <v>#REF!</v>
      </c>
      <c r="H1017" s="105" t="e">
        <f>SUMIFS(#REF!,#REF!,$A1017,#REF!,$B1017,#REF!,$C1017,#REF!,"Other Sector Demand")</f>
        <v>#REF!</v>
      </c>
      <c r="I1017" s="105" t="e">
        <f t="shared" si="61"/>
        <v>#REF!</v>
      </c>
      <c r="J1017" s="106" t="e">
        <f t="shared" si="62"/>
        <v>#REF!</v>
      </c>
      <c r="K1017" s="107" t="e">
        <f t="shared" si="63"/>
        <v>#REF!</v>
      </c>
    </row>
    <row r="1018" spans="1:11" ht="15" customHeight="1" x14ac:dyDescent="0.2">
      <c r="A1018" s="104" t="s">
        <v>207</v>
      </c>
      <c r="B1018" s="104" t="s">
        <v>210</v>
      </c>
      <c r="C1018" s="104" t="s">
        <v>77</v>
      </c>
      <c r="D1018" s="104">
        <v>2020</v>
      </c>
      <c r="E1018" s="105" t="e">
        <f>SUMIFS(#REF!,#REF!,$A1018,#REF!,$B1018,#REF!,$C1018,#REF!,"Storage Demand")</f>
        <v>#REF!</v>
      </c>
      <c r="F1018" s="105" t="e">
        <f>SUMIFS(#REF!,#REF!,$A1018,#REF!,$B1018,#REF!,$C1018,#REF!,"&lt;&gt;Other Sector Demand")</f>
        <v>#REF!</v>
      </c>
      <c r="G1018" s="106" t="e">
        <f t="shared" si="60"/>
        <v>#REF!</v>
      </c>
      <c r="H1018" s="105" t="e">
        <f>SUMIFS(#REF!,#REF!,$A1018,#REF!,$B1018,#REF!,$C1018,#REF!,"Other Sector Demand")</f>
        <v>#REF!</v>
      </c>
      <c r="I1018" s="105" t="e">
        <f t="shared" si="61"/>
        <v>#REF!</v>
      </c>
      <c r="J1018" s="106" t="e">
        <f t="shared" si="62"/>
        <v>#REF!</v>
      </c>
      <c r="K1018" s="107" t="e">
        <f t="shared" si="63"/>
        <v>#REF!</v>
      </c>
    </row>
    <row r="1019" spans="1:11" ht="15" customHeight="1" x14ac:dyDescent="0.2">
      <c r="A1019" s="104" t="s">
        <v>207</v>
      </c>
      <c r="B1019" s="104" t="s">
        <v>210</v>
      </c>
      <c r="C1019" s="104" t="s">
        <v>77</v>
      </c>
      <c r="D1019" s="104">
        <v>2030</v>
      </c>
      <c r="E1019" s="105" t="e">
        <f>SUMIFS(#REF!,#REF!,$A1019,#REF!,$B1019,#REF!,$C1019,#REF!,"Storage Demand")</f>
        <v>#REF!</v>
      </c>
      <c r="F1019" s="105" t="e">
        <f>SUMIFS(#REF!,#REF!,$A1019,#REF!,$B1019,#REF!,$C1019,#REF!,"&lt;&gt;Other Sector Demand")</f>
        <v>#REF!</v>
      </c>
      <c r="G1019" s="106" t="e">
        <f t="shared" si="60"/>
        <v>#REF!</v>
      </c>
      <c r="H1019" s="105" t="e">
        <f>SUMIFS(#REF!,#REF!,$A1019,#REF!,$B1019,#REF!,$C1019,#REF!,"Other Sector Demand")</f>
        <v>#REF!</v>
      </c>
      <c r="I1019" s="105" t="e">
        <f t="shared" si="61"/>
        <v>#REF!</v>
      </c>
      <c r="J1019" s="106" t="e">
        <f t="shared" si="62"/>
        <v>#REF!</v>
      </c>
      <c r="K1019" s="107" t="e">
        <f t="shared" si="63"/>
        <v>#REF!</v>
      </c>
    </row>
    <row r="1020" spans="1:11" ht="15" customHeight="1" x14ac:dyDescent="0.2">
      <c r="A1020" s="104" t="s">
        <v>207</v>
      </c>
      <c r="B1020" s="104" t="s">
        <v>210</v>
      </c>
      <c r="C1020" s="104" t="s">
        <v>77</v>
      </c>
      <c r="D1020" s="104">
        <v>2040</v>
      </c>
      <c r="E1020" s="105" t="e">
        <f>SUMIFS(#REF!,#REF!,$A1020,#REF!,$B1020,#REF!,$C1020,#REF!,"Storage Demand")</f>
        <v>#REF!</v>
      </c>
      <c r="F1020" s="105" t="e">
        <f>SUMIFS(#REF!,#REF!,$A1020,#REF!,$B1020,#REF!,$C1020,#REF!,"&lt;&gt;Other Sector Demand")</f>
        <v>#REF!</v>
      </c>
      <c r="G1020" s="106" t="e">
        <f t="shared" si="60"/>
        <v>#REF!</v>
      </c>
      <c r="H1020" s="105" t="e">
        <f>SUMIFS(#REF!,#REF!,$A1020,#REF!,$B1020,#REF!,$C1020,#REF!,"Other Sector Demand")</f>
        <v>#REF!</v>
      </c>
      <c r="I1020" s="105" t="e">
        <f t="shared" si="61"/>
        <v>#REF!</v>
      </c>
      <c r="J1020" s="106" t="e">
        <f t="shared" si="62"/>
        <v>#REF!</v>
      </c>
      <c r="K1020" s="107" t="e">
        <f t="shared" si="63"/>
        <v>#REF!</v>
      </c>
    </row>
    <row r="1021" spans="1:11" ht="15" customHeight="1" x14ac:dyDescent="0.2">
      <c r="A1021" s="104" t="s">
        <v>207</v>
      </c>
      <c r="B1021" s="104" t="s">
        <v>210</v>
      </c>
      <c r="C1021" s="104" t="s">
        <v>77</v>
      </c>
      <c r="D1021" s="104">
        <v>2050</v>
      </c>
      <c r="E1021" s="105" t="e">
        <f>SUMIFS(#REF!,#REF!,$A1021,#REF!,$B1021,#REF!,$C1021,#REF!,"Storage Demand")</f>
        <v>#REF!</v>
      </c>
      <c r="F1021" s="105" t="e">
        <f>SUMIFS(#REF!,#REF!,$A1021,#REF!,$B1021,#REF!,$C1021,#REF!,"&lt;&gt;Other Sector Demand")</f>
        <v>#REF!</v>
      </c>
      <c r="G1021" s="106" t="e">
        <f t="shared" si="60"/>
        <v>#REF!</v>
      </c>
      <c r="H1021" s="105" t="e">
        <f>SUMIFS(#REF!,#REF!,$A1021,#REF!,$B1021,#REF!,$C1021,#REF!,"Other Sector Demand")</f>
        <v>#REF!</v>
      </c>
      <c r="I1021" s="105" t="e">
        <f t="shared" si="61"/>
        <v>#REF!</v>
      </c>
      <c r="J1021" s="106" t="e">
        <f t="shared" si="62"/>
        <v>#REF!</v>
      </c>
      <c r="K1021" s="107" t="e">
        <f t="shared" si="63"/>
        <v>#REF!</v>
      </c>
    </row>
    <row r="1022" spans="1:11" ht="15" customHeight="1" x14ac:dyDescent="0.2">
      <c r="A1022" s="104" t="s">
        <v>207</v>
      </c>
      <c r="B1022" s="104" t="s">
        <v>210</v>
      </c>
      <c r="C1022" s="104" t="s">
        <v>78</v>
      </c>
      <c r="D1022" s="104">
        <v>2020</v>
      </c>
      <c r="E1022" s="105" t="e">
        <f>SUMIFS(#REF!,#REF!,$A1022,#REF!,$B1022,#REF!,$C1022,#REF!,"Storage Demand")</f>
        <v>#REF!</v>
      </c>
      <c r="F1022" s="105" t="e">
        <f>SUMIFS(#REF!,#REF!,$A1022,#REF!,$B1022,#REF!,$C1022,#REF!,"&lt;&gt;Other Sector Demand")</f>
        <v>#REF!</v>
      </c>
      <c r="G1022" s="106" t="e">
        <f t="shared" si="60"/>
        <v>#REF!</v>
      </c>
      <c r="H1022" s="105" t="e">
        <f>SUMIFS(#REF!,#REF!,$A1022,#REF!,$B1022,#REF!,$C1022,#REF!,"Other Sector Demand")</f>
        <v>#REF!</v>
      </c>
      <c r="I1022" s="105" t="e">
        <f t="shared" si="61"/>
        <v>#REF!</v>
      </c>
      <c r="J1022" s="106" t="e">
        <f t="shared" si="62"/>
        <v>#REF!</v>
      </c>
      <c r="K1022" s="107" t="e">
        <f t="shared" si="63"/>
        <v>#REF!</v>
      </c>
    </row>
    <row r="1023" spans="1:11" ht="15" customHeight="1" x14ac:dyDescent="0.2">
      <c r="A1023" s="104" t="s">
        <v>207</v>
      </c>
      <c r="B1023" s="104" t="s">
        <v>210</v>
      </c>
      <c r="C1023" s="104" t="s">
        <v>78</v>
      </c>
      <c r="D1023" s="104">
        <v>2030</v>
      </c>
      <c r="E1023" s="105" t="e">
        <f>SUMIFS(#REF!,#REF!,$A1023,#REF!,$B1023,#REF!,$C1023,#REF!,"Storage Demand")</f>
        <v>#REF!</v>
      </c>
      <c r="F1023" s="105" t="e">
        <f>SUMIFS(#REF!,#REF!,$A1023,#REF!,$B1023,#REF!,$C1023,#REF!,"&lt;&gt;Other Sector Demand")</f>
        <v>#REF!</v>
      </c>
      <c r="G1023" s="106" t="e">
        <f t="shared" si="60"/>
        <v>#REF!</v>
      </c>
      <c r="H1023" s="105" t="e">
        <f>SUMIFS(#REF!,#REF!,$A1023,#REF!,$B1023,#REF!,$C1023,#REF!,"Other Sector Demand")</f>
        <v>#REF!</v>
      </c>
      <c r="I1023" s="105" t="e">
        <f t="shared" si="61"/>
        <v>#REF!</v>
      </c>
      <c r="J1023" s="106" t="e">
        <f t="shared" si="62"/>
        <v>#REF!</v>
      </c>
      <c r="K1023" s="107" t="e">
        <f t="shared" si="63"/>
        <v>#REF!</v>
      </c>
    </row>
    <row r="1024" spans="1:11" ht="15" customHeight="1" x14ac:dyDescent="0.2">
      <c r="A1024" s="104" t="s">
        <v>207</v>
      </c>
      <c r="B1024" s="104" t="s">
        <v>210</v>
      </c>
      <c r="C1024" s="104" t="s">
        <v>78</v>
      </c>
      <c r="D1024" s="104">
        <v>2040</v>
      </c>
      <c r="E1024" s="105" t="e">
        <f>SUMIFS(#REF!,#REF!,$A1024,#REF!,$B1024,#REF!,$C1024,#REF!,"Storage Demand")</f>
        <v>#REF!</v>
      </c>
      <c r="F1024" s="105" t="e">
        <f>SUMIFS(#REF!,#REF!,$A1024,#REF!,$B1024,#REF!,$C1024,#REF!,"&lt;&gt;Other Sector Demand")</f>
        <v>#REF!</v>
      </c>
      <c r="G1024" s="106" t="e">
        <f t="shared" si="60"/>
        <v>#REF!</v>
      </c>
      <c r="H1024" s="105" t="e">
        <f>SUMIFS(#REF!,#REF!,$A1024,#REF!,$B1024,#REF!,$C1024,#REF!,"Other Sector Demand")</f>
        <v>#REF!</v>
      </c>
      <c r="I1024" s="105" t="e">
        <f t="shared" si="61"/>
        <v>#REF!</v>
      </c>
      <c r="J1024" s="106" t="e">
        <f t="shared" si="62"/>
        <v>#REF!</v>
      </c>
      <c r="K1024" s="107" t="e">
        <f t="shared" si="63"/>
        <v>#REF!</v>
      </c>
    </row>
    <row r="1025" spans="1:11" ht="15" customHeight="1" x14ac:dyDescent="0.2">
      <c r="A1025" s="104" t="s">
        <v>207</v>
      </c>
      <c r="B1025" s="104" t="s">
        <v>210</v>
      </c>
      <c r="C1025" s="104" t="s">
        <v>78</v>
      </c>
      <c r="D1025" s="104">
        <v>2050</v>
      </c>
      <c r="E1025" s="105" t="e">
        <f>SUMIFS(#REF!,#REF!,$A1025,#REF!,$B1025,#REF!,$C1025,#REF!,"Storage Demand")</f>
        <v>#REF!</v>
      </c>
      <c r="F1025" s="105" t="e">
        <f>SUMIFS(#REF!,#REF!,$A1025,#REF!,$B1025,#REF!,$C1025,#REF!,"&lt;&gt;Other Sector Demand")</f>
        <v>#REF!</v>
      </c>
      <c r="G1025" s="106" t="e">
        <f t="shared" si="60"/>
        <v>#REF!</v>
      </c>
      <c r="H1025" s="105" t="e">
        <f>SUMIFS(#REF!,#REF!,$A1025,#REF!,$B1025,#REF!,$C1025,#REF!,"Other Sector Demand")</f>
        <v>#REF!</v>
      </c>
      <c r="I1025" s="105" t="e">
        <f t="shared" si="61"/>
        <v>#REF!</v>
      </c>
      <c r="J1025" s="106" t="e">
        <f t="shared" si="62"/>
        <v>#REF!</v>
      </c>
      <c r="K1025" s="107" t="e">
        <f t="shared" si="63"/>
        <v>#REF!</v>
      </c>
    </row>
    <row r="1027" spans="1:11" ht="15" customHeight="1" x14ac:dyDescent="0.2">
      <c r="A1027" s="92" t="s">
        <v>231</v>
      </c>
    </row>
  </sheetData>
  <conditionalFormatting sqref="G2:G1025">
    <cfRule type="colorScale" priority="2">
      <colorScale>
        <cfvo type="min"/>
        <cfvo type="max"/>
        <color rgb="FFFFFFFF"/>
        <color rgb="FFF8696B"/>
      </colorScale>
    </cfRule>
  </conditionalFormatting>
  <conditionalFormatting sqref="J2:J1025">
    <cfRule type="colorScale" priority="3">
      <colorScale>
        <cfvo type="min"/>
        <cfvo type="max"/>
        <color rgb="FFFFFFFF"/>
        <color rgb="FFF8696B"/>
      </colorScale>
    </cfRule>
  </conditionalFormatting>
  <conditionalFormatting sqref="K2:K1025">
    <cfRule type="colorScale" priority="4">
      <colorScale>
        <cfvo type="min"/>
        <cfvo type="max"/>
        <color rgb="FFFFFFFF"/>
        <color rgb="FFF8696B"/>
      </colorScale>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D9D9D9"/>
  </sheetPr>
  <dimension ref="A1:E29"/>
  <sheetViews>
    <sheetView zoomScale="85" zoomScaleNormal="85" workbookViewId="0">
      <selection activeCell="D18" sqref="D18"/>
    </sheetView>
  </sheetViews>
  <sheetFormatPr baseColWidth="10" defaultColWidth="10.6640625" defaultRowHeight="15" x14ac:dyDescent="0.2"/>
  <cols>
    <col min="1" max="1" width="21.5" customWidth="1"/>
    <col min="2" max="2" width="30.5" customWidth="1"/>
    <col min="3" max="3" width="51.1640625" customWidth="1"/>
    <col min="4" max="4" width="82.83203125" customWidth="1"/>
    <col min="5" max="5" width="18" customWidth="1"/>
    <col min="7" max="7" width="28.5" customWidth="1"/>
    <col min="8" max="10" width="15" customWidth="1"/>
  </cols>
  <sheetData>
    <row r="1" spans="1:5" ht="15.75" customHeight="1" x14ac:dyDescent="0.2">
      <c r="A1" s="116" t="s">
        <v>232</v>
      </c>
      <c r="B1" s="117" t="s">
        <v>233</v>
      </c>
      <c r="C1" s="252" t="s">
        <v>123</v>
      </c>
      <c r="D1" s="226"/>
      <c r="E1" s="118" t="s">
        <v>152</v>
      </c>
    </row>
    <row r="2" spans="1:5" ht="15.75" customHeight="1" x14ac:dyDescent="0.2">
      <c r="A2" s="246" t="s">
        <v>6</v>
      </c>
      <c r="B2" s="254" t="s">
        <v>234</v>
      </c>
      <c r="C2" s="119" t="s">
        <v>132</v>
      </c>
      <c r="D2" s="120" t="s">
        <v>235</v>
      </c>
    </row>
    <row r="3" spans="1:5" ht="15" customHeight="1" x14ac:dyDescent="0.2">
      <c r="A3" s="247"/>
      <c r="B3" s="255"/>
      <c r="C3" s="121" t="s">
        <v>130</v>
      </c>
      <c r="D3" s="122" t="s">
        <v>236</v>
      </c>
    </row>
    <row r="4" spans="1:5" ht="15.75" customHeight="1" x14ac:dyDescent="0.2">
      <c r="A4" s="247"/>
      <c r="B4" s="255"/>
      <c r="C4" s="123" t="s">
        <v>146</v>
      </c>
      <c r="D4" s="124" t="s">
        <v>237</v>
      </c>
    </row>
    <row r="5" spans="1:5" ht="15.75" customHeight="1" x14ac:dyDescent="0.2">
      <c r="A5" s="247"/>
      <c r="B5" s="255"/>
      <c r="C5" s="123" t="s">
        <v>148</v>
      </c>
      <c r="D5" s="124" t="s">
        <v>238</v>
      </c>
    </row>
    <row r="6" spans="1:5" ht="15.75" customHeight="1" x14ac:dyDescent="0.2">
      <c r="A6" s="247"/>
      <c r="B6" s="255"/>
      <c r="C6" s="125" t="s">
        <v>133</v>
      </c>
      <c r="D6" s="126" t="s">
        <v>239</v>
      </c>
    </row>
    <row r="7" spans="1:5" ht="15.75" customHeight="1" x14ac:dyDescent="0.2">
      <c r="A7" s="247"/>
      <c r="B7" s="256"/>
      <c r="C7" s="127" t="s">
        <v>240</v>
      </c>
      <c r="D7" s="128" t="s">
        <v>241</v>
      </c>
    </row>
    <row r="8" spans="1:5" ht="15.75" customHeight="1" x14ac:dyDescent="0.2">
      <c r="A8" s="247"/>
      <c r="B8" s="129" t="s">
        <v>242</v>
      </c>
      <c r="C8" s="130" t="s">
        <v>158</v>
      </c>
      <c r="D8" s="131" t="s">
        <v>243</v>
      </c>
    </row>
    <row r="9" spans="1:5" s="24" customFormat="1" ht="15" customHeight="1" x14ac:dyDescent="0.2">
      <c r="A9" s="247"/>
      <c r="B9" s="254" t="s">
        <v>244</v>
      </c>
      <c r="C9" s="132" t="s">
        <v>138</v>
      </c>
      <c r="D9" s="133" t="s">
        <v>245</v>
      </c>
      <c r="E9" s="134"/>
    </row>
    <row r="10" spans="1:5" s="24" customFormat="1" ht="15" customHeight="1" x14ac:dyDescent="0.2">
      <c r="A10" s="247"/>
      <c r="B10" s="255"/>
      <c r="C10" s="135" t="s">
        <v>246</v>
      </c>
      <c r="D10" s="136" t="s">
        <v>247</v>
      </c>
      <c r="E10" s="134"/>
    </row>
    <row r="11" spans="1:5" s="24" customFormat="1" ht="15" customHeight="1" x14ac:dyDescent="0.2">
      <c r="A11" s="247"/>
      <c r="B11" s="255"/>
      <c r="C11" s="135" t="s">
        <v>248</v>
      </c>
      <c r="D11" s="137" t="s">
        <v>249</v>
      </c>
      <c r="E11" s="134"/>
    </row>
    <row r="12" spans="1:5" s="24" customFormat="1" ht="15" customHeight="1" x14ac:dyDescent="0.2">
      <c r="A12" s="247"/>
      <c r="B12" s="255"/>
      <c r="C12" s="135" t="s">
        <v>250</v>
      </c>
      <c r="D12" s="137" t="s">
        <v>251</v>
      </c>
      <c r="E12" s="134"/>
    </row>
    <row r="13" spans="1:5" s="24" customFormat="1" ht="15" customHeight="1" x14ac:dyDescent="0.2">
      <c r="A13" s="247"/>
      <c r="B13" s="255"/>
      <c r="C13" s="135" t="s">
        <v>252</v>
      </c>
      <c r="D13" s="137" t="s">
        <v>235</v>
      </c>
      <c r="E13" s="134"/>
    </row>
    <row r="14" spans="1:5" s="24" customFormat="1" ht="15" customHeight="1" x14ac:dyDescent="0.2">
      <c r="A14" s="247"/>
      <c r="B14" s="255"/>
      <c r="C14" s="135" t="s">
        <v>253</v>
      </c>
      <c r="D14" s="137" t="s">
        <v>254</v>
      </c>
      <c r="E14" s="134"/>
    </row>
    <row r="15" spans="1:5" s="24" customFormat="1" ht="15.75" customHeight="1" x14ac:dyDescent="0.2">
      <c r="A15" s="248"/>
      <c r="B15" s="256"/>
      <c r="C15" s="138" t="s">
        <v>255</v>
      </c>
      <c r="D15" s="139" t="s">
        <v>256</v>
      </c>
      <c r="E15" s="134"/>
    </row>
    <row r="16" spans="1:5" ht="15" customHeight="1" x14ac:dyDescent="0.2">
      <c r="A16" s="251" t="s">
        <v>257</v>
      </c>
      <c r="B16" s="244" t="s">
        <v>258</v>
      </c>
      <c r="C16" s="132" t="s">
        <v>175</v>
      </c>
      <c r="D16" s="140" t="s">
        <v>259</v>
      </c>
      <c r="E16" s="141" t="s">
        <v>260</v>
      </c>
    </row>
    <row r="17" spans="1:5" ht="15.75" customHeight="1" x14ac:dyDescent="0.2">
      <c r="A17" s="247"/>
      <c r="B17" s="245"/>
      <c r="C17" s="125" t="s">
        <v>261</v>
      </c>
      <c r="D17" s="126" t="s">
        <v>262</v>
      </c>
      <c r="E17" s="141" t="s">
        <v>260</v>
      </c>
    </row>
    <row r="18" spans="1:5" ht="15" customHeight="1" x14ac:dyDescent="0.2">
      <c r="A18" s="247"/>
      <c r="B18" s="242" t="s">
        <v>263</v>
      </c>
      <c r="C18" s="119" t="s">
        <v>261</v>
      </c>
      <c r="D18" s="120" t="s">
        <v>262</v>
      </c>
      <c r="E18" s="141" t="s">
        <v>264</v>
      </c>
    </row>
    <row r="19" spans="1:5" ht="15.75" customHeight="1" x14ac:dyDescent="0.2">
      <c r="A19" s="248"/>
      <c r="B19" s="243"/>
      <c r="C19" s="125" t="s">
        <v>265</v>
      </c>
      <c r="D19" s="142" t="s">
        <v>266</v>
      </c>
      <c r="E19" s="141" t="s">
        <v>267</v>
      </c>
    </row>
    <row r="20" spans="1:5" ht="15" customHeight="1" x14ac:dyDescent="0.2">
      <c r="A20" s="249" t="s">
        <v>14</v>
      </c>
      <c r="B20" s="253" t="s">
        <v>268</v>
      </c>
      <c r="C20" s="143" t="s">
        <v>188</v>
      </c>
      <c r="D20" s="144" t="s">
        <v>269</v>
      </c>
    </row>
    <row r="21" spans="1:5" ht="15" customHeight="1" x14ac:dyDescent="0.2">
      <c r="A21" s="247"/>
      <c r="B21" s="247"/>
      <c r="C21" s="145" t="s">
        <v>195</v>
      </c>
      <c r="D21" s="146" t="s">
        <v>235</v>
      </c>
    </row>
    <row r="22" spans="1:5" ht="15" customHeight="1" x14ac:dyDescent="0.2">
      <c r="A22" s="247"/>
      <c r="B22" s="247"/>
      <c r="C22" s="145" t="s">
        <v>270</v>
      </c>
      <c r="D22" s="147" t="s">
        <v>271</v>
      </c>
    </row>
    <row r="23" spans="1:5" ht="15" customHeight="1" x14ac:dyDescent="0.2">
      <c r="A23" s="247"/>
      <c r="B23" s="247"/>
      <c r="C23" s="148" t="s">
        <v>272</v>
      </c>
      <c r="D23" s="149" t="s">
        <v>272</v>
      </c>
    </row>
    <row r="24" spans="1:5" ht="15.75" customHeight="1" x14ac:dyDescent="0.2">
      <c r="A24" s="247"/>
      <c r="B24" s="250"/>
      <c r="C24" s="150" t="s">
        <v>273</v>
      </c>
      <c r="D24" s="151" t="s">
        <v>274</v>
      </c>
    </row>
    <row r="25" spans="1:5" ht="15" customHeight="1" x14ac:dyDescent="0.2">
      <c r="A25" s="247"/>
      <c r="B25" s="242" t="s">
        <v>275</v>
      </c>
      <c r="C25" s="152" t="s">
        <v>191</v>
      </c>
      <c r="D25" s="153" t="s">
        <v>276</v>
      </c>
    </row>
    <row r="26" spans="1:5" ht="15.75" customHeight="1" x14ac:dyDescent="0.2">
      <c r="A26" s="250"/>
      <c r="B26" s="243"/>
      <c r="C26" s="154" t="s">
        <v>196</v>
      </c>
      <c r="D26" s="155" t="s">
        <v>277</v>
      </c>
    </row>
    <row r="27" spans="1:5" ht="15" customHeight="1" x14ac:dyDescent="0.2">
      <c r="D27" s="156"/>
    </row>
    <row r="28" spans="1:5" ht="15" customHeight="1" x14ac:dyDescent="0.2">
      <c r="D28" s="156"/>
    </row>
    <row r="29" spans="1:5" ht="15" customHeight="1" x14ac:dyDescent="0.2">
      <c r="D29" s="156"/>
    </row>
  </sheetData>
  <mergeCells count="10">
    <mergeCell ref="C1:D1"/>
    <mergeCell ref="B18:B19"/>
    <mergeCell ref="B20:B24"/>
    <mergeCell ref="B9:B15"/>
    <mergeCell ref="B2:B7"/>
    <mergeCell ref="B25:B26"/>
    <mergeCell ref="B16:B17"/>
    <mergeCell ref="A2:A15"/>
    <mergeCell ref="A20:A26"/>
    <mergeCell ref="A16:A19"/>
  </mergeCells>
  <hyperlinks>
    <hyperlink ref="D2" r:id="rId1" display="Lundaev, V., Solomon, A. A., Le, T., Lohrmann, A., &amp; Breyer, C. (2023). Review of critical materials for the energy transition, an analysis of global resources and production databases and the state of material circularity. Minerals Engineering, 203, 108282. https://doi.org/10.1016/j.mineng.2023.108282" xr:uid="{00000000-0004-0000-1000-000000000000}"/>
    <hyperlink ref="D4" r:id="rId2" display="Historical Statistics for Mineral and Material Commodities in the United States | U.S. Geological Survey. (s. d.). Consulté 30 mai 2024, à l’adresse https://www.usgs.gov/centers/national-minerals-information-center/historical-statistics-mineral-and-material-commodities" xr:uid="{00000000-0004-0000-1000-000001000000}"/>
    <hyperlink ref="D5" r:id="rId3" xr:uid="{00000000-0004-0000-1000-000002000000}"/>
    <hyperlink ref="D7" r:id="rId4" xr:uid="{00000000-0004-0000-1000-000003000000}"/>
    <hyperlink ref="D9" r:id="rId5" xr:uid="{00000000-0004-0000-1000-000004000000}"/>
    <hyperlink ref="D11" r:id="rId6" xr:uid="{00000000-0004-0000-1000-000005000000}"/>
    <hyperlink ref="D12" r:id="rId7" xr:uid="{00000000-0004-0000-1000-000006000000}"/>
    <hyperlink ref="D13" r:id="rId8" display="Lundaev, V., Solomon, A. A., Le, T., Lohrmann, A., &amp; Breyer, C. (2023). Review of critical materials for the energy transition, an analysis of global resources and production databases and the state of material circularity. Minerals Engineering, 203, 108282. https://doi.org/10.1016/j.mineng.2023.108282" xr:uid="{00000000-0004-0000-1000-000007000000}"/>
    <hyperlink ref="D14" r:id="rId9" display="Stiftner, R., Weber, L., &amp; Rechberger, H. (2024). Methodology for a better estimation of the reserves and resources of minor metals exemplified by selenium in different copper deposit types. Mineral Economics, 37(3), 413‑432. https://doi.org/10.1007/s13563-023-00384-0" xr:uid="{00000000-0004-0000-1000-000008000000}"/>
    <hyperlink ref="D15" r:id="rId10" xr:uid="{00000000-0004-0000-1000-000009000000}"/>
    <hyperlink ref="D16" r:id="rId11" xr:uid="{00000000-0004-0000-1000-00000A000000}"/>
    <hyperlink ref="D17" r:id="rId12" xr:uid="{00000000-0004-0000-1000-00000B000000}"/>
    <hyperlink ref="D18" r:id="rId13" xr:uid="{00000000-0004-0000-1000-00000C000000}"/>
    <hyperlink ref="D19" r:id="rId14" display="Union européenne. (2023). Règlement (UE) 2023/1542 du Parlement européen et du Conseil du 12 juillet 2023 relatif aux batteries et aux déchets de batteries, modifiant la directive 2008/98/CE et le règlement (UE) 2019/1020, et abrogeant la directive 2006/66/CE (Texte présentant de l'intérêt pour l'EEE). Journal officiel de l’Union européenne, L191, 1–117. http://data.europa.eu/eli/reg/2023/1542/oj" xr:uid="{00000000-0004-0000-1000-00000D000000}"/>
    <hyperlink ref="D25" r:id="rId15" display="Charpentier Poncelet, A., Helbig, C., Loubet, P., Beylot, A., Muller, S., Villeneuve, J., Laratte, B., Thorenz, A., Tuma, A., &amp; Sonnemann, G. (2022). Losses and lifetimes of metals in the economy. Nature Sustainability, 5(8), 717‑726. https://doi.org/10.1038/s41893-022-00895-8" xr:uid="{00000000-0004-0000-1000-00000E000000}"/>
    <hyperlink ref="D26" r:id="rId16" display="Nassar, N. T., Lederer, G. W., Brainard, J. L., Padilla, A. J., &amp; Lessard, J. D. (2022). Rock-to-Metal Ratio : A Foundational Metric for Understanding Mine Wastes. Environmental Science &amp; Technology, 56(10), 6710‑6721. https://doi.org/10.1021/acs.est.1c07875" xr:uid="{00000000-0004-0000-1000-00000F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sheetPr>
  <dimension ref="A1:HY70"/>
  <sheetViews>
    <sheetView zoomScale="88" zoomScaleNormal="88" workbookViewId="0">
      <pane xSplit="2" ySplit="2" topLeftCell="HL3" activePane="bottomRight" state="frozen"/>
      <selection pane="topRight" activeCell="FL1" sqref="FL1"/>
      <selection pane="bottomLeft" activeCell="A3" sqref="A3"/>
      <selection pane="bottomRight" activeCell="HX18" sqref="HX18"/>
    </sheetView>
  </sheetViews>
  <sheetFormatPr baseColWidth="10" defaultColWidth="10.6640625" defaultRowHeight="15" x14ac:dyDescent="0.2"/>
  <cols>
    <col min="1" max="1" width="31" customWidth="1"/>
    <col min="2" max="2" width="13.6640625" customWidth="1"/>
    <col min="8" max="8" width="23.33203125" customWidth="1"/>
    <col min="9" max="9" width="19.1640625" customWidth="1"/>
    <col min="10" max="11" width="20.6640625" customWidth="1"/>
    <col min="12" max="12" width="22" customWidth="1"/>
    <col min="13" max="13" width="18.33203125" customWidth="1"/>
    <col min="14" max="14" width="16.1640625" customWidth="1"/>
    <col min="16" max="16" width="14.1640625" customWidth="1"/>
    <col min="95" max="95" width="14.33203125" customWidth="1"/>
    <col min="97" max="97" width="13.33203125" customWidth="1"/>
    <col min="108" max="110" width="15" customWidth="1"/>
    <col min="111" max="111" width="12.83203125" customWidth="1"/>
    <col min="112" max="112" width="13.5" customWidth="1"/>
    <col min="228" max="228" width="10.83203125" style="62" customWidth="1"/>
    <col min="229" max="229" width="15.5" customWidth="1"/>
    <col min="231" max="231" width="13.83203125" customWidth="1"/>
    <col min="232" max="232" width="18.33203125" style="16" customWidth="1"/>
    <col min="233" max="233" width="17.1640625" customWidth="1"/>
  </cols>
  <sheetData>
    <row r="1" spans="1:233" ht="15" customHeight="1" x14ac:dyDescent="0.2">
      <c r="C1" s="260" t="s">
        <v>278</v>
      </c>
      <c r="D1" s="259"/>
      <c r="E1" s="259"/>
      <c r="F1" s="259"/>
      <c r="G1" s="259"/>
      <c r="H1" s="259"/>
      <c r="I1" s="259"/>
      <c r="J1" s="259"/>
      <c r="K1" s="259"/>
      <c r="L1" s="259"/>
      <c r="M1" s="259"/>
      <c r="N1" s="259"/>
      <c r="O1" s="259"/>
      <c r="P1" s="259"/>
      <c r="Q1" s="259"/>
      <c r="R1" s="259"/>
      <c r="S1" s="259"/>
      <c r="T1" s="259"/>
      <c r="U1" s="259"/>
      <c r="V1" s="259"/>
      <c r="W1" s="259"/>
      <c r="X1" s="259"/>
      <c r="Y1" s="259"/>
      <c r="Z1" s="259"/>
      <c r="AA1" s="259"/>
      <c r="AB1" s="259"/>
      <c r="AC1" s="259"/>
      <c r="AD1" s="259"/>
      <c r="AE1" s="259"/>
      <c r="AF1" s="259"/>
      <c r="AG1" s="259"/>
      <c r="AH1" s="259"/>
      <c r="AI1" s="259"/>
      <c r="AJ1" s="259"/>
      <c r="AK1" s="259"/>
      <c r="AL1" s="259"/>
      <c r="AM1" s="259"/>
      <c r="AN1" s="259"/>
      <c r="AO1" s="259"/>
      <c r="AP1" s="259"/>
      <c r="AQ1" s="259"/>
      <c r="AR1" s="259"/>
      <c r="AS1" s="259"/>
      <c r="AT1" s="259"/>
      <c r="AU1" s="259"/>
      <c r="AV1" s="259"/>
      <c r="AW1" s="259"/>
      <c r="AX1" s="259"/>
      <c r="AY1" s="259"/>
      <c r="AZ1" s="259"/>
      <c r="BA1" s="259"/>
      <c r="BB1" s="259"/>
      <c r="BC1" s="259"/>
      <c r="BD1" s="259"/>
      <c r="BE1" s="259"/>
      <c r="BF1" s="259"/>
      <c r="BG1" s="259"/>
      <c r="BH1" s="259"/>
      <c r="BI1" s="259"/>
      <c r="BJ1" s="259"/>
      <c r="BK1" s="259"/>
      <c r="BL1" s="259"/>
      <c r="BM1" s="259"/>
      <c r="BN1" s="259"/>
      <c r="BO1" s="259"/>
      <c r="BP1" s="259"/>
      <c r="BQ1" s="259"/>
      <c r="BR1" s="259"/>
      <c r="BS1" s="259"/>
      <c r="BT1" s="259"/>
      <c r="BU1" s="259"/>
      <c r="BV1" s="259"/>
      <c r="BW1" s="259"/>
      <c r="BX1" s="259"/>
      <c r="BY1" s="259"/>
      <c r="BZ1" s="259"/>
      <c r="CA1" s="259"/>
      <c r="CB1" s="259"/>
      <c r="CC1" s="259"/>
      <c r="CD1" s="259"/>
      <c r="CE1" s="259"/>
      <c r="CF1" s="259"/>
      <c r="CG1" s="259"/>
      <c r="CH1" s="259"/>
      <c r="CI1" s="259"/>
      <c r="CJ1" s="259"/>
      <c r="CK1" s="259"/>
      <c r="CL1" s="259"/>
      <c r="CM1" s="259"/>
      <c r="CN1" s="259"/>
      <c r="CO1" s="259"/>
      <c r="CP1" s="259"/>
      <c r="CQ1" s="259"/>
      <c r="CR1" s="259"/>
      <c r="CS1" s="259"/>
      <c r="CT1" s="259"/>
      <c r="CU1" s="259"/>
      <c r="CV1" s="259"/>
      <c r="CW1" s="259"/>
      <c r="CX1" s="259"/>
      <c r="CY1" s="259"/>
      <c r="CZ1" s="259"/>
      <c r="DA1" s="259"/>
      <c r="DB1" s="259"/>
      <c r="DC1" s="259"/>
      <c r="DD1" s="259"/>
      <c r="DE1" s="259"/>
      <c r="DF1" s="259"/>
      <c r="DG1" s="224"/>
      <c r="DJ1" s="258" t="s">
        <v>279</v>
      </c>
      <c r="DK1" s="259"/>
      <c r="DL1" s="259"/>
      <c r="DM1" s="259"/>
      <c r="DN1" s="259"/>
      <c r="DO1" s="259"/>
      <c r="DP1" s="259"/>
      <c r="DQ1" s="259"/>
      <c r="DR1" s="259"/>
      <c r="DS1" s="259"/>
      <c r="DT1" s="259"/>
      <c r="DU1" s="259"/>
      <c r="DV1" s="259"/>
      <c r="DW1" s="259"/>
      <c r="DX1" s="259"/>
      <c r="DY1" s="259"/>
      <c r="DZ1" s="259"/>
      <c r="EA1" s="259"/>
      <c r="EB1" s="259"/>
      <c r="EC1" s="259"/>
      <c r="ED1" s="259"/>
      <c r="EE1" s="259"/>
      <c r="EF1" s="259"/>
      <c r="EG1" s="259"/>
      <c r="EH1" s="259"/>
      <c r="EI1" s="259"/>
      <c r="EJ1" s="259"/>
      <c r="EK1" s="259"/>
      <c r="EL1" s="259"/>
      <c r="EM1" s="259"/>
      <c r="EN1" s="259"/>
      <c r="EO1" s="259"/>
      <c r="EP1" s="259"/>
      <c r="EQ1" s="259"/>
      <c r="ER1" s="259"/>
      <c r="ES1" s="259"/>
      <c r="ET1" s="259"/>
      <c r="EU1" s="259"/>
      <c r="EV1" s="259"/>
      <c r="EW1" s="259"/>
      <c r="EX1" s="259"/>
      <c r="EY1" s="259"/>
      <c r="EZ1" s="259"/>
      <c r="FA1" s="259"/>
      <c r="FB1" s="259"/>
      <c r="FC1" s="259"/>
      <c r="FD1" s="259"/>
      <c r="FE1" s="259"/>
      <c r="FF1" s="259"/>
      <c r="FG1" s="259"/>
      <c r="FH1" s="259"/>
      <c r="FI1" s="259"/>
      <c r="FJ1" s="259"/>
      <c r="FK1" s="259"/>
      <c r="FL1" s="259"/>
      <c r="FM1" s="259"/>
      <c r="FN1" s="259"/>
      <c r="FO1" s="259"/>
      <c r="FP1" s="259"/>
      <c r="FQ1" s="259"/>
      <c r="FR1" s="259"/>
      <c r="FS1" s="259"/>
      <c r="FT1" s="259"/>
      <c r="FU1" s="259"/>
      <c r="FV1" s="259"/>
      <c r="FW1" s="259"/>
      <c r="FX1" s="259"/>
      <c r="FY1" s="259"/>
      <c r="FZ1" s="259"/>
      <c r="GA1" s="259"/>
      <c r="GB1" s="259"/>
      <c r="GC1" s="259"/>
      <c r="GD1" s="259"/>
      <c r="GE1" s="259"/>
      <c r="GF1" s="259"/>
      <c r="GG1" s="259"/>
      <c r="GH1" s="259"/>
      <c r="GI1" s="259"/>
      <c r="GJ1" s="259"/>
      <c r="GK1" s="259"/>
      <c r="GL1" s="259"/>
      <c r="GM1" s="259"/>
      <c r="GN1" s="259"/>
      <c r="GO1" s="259"/>
      <c r="GP1" s="259"/>
      <c r="GQ1" s="259"/>
      <c r="GR1" s="259"/>
      <c r="GS1" s="259"/>
      <c r="GT1" s="259"/>
      <c r="GU1" s="259"/>
      <c r="GV1" s="259"/>
      <c r="GW1" s="259"/>
      <c r="GX1" s="259"/>
      <c r="GY1" s="259"/>
      <c r="GZ1" s="259"/>
      <c r="HA1" s="259"/>
      <c r="HB1" s="259"/>
      <c r="HC1" s="259"/>
      <c r="HD1" s="259"/>
      <c r="HE1" s="259"/>
      <c r="HF1" s="259"/>
      <c r="HG1" s="259"/>
      <c r="HH1" s="259"/>
      <c r="HI1" s="259"/>
      <c r="HJ1" s="259"/>
      <c r="HK1" s="259"/>
      <c r="HL1" s="259"/>
      <c r="HM1" s="259"/>
      <c r="HN1" s="224"/>
      <c r="HP1" s="262" t="s">
        <v>280</v>
      </c>
      <c r="HQ1" s="259"/>
      <c r="HR1" s="224"/>
      <c r="HS1" s="261" t="s">
        <v>281</v>
      </c>
      <c r="HT1" s="259"/>
      <c r="HU1" s="224"/>
      <c r="HW1" s="257" t="s">
        <v>119</v>
      </c>
      <c r="HX1" s="266" t="s">
        <v>125</v>
      </c>
      <c r="HY1" s="257" t="s">
        <v>126</v>
      </c>
    </row>
    <row r="2" spans="1:233" ht="15" customHeight="1" x14ac:dyDescent="0.2">
      <c r="A2" s="158" t="s">
        <v>123</v>
      </c>
      <c r="B2" s="159" t="s">
        <v>119</v>
      </c>
      <c r="C2" s="160">
        <v>1913</v>
      </c>
      <c r="D2" s="160">
        <v>1914</v>
      </c>
      <c r="E2" s="160">
        <v>1915</v>
      </c>
      <c r="F2" s="160">
        <v>1916</v>
      </c>
      <c r="G2" s="160">
        <v>1917</v>
      </c>
      <c r="H2" s="160">
        <v>1918</v>
      </c>
      <c r="I2" s="160">
        <v>1919</v>
      </c>
      <c r="J2" s="160">
        <v>1920</v>
      </c>
      <c r="K2" s="160">
        <v>1921</v>
      </c>
      <c r="L2" s="160">
        <v>1922</v>
      </c>
      <c r="M2" s="160">
        <v>1923</v>
      </c>
      <c r="N2" s="160">
        <v>1924</v>
      </c>
      <c r="O2" s="160">
        <v>1925</v>
      </c>
      <c r="P2" s="160">
        <v>1926</v>
      </c>
      <c r="Q2" s="160">
        <v>1927</v>
      </c>
      <c r="R2" s="160">
        <v>1928</v>
      </c>
      <c r="S2" s="160">
        <v>1929</v>
      </c>
      <c r="T2" s="160">
        <v>1930</v>
      </c>
      <c r="U2" s="160">
        <v>1931</v>
      </c>
      <c r="V2" s="160">
        <v>1932</v>
      </c>
      <c r="W2" s="160">
        <v>1933</v>
      </c>
      <c r="X2" s="160">
        <v>1934</v>
      </c>
      <c r="Y2" s="160">
        <v>1935</v>
      </c>
      <c r="Z2" s="160">
        <v>1936</v>
      </c>
      <c r="AA2" s="160">
        <v>1937</v>
      </c>
      <c r="AB2" s="160">
        <v>1938</v>
      </c>
      <c r="AC2" s="160">
        <v>1939</v>
      </c>
      <c r="AD2" s="160">
        <v>1940</v>
      </c>
      <c r="AE2" s="160">
        <v>1941</v>
      </c>
      <c r="AF2" s="160">
        <v>1942</v>
      </c>
      <c r="AG2" s="160">
        <v>1943</v>
      </c>
      <c r="AH2" s="160">
        <v>1944</v>
      </c>
      <c r="AI2" s="160">
        <v>1945</v>
      </c>
      <c r="AJ2" s="160">
        <v>1946</v>
      </c>
      <c r="AK2" s="160">
        <v>1947</v>
      </c>
      <c r="AL2" s="160">
        <v>1948</v>
      </c>
      <c r="AM2" s="160">
        <v>1949</v>
      </c>
      <c r="AN2" s="160">
        <v>1950</v>
      </c>
      <c r="AO2" s="160">
        <v>1951</v>
      </c>
      <c r="AP2" s="160">
        <v>1952</v>
      </c>
      <c r="AQ2" s="160">
        <v>1953</v>
      </c>
      <c r="AR2" s="160">
        <v>1954</v>
      </c>
      <c r="AS2" s="160">
        <v>1955</v>
      </c>
      <c r="AT2" s="160">
        <v>1956</v>
      </c>
      <c r="AU2" s="160">
        <v>1957</v>
      </c>
      <c r="AV2" s="160">
        <v>1958</v>
      </c>
      <c r="AW2" s="160">
        <v>1959</v>
      </c>
      <c r="AX2" s="160">
        <v>1960</v>
      </c>
      <c r="AY2" s="160">
        <v>1961</v>
      </c>
      <c r="AZ2" s="160">
        <v>1962</v>
      </c>
      <c r="BA2" s="160">
        <v>1963</v>
      </c>
      <c r="BB2" s="160">
        <v>1964</v>
      </c>
      <c r="BC2" s="160">
        <v>1965</v>
      </c>
      <c r="BD2" s="160">
        <v>1966</v>
      </c>
      <c r="BE2" s="160">
        <v>1967</v>
      </c>
      <c r="BF2" s="160">
        <v>1968</v>
      </c>
      <c r="BG2" s="160">
        <v>1969</v>
      </c>
      <c r="BH2" s="160">
        <v>1970</v>
      </c>
      <c r="BI2" s="160">
        <v>1971</v>
      </c>
      <c r="BJ2" s="160">
        <v>1972</v>
      </c>
      <c r="BK2" s="160">
        <v>1973</v>
      </c>
      <c r="BL2" s="160">
        <v>1974</v>
      </c>
      <c r="BM2" s="160">
        <v>1975</v>
      </c>
      <c r="BN2" s="160">
        <v>1976</v>
      </c>
      <c r="BO2" s="160">
        <v>1977</v>
      </c>
      <c r="BP2" s="160">
        <v>1978</v>
      </c>
      <c r="BQ2" s="160">
        <v>1979</v>
      </c>
      <c r="BR2" s="160">
        <v>1980</v>
      </c>
      <c r="BS2" s="160">
        <v>1981</v>
      </c>
      <c r="BT2" s="160">
        <v>1982</v>
      </c>
      <c r="BU2" s="160">
        <v>1983</v>
      </c>
      <c r="BV2" s="160">
        <v>1984</v>
      </c>
      <c r="BW2" s="160">
        <v>1985</v>
      </c>
      <c r="BX2" s="160">
        <v>1986</v>
      </c>
      <c r="BY2" s="160">
        <v>1987</v>
      </c>
      <c r="BZ2" s="160">
        <v>1988</v>
      </c>
      <c r="CA2" s="160">
        <v>1989</v>
      </c>
      <c r="CB2" s="160">
        <v>1990</v>
      </c>
      <c r="CC2" s="160">
        <v>1991</v>
      </c>
      <c r="CD2" s="160">
        <v>1992</v>
      </c>
      <c r="CE2" s="160">
        <v>1993</v>
      </c>
      <c r="CF2" s="160">
        <v>1994</v>
      </c>
      <c r="CG2" s="160">
        <v>1995</v>
      </c>
      <c r="CH2" s="160">
        <v>1996</v>
      </c>
      <c r="CI2" s="160">
        <v>1997</v>
      </c>
      <c r="CJ2" s="160">
        <v>1998</v>
      </c>
      <c r="CK2" s="160">
        <v>1999</v>
      </c>
      <c r="CL2" s="160">
        <v>2000</v>
      </c>
      <c r="CM2" s="160">
        <v>2001</v>
      </c>
      <c r="CN2" s="160">
        <v>2002</v>
      </c>
      <c r="CO2" s="160">
        <v>2003</v>
      </c>
      <c r="CP2" s="160">
        <v>2004</v>
      </c>
      <c r="CQ2" s="160">
        <v>2005</v>
      </c>
      <c r="CR2" s="160">
        <v>2006</v>
      </c>
      <c r="CS2" s="160">
        <v>2007</v>
      </c>
      <c r="CT2" s="160">
        <v>2008</v>
      </c>
      <c r="CU2" s="160">
        <v>2009</v>
      </c>
      <c r="CV2" s="160">
        <v>2010</v>
      </c>
      <c r="CW2" s="160">
        <v>2011</v>
      </c>
      <c r="CX2" s="160">
        <v>2012</v>
      </c>
      <c r="CY2" s="160">
        <v>2013</v>
      </c>
      <c r="CZ2" s="160">
        <v>2014</v>
      </c>
      <c r="DA2" s="160">
        <v>2015</v>
      </c>
      <c r="DB2" s="160">
        <v>2016</v>
      </c>
      <c r="DC2" s="160">
        <v>2017</v>
      </c>
      <c r="DD2" s="160">
        <v>2018</v>
      </c>
      <c r="DE2" s="160">
        <v>2019</v>
      </c>
      <c r="DF2" s="160">
        <v>2020</v>
      </c>
      <c r="DG2" s="160">
        <v>2021</v>
      </c>
      <c r="DH2" s="161">
        <v>2022</v>
      </c>
      <c r="DJ2" s="160">
        <v>1913</v>
      </c>
      <c r="DK2" s="160">
        <v>1914</v>
      </c>
      <c r="DL2" s="160">
        <v>1915</v>
      </c>
      <c r="DM2" s="160">
        <v>1916</v>
      </c>
      <c r="DN2" s="160">
        <v>1917</v>
      </c>
      <c r="DO2" s="160">
        <v>1918</v>
      </c>
      <c r="DP2" s="160">
        <v>1919</v>
      </c>
      <c r="DQ2" s="160">
        <v>1920</v>
      </c>
      <c r="DR2" s="160">
        <v>1921</v>
      </c>
      <c r="DS2" s="160">
        <v>1922</v>
      </c>
      <c r="DT2" s="160">
        <v>1923</v>
      </c>
      <c r="DU2" s="160">
        <v>1924</v>
      </c>
      <c r="DV2" s="160">
        <v>1925</v>
      </c>
      <c r="DW2" s="160">
        <v>1926</v>
      </c>
      <c r="DX2" s="160">
        <v>1927</v>
      </c>
      <c r="DY2" s="160">
        <v>1928</v>
      </c>
      <c r="DZ2" s="160">
        <v>1929</v>
      </c>
      <c r="EA2" s="160">
        <v>1930</v>
      </c>
      <c r="EB2" s="160">
        <v>1931</v>
      </c>
      <c r="EC2" s="160">
        <v>1932</v>
      </c>
      <c r="ED2" s="160">
        <v>1933</v>
      </c>
      <c r="EE2" s="160">
        <v>1934</v>
      </c>
      <c r="EF2" s="160">
        <v>1935</v>
      </c>
      <c r="EG2" s="160">
        <v>1936</v>
      </c>
      <c r="EH2" s="160">
        <v>1937</v>
      </c>
      <c r="EI2" s="160">
        <v>1938</v>
      </c>
      <c r="EJ2" s="160">
        <v>1939</v>
      </c>
      <c r="EK2" s="160">
        <v>1940</v>
      </c>
      <c r="EL2" s="160">
        <v>1941</v>
      </c>
      <c r="EM2" s="160">
        <v>1942</v>
      </c>
      <c r="EN2" s="160">
        <v>1943</v>
      </c>
      <c r="EO2" s="160">
        <v>1944</v>
      </c>
      <c r="EP2" s="160">
        <v>1945</v>
      </c>
      <c r="EQ2" s="160">
        <v>1946</v>
      </c>
      <c r="ER2" s="160">
        <v>1947</v>
      </c>
      <c r="ES2" s="160">
        <v>1948</v>
      </c>
      <c r="ET2" s="160">
        <v>1949</v>
      </c>
      <c r="EU2" s="160">
        <v>1950</v>
      </c>
      <c r="EV2" s="160">
        <v>1951</v>
      </c>
      <c r="EW2" s="160">
        <v>1952</v>
      </c>
      <c r="EX2" s="160">
        <v>1953</v>
      </c>
      <c r="EY2" s="160">
        <v>1954</v>
      </c>
      <c r="EZ2" s="160">
        <v>1955</v>
      </c>
      <c r="FA2" s="160">
        <v>1956</v>
      </c>
      <c r="FB2" s="160">
        <v>1957</v>
      </c>
      <c r="FC2" s="160">
        <v>1958</v>
      </c>
      <c r="FD2" s="160">
        <v>1959</v>
      </c>
      <c r="FE2" s="160">
        <v>1960</v>
      </c>
      <c r="FF2" s="160">
        <v>1961</v>
      </c>
      <c r="FG2" s="160">
        <v>1962</v>
      </c>
      <c r="FH2" s="160">
        <v>1963</v>
      </c>
      <c r="FI2" s="160">
        <v>1964</v>
      </c>
      <c r="FJ2" s="160">
        <v>1965</v>
      </c>
      <c r="FK2" s="160">
        <v>1966</v>
      </c>
      <c r="FL2" s="160">
        <v>1967</v>
      </c>
      <c r="FM2" s="160">
        <v>1968</v>
      </c>
      <c r="FN2" s="160">
        <v>1969</v>
      </c>
      <c r="FO2" s="160">
        <v>1970</v>
      </c>
      <c r="FP2" s="160">
        <v>1971</v>
      </c>
      <c r="FQ2" s="160">
        <v>1972</v>
      </c>
      <c r="FR2" s="160">
        <v>1973</v>
      </c>
      <c r="FS2" s="160">
        <v>1974</v>
      </c>
      <c r="FT2" s="160">
        <v>1975</v>
      </c>
      <c r="FU2" s="160">
        <v>1976</v>
      </c>
      <c r="FV2" s="160">
        <v>1977</v>
      </c>
      <c r="FW2" s="160">
        <v>1978</v>
      </c>
      <c r="FX2" s="160">
        <v>1979</v>
      </c>
      <c r="FY2" s="160">
        <v>1980</v>
      </c>
      <c r="FZ2" s="160">
        <v>1981</v>
      </c>
      <c r="GA2" s="160">
        <v>1982</v>
      </c>
      <c r="GB2" s="160">
        <v>1983</v>
      </c>
      <c r="GC2" s="160">
        <v>1984</v>
      </c>
      <c r="GD2" s="160">
        <v>1985</v>
      </c>
      <c r="GE2" s="160">
        <v>1986</v>
      </c>
      <c r="GF2" s="160">
        <v>1987</v>
      </c>
      <c r="GG2" s="160">
        <v>1988</v>
      </c>
      <c r="GH2" s="160">
        <v>1989</v>
      </c>
      <c r="GI2" s="160">
        <v>1990</v>
      </c>
      <c r="GJ2" s="160">
        <v>1991</v>
      </c>
      <c r="GK2" s="160">
        <v>1992</v>
      </c>
      <c r="GL2" s="160">
        <v>1993</v>
      </c>
      <c r="GM2" s="160">
        <v>1994</v>
      </c>
      <c r="GN2" s="160">
        <v>1995</v>
      </c>
      <c r="GO2" s="160">
        <v>1996</v>
      </c>
      <c r="GP2" s="160">
        <v>1997</v>
      </c>
      <c r="GQ2" s="160">
        <v>1998</v>
      </c>
      <c r="GR2" s="160">
        <v>1999</v>
      </c>
      <c r="GS2" s="160">
        <v>2000</v>
      </c>
      <c r="GT2" s="160">
        <v>2001</v>
      </c>
      <c r="GU2" s="160">
        <v>2002</v>
      </c>
      <c r="GV2" s="160">
        <v>2003</v>
      </c>
      <c r="GW2" s="160">
        <v>2004</v>
      </c>
      <c r="GX2" s="160">
        <v>2005</v>
      </c>
      <c r="GY2" s="160">
        <v>2006</v>
      </c>
      <c r="GZ2" s="160">
        <v>2007</v>
      </c>
      <c r="HA2" s="160">
        <v>2008</v>
      </c>
      <c r="HB2" s="160">
        <v>2009</v>
      </c>
      <c r="HC2" s="160">
        <v>2010</v>
      </c>
      <c r="HD2" s="160">
        <v>2011</v>
      </c>
      <c r="HE2" s="160">
        <v>2012</v>
      </c>
      <c r="HF2" s="160">
        <v>2013</v>
      </c>
      <c r="HG2" s="160">
        <v>2014</v>
      </c>
      <c r="HH2" s="160">
        <v>2015</v>
      </c>
      <c r="HI2" s="160">
        <v>2016</v>
      </c>
      <c r="HJ2" s="160">
        <v>2017</v>
      </c>
      <c r="HK2" s="160">
        <v>2018</v>
      </c>
      <c r="HL2" s="162">
        <v>2019</v>
      </c>
      <c r="HM2" s="162">
        <v>2020</v>
      </c>
      <c r="HN2" s="160">
        <v>2021</v>
      </c>
      <c r="HP2" s="163" t="s">
        <v>131</v>
      </c>
      <c r="HQ2" s="163" t="s">
        <v>147</v>
      </c>
      <c r="HR2" s="163" t="s">
        <v>134</v>
      </c>
      <c r="HS2" s="164" t="s">
        <v>131</v>
      </c>
      <c r="HT2" s="165" t="s">
        <v>147</v>
      </c>
      <c r="HU2" s="157" t="s">
        <v>134</v>
      </c>
      <c r="HW2" s="232"/>
      <c r="HX2" s="232"/>
      <c r="HY2" s="232"/>
    </row>
    <row r="3" spans="1:233" ht="15" customHeight="1" x14ac:dyDescent="0.2">
      <c r="A3" s="9" t="s">
        <v>132</v>
      </c>
      <c r="B3" s="58" t="s">
        <v>38</v>
      </c>
      <c r="C3" s="166">
        <v>80240.160000000003</v>
      </c>
      <c r="D3" s="166">
        <v>98700</v>
      </c>
      <c r="E3" s="166">
        <v>93306.08</v>
      </c>
      <c r="F3" s="166">
        <v>135133.6</v>
      </c>
      <c r="G3" s="166">
        <v>176509.76</v>
      </c>
      <c r="H3" s="166">
        <v>190078.56</v>
      </c>
      <c r="I3" s="166">
        <v>164640</v>
      </c>
      <c r="J3" s="166">
        <v>123200</v>
      </c>
      <c r="K3" s="166">
        <v>81760</v>
      </c>
      <c r="L3" s="166">
        <v>126560</v>
      </c>
      <c r="M3" s="166">
        <v>180320</v>
      </c>
      <c r="N3" s="166">
        <v>185920</v>
      </c>
      <c r="O3" s="166">
        <v>203840</v>
      </c>
      <c r="P3" s="166">
        <v>232960</v>
      </c>
      <c r="Q3" s="166">
        <v>245280</v>
      </c>
      <c r="R3" s="166">
        <v>267680</v>
      </c>
      <c r="S3" s="166">
        <v>299040</v>
      </c>
      <c r="T3" s="166">
        <v>293440</v>
      </c>
      <c r="U3" s="166">
        <v>243040</v>
      </c>
      <c r="V3" s="166">
        <v>168000</v>
      </c>
      <c r="W3" s="166">
        <v>156800</v>
      </c>
      <c r="X3" s="166">
        <v>187040</v>
      </c>
      <c r="Y3" s="166">
        <v>285600</v>
      </c>
      <c r="Z3" s="166">
        <v>392000</v>
      </c>
      <c r="AA3" s="166">
        <v>554400</v>
      </c>
      <c r="AB3" s="166">
        <v>647360</v>
      </c>
      <c r="AC3" s="166">
        <v>757120</v>
      </c>
      <c r="AD3" s="166">
        <v>865760</v>
      </c>
      <c r="AE3" s="166">
        <v>1127840</v>
      </c>
      <c r="AF3" s="166">
        <v>1544480</v>
      </c>
      <c r="AG3" s="166">
        <v>2160480</v>
      </c>
      <c r="AH3" s="166">
        <v>1884960</v>
      </c>
      <c r="AI3" s="166">
        <v>963200</v>
      </c>
      <c r="AJ3" s="166">
        <v>851200</v>
      </c>
      <c r="AK3" s="166">
        <v>1198400</v>
      </c>
      <c r="AL3" s="166">
        <v>1388800</v>
      </c>
      <c r="AM3" s="166">
        <v>1438080</v>
      </c>
      <c r="AN3" s="166">
        <v>1643040</v>
      </c>
      <c r="AO3" s="166">
        <v>1994720</v>
      </c>
      <c r="AP3" s="166">
        <v>2271360</v>
      </c>
      <c r="AQ3" s="166">
        <v>2714880</v>
      </c>
      <c r="AR3" s="166">
        <v>3050880</v>
      </c>
      <c r="AS3" s="166">
        <v>3472000</v>
      </c>
      <c r="AT3" s="166">
        <v>3696000</v>
      </c>
      <c r="AU3" s="166">
        <v>3696000</v>
      </c>
      <c r="AV3" s="166">
        <v>3920000</v>
      </c>
      <c r="AW3" s="166">
        <v>4480000</v>
      </c>
      <c r="AX3" s="166">
        <v>5040000</v>
      </c>
      <c r="AY3" s="166">
        <v>5152000</v>
      </c>
      <c r="AZ3" s="166">
        <v>5600000</v>
      </c>
      <c r="BA3" s="166">
        <v>6048000</v>
      </c>
      <c r="BB3" s="166">
        <v>6496000</v>
      </c>
      <c r="BC3" s="166">
        <v>6944000</v>
      </c>
      <c r="BD3" s="166">
        <v>7504000</v>
      </c>
      <c r="BE3" s="166">
        <v>8176000</v>
      </c>
      <c r="BF3" s="166">
        <v>8624000</v>
      </c>
      <c r="BG3" s="166">
        <v>9632000</v>
      </c>
      <c r="BH3" s="166">
        <v>9600000</v>
      </c>
      <c r="BI3" s="166">
        <v>10300000</v>
      </c>
      <c r="BJ3" s="166">
        <v>10800000</v>
      </c>
      <c r="BK3" s="166">
        <v>11800000</v>
      </c>
      <c r="BL3" s="166">
        <v>12700000</v>
      </c>
      <c r="BM3" s="166">
        <v>12700000</v>
      </c>
      <c r="BN3" s="166">
        <v>13100000</v>
      </c>
      <c r="BO3" s="166">
        <v>14200000</v>
      </c>
      <c r="BP3" s="166">
        <v>14700000</v>
      </c>
      <c r="BQ3" s="166">
        <v>15200000</v>
      </c>
      <c r="BR3" s="166">
        <v>16100000</v>
      </c>
      <c r="BS3" s="166">
        <v>15700000</v>
      </c>
      <c r="BT3" s="166">
        <v>13900000</v>
      </c>
      <c r="BU3" s="166">
        <v>14300000</v>
      </c>
      <c r="BV3" s="166">
        <v>15900000</v>
      </c>
      <c r="BW3" s="166">
        <v>15600000</v>
      </c>
      <c r="BX3" s="166">
        <v>15400000</v>
      </c>
      <c r="BY3" s="166">
        <v>16500000</v>
      </c>
      <c r="BZ3" s="166">
        <v>17500000</v>
      </c>
      <c r="CA3" s="166">
        <v>18000000</v>
      </c>
      <c r="CB3" s="166">
        <v>19300000</v>
      </c>
      <c r="CC3" s="166">
        <v>19600000</v>
      </c>
      <c r="CD3" s="166">
        <v>19500000</v>
      </c>
      <c r="CE3" s="166">
        <v>19700000</v>
      </c>
      <c r="CF3" s="166">
        <v>19100000</v>
      </c>
      <c r="CG3" s="166">
        <v>19400000</v>
      </c>
      <c r="CH3" s="166">
        <v>20700000</v>
      </c>
      <c r="CI3" s="166">
        <v>21400000</v>
      </c>
      <c r="CJ3" s="166">
        <v>22100000</v>
      </c>
      <c r="CK3" s="166">
        <v>23100000</v>
      </c>
      <c r="CL3" s="166">
        <v>24000000</v>
      </c>
      <c r="CM3" s="166">
        <v>24400000</v>
      </c>
      <c r="CN3" s="166">
        <v>25900000</v>
      </c>
      <c r="CO3" s="166">
        <v>27700000</v>
      </c>
      <c r="CP3" s="166">
        <v>29800000</v>
      </c>
      <c r="CQ3" s="166">
        <v>31900000</v>
      </c>
      <c r="CR3" s="166">
        <v>33700000</v>
      </c>
      <c r="CS3" s="166">
        <v>38000000</v>
      </c>
      <c r="CT3" s="166">
        <v>39000000</v>
      </c>
      <c r="CU3" s="166">
        <v>37300000</v>
      </c>
      <c r="CV3" s="166">
        <v>40800000</v>
      </c>
      <c r="CW3" s="166">
        <v>44400000</v>
      </c>
      <c r="CX3" s="166">
        <v>45900000</v>
      </c>
      <c r="CY3" s="166">
        <v>47600000</v>
      </c>
      <c r="CZ3" s="166">
        <v>50500000</v>
      </c>
      <c r="DA3" s="166">
        <v>57500000</v>
      </c>
      <c r="DB3" s="166">
        <v>58900000</v>
      </c>
      <c r="DC3" s="166">
        <v>59400000</v>
      </c>
      <c r="DD3" s="166">
        <v>63600000</v>
      </c>
      <c r="DE3" s="166">
        <v>63200000</v>
      </c>
      <c r="DF3" s="45">
        <v>65100000</v>
      </c>
      <c r="DG3" s="166">
        <v>68000000</v>
      </c>
      <c r="DH3" s="9"/>
      <c r="DJ3" s="9"/>
      <c r="DK3" s="61">
        <f t="shared" ref="DK3:EP3" si="0">(D3-C3)/C3</f>
        <v>0.23005736778191863</v>
      </c>
      <c r="DL3" s="61">
        <f t="shared" si="0"/>
        <v>-5.4649645390070903E-2</v>
      </c>
      <c r="DM3" s="61">
        <f t="shared" si="0"/>
        <v>0.44828289860639309</v>
      </c>
      <c r="DN3" s="61">
        <f t="shared" si="0"/>
        <v>0.30618706228502757</v>
      </c>
      <c r="DO3" s="61">
        <f t="shared" si="0"/>
        <v>7.6872802954352143E-2</v>
      </c>
      <c r="DP3" s="61">
        <f t="shared" si="0"/>
        <v>-0.13383182195824714</v>
      </c>
      <c r="DQ3" s="61">
        <f t="shared" si="0"/>
        <v>-0.25170068027210885</v>
      </c>
      <c r="DR3" s="61">
        <f t="shared" si="0"/>
        <v>-0.33636363636363636</v>
      </c>
      <c r="DS3" s="61">
        <f t="shared" si="0"/>
        <v>0.54794520547945202</v>
      </c>
      <c r="DT3" s="61">
        <f t="shared" si="0"/>
        <v>0.4247787610619469</v>
      </c>
      <c r="DU3" s="61">
        <f t="shared" si="0"/>
        <v>3.1055900621118012E-2</v>
      </c>
      <c r="DV3" s="61">
        <f t="shared" si="0"/>
        <v>9.6385542168674704E-2</v>
      </c>
      <c r="DW3" s="61">
        <f t="shared" si="0"/>
        <v>0.14285714285714285</v>
      </c>
      <c r="DX3" s="61">
        <f t="shared" si="0"/>
        <v>5.2884615384615384E-2</v>
      </c>
      <c r="DY3" s="61">
        <f t="shared" si="0"/>
        <v>9.1324200913242004E-2</v>
      </c>
      <c r="DZ3" s="61">
        <f t="shared" si="0"/>
        <v>0.11715481171548117</v>
      </c>
      <c r="EA3" s="61">
        <f t="shared" si="0"/>
        <v>-1.8726591760299626E-2</v>
      </c>
      <c r="EB3" s="61">
        <f t="shared" si="0"/>
        <v>-0.1717557251908397</v>
      </c>
      <c r="EC3" s="61">
        <f t="shared" si="0"/>
        <v>-0.30875576036866359</v>
      </c>
      <c r="ED3" s="61">
        <f t="shared" si="0"/>
        <v>-6.6666666666666666E-2</v>
      </c>
      <c r="EE3" s="61">
        <f t="shared" si="0"/>
        <v>0.19285714285714287</v>
      </c>
      <c r="EF3" s="61">
        <f t="shared" si="0"/>
        <v>0.52694610778443118</v>
      </c>
      <c r="EG3" s="61">
        <f t="shared" si="0"/>
        <v>0.37254901960784315</v>
      </c>
      <c r="EH3" s="61">
        <f t="shared" si="0"/>
        <v>0.41428571428571431</v>
      </c>
      <c r="EI3" s="61">
        <f t="shared" si="0"/>
        <v>0.16767676767676767</v>
      </c>
      <c r="EJ3" s="61">
        <f t="shared" si="0"/>
        <v>0.16955017301038061</v>
      </c>
      <c r="EK3" s="61">
        <f t="shared" si="0"/>
        <v>0.14349112426035504</v>
      </c>
      <c r="EL3" s="61">
        <f t="shared" si="0"/>
        <v>0.30271668822768433</v>
      </c>
      <c r="EM3" s="61">
        <f t="shared" si="0"/>
        <v>0.36941410129096325</v>
      </c>
      <c r="EN3" s="61">
        <f t="shared" si="0"/>
        <v>0.39883973894126179</v>
      </c>
      <c r="EO3" s="61">
        <f t="shared" si="0"/>
        <v>-0.12752721617418353</v>
      </c>
      <c r="EP3" s="61">
        <f t="shared" si="0"/>
        <v>-0.48900772430184197</v>
      </c>
      <c r="EQ3" s="61">
        <f t="shared" ref="EQ3:FV3" si="1">(AJ3-AI3)/AI3</f>
        <v>-0.11627906976744186</v>
      </c>
      <c r="ER3" s="61">
        <f t="shared" si="1"/>
        <v>0.40789473684210525</v>
      </c>
      <c r="ES3" s="61">
        <f t="shared" si="1"/>
        <v>0.15887850467289719</v>
      </c>
      <c r="ET3" s="61">
        <f t="shared" si="1"/>
        <v>3.5483870967741936E-2</v>
      </c>
      <c r="EU3" s="61">
        <f t="shared" si="1"/>
        <v>0.1425233644859813</v>
      </c>
      <c r="EV3" s="61">
        <f t="shared" si="1"/>
        <v>0.21404226312201771</v>
      </c>
      <c r="EW3" s="61">
        <f t="shared" si="1"/>
        <v>0.13868613138686131</v>
      </c>
      <c r="EX3" s="61">
        <f t="shared" si="1"/>
        <v>0.19526627218934911</v>
      </c>
      <c r="EY3" s="61">
        <f t="shared" si="1"/>
        <v>0.12376237623762376</v>
      </c>
      <c r="EZ3" s="61">
        <f t="shared" si="1"/>
        <v>0.13803230543318648</v>
      </c>
      <c r="FA3" s="61">
        <f t="shared" si="1"/>
        <v>6.4516129032258063E-2</v>
      </c>
      <c r="FB3" s="61">
        <f t="shared" si="1"/>
        <v>0</v>
      </c>
      <c r="FC3" s="61">
        <f t="shared" si="1"/>
        <v>6.0606060606060608E-2</v>
      </c>
      <c r="FD3" s="61">
        <f t="shared" si="1"/>
        <v>0.14285714285714285</v>
      </c>
      <c r="FE3" s="61">
        <f t="shared" si="1"/>
        <v>0.125</v>
      </c>
      <c r="FF3" s="61">
        <f t="shared" si="1"/>
        <v>2.2222222222222223E-2</v>
      </c>
      <c r="FG3" s="61">
        <f t="shared" si="1"/>
        <v>8.6956521739130432E-2</v>
      </c>
      <c r="FH3" s="61">
        <f t="shared" si="1"/>
        <v>0.08</v>
      </c>
      <c r="FI3" s="61">
        <f t="shared" si="1"/>
        <v>7.407407407407407E-2</v>
      </c>
      <c r="FJ3" s="61">
        <f t="shared" si="1"/>
        <v>6.8965517241379309E-2</v>
      </c>
      <c r="FK3" s="61">
        <f t="shared" si="1"/>
        <v>8.0645161290322578E-2</v>
      </c>
      <c r="FL3" s="61">
        <f t="shared" si="1"/>
        <v>8.9552238805970144E-2</v>
      </c>
      <c r="FM3" s="61">
        <f t="shared" si="1"/>
        <v>5.4794520547945202E-2</v>
      </c>
      <c r="FN3" s="61">
        <f t="shared" si="1"/>
        <v>0.11688311688311688</v>
      </c>
      <c r="FO3" s="61">
        <f t="shared" si="1"/>
        <v>-3.3222591362126247E-3</v>
      </c>
      <c r="FP3" s="61">
        <f t="shared" si="1"/>
        <v>7.2916666666666671E-2</v>
      </c>
      <c r="FQ3" s="61">
        <f t="shared" si="1"/>
        <v>4.8543689320388349E-2</v>
      </c>
      <c r="FR3" s="61">
        <f t="shared" si="1"/>
        <v>9.2592592592592587E-2</v>
      </c>
      <c r="FS3" s="61">
        <f t="shared" si="1"/>
        <v>7.6271186440677971E-2</v>
      </c>
      <c r="FT3" s="61">
        <f t="shared" si="1"/>
        <v>0</v>
      </c>
      <c r="FU3" s="61">
        <f t="shared" si="1"/>
        <v>3.1496062992125984E-2</v>
      </c>
      <c r="FV3" s="61">
        <f t="shared" si="1"/>
        <v>8.3969465648854963E-2</v>
      </c>
      <c r="FW3" s="61">
        <f t="shared" ref="FW3:HB3" si="2">(BP3-BO3)/BO3</f>
        <v>3.5211267605633804E-2</v>
      </c>
      <c r="FX3" s="61">
        <f t="shared" si="2"/>
        <v>3.4013605442176874E-2</v>
      </c>
      <c r="FY3" s="61">
        <f t="shared" si="2"/>
        <v>5.921052631578947E-2</v>
      </c>
      <c r="FZ3" s="61">
        <f t="shared" si="2"/>
        <v>-2.4844720496894408E-2</v>
      </c>
      <c r="GA3" s="61">
        <f t="shared" si="2"/>
        <v>-0.11464968152866242</v>
      </c>
      <c r="GB3" s="61">
        <f t="shared" si="2"/>
        <v>2.8776978417266189E-2</v>
      </c>
      <c r="GC3" s="61">
        <f t="shared" si="2"/>
        <v>0.11188811188811189</v>
      </c>
      <c r="GD3" s="61">
        <f t="shared" si="2"/>
        <v>-1.8867924528301886E-2</v>
      </c>
      <c r="GE3" s="61">
        <f t="shared" si="2"/>
        <v>-1.282051282051282E-2</v>
      </c>
      <c r="GF3" s="61">
        <f t="shared" si="2"/>
        <v>7.1428571428571425E-2</v>
      </c>
      <c r="GG3" s="61">
        <f t="shared" si="2"/>
        <v>6.0606060606060608E-2</v>
      </c>
      <c r="GH3" s="61">
        <f t="shared" si="2"/>
        <v>2.8571428571428571E-2</v>
      </c>
      <c r="GI3" s="61">
        <f t="shared" si="2"/>
        <v>7.2222222222222215E-2</v>
      </c>
      <c r="GJ3" s="61">
        <f t="shared" si="2"/>
        <v>1.5544041450777202E-2</v>
      </c>
      <c r="GK3" s="61">
        <f t="shared" si="2"/>
        <v>-5.1020408163265302E-3</v>
      </c>
      <c r="GL3" s="61">
        <f t="shared" si="2"/>
        <v>1.0256410256410256E-2</v>
      </c>
      <c r="GM3" s="61">
        <f t="shared" si="2"/>
        <v>-3.0456852791878174E-2</v>
      </c>
      <c r="GN3" s="61">
        <f t="shared" si="2"/>
        <v>1.5706806282722512E-2</v>
      </c>
      <c r="GO3" s="61">
        <f t="shared" si="2"/>
        <v>6.7010309278350513E-2</v>
      </c>
      <c r="GP3" s="61">
        <f t="shared" si="2"/>
        <v>3.3816425120772944E-2</v>
      </c>
      <c r="GQ3" s="61">
        <f t="shared" si="2"/>
        <v>3.2710280373831772E-2</v>
      </c>
      <c r="GR3" s="61">
        <f t="shared" si="2"/>
        <v>4.5248868778280542E-2</v>
      </c>
      <c r="GS3" s="61">
        <f t="shared" si="2"/>
        <v>3.896103896103896E-2</v>
      </c>
      <c r="GT3" s="61">
        <f t="shared" si="2"/>
        <v>1.6666666666666666E-2</v>
      </c>
      <c r="GU3" s="61">
        <f t="shared" si="2"/>
        <v>6.1475409836065573E-2</v>
      </c>
      <c r="GV3" s="61">
        <f t="shared" si="2"/>
        <v>6.9498069498069498E-2</v>
      </c>
      <c r="GW3" s="61">
        <f t="shared" si="2"/>
        <v>7.5812274368231042E-2</v>
      </c>
      <c r="GX3" s="61">
        <f t="shared" si="2"/>
        <v>7.0469798657718116E-2</v>
      </c>
      <c r="GY3" s="61">
        <f t="shared" si="2"/>
        <v>5.6426332288401257E-2</v>
      </c>
      <c r="GZ3" s="61">
        <f t="shared" si="2"/>
        <v>0.12759643916913946</v>
      </c>
      <c r="HA3" s="61">
        <f t="shared" si="2"/>
        <v>2.6315789473684209E-2</v>
      </c>
      <c r="HB3" s="61">
        <f t="shared" si="2"/>
        <v>-4.3589743589743588E-2</v>
      </c>
      <c r="HC3" s="61">
        <f t="shared" ref="HC3:HN3" si="3">(CV3-CU3)/CU3</f>
        <v>9.3833780160857902E-2</v>
      </c>
      <c r="HD3" s="61">
        <f t="shared" si="3"/>
        <v>8.8235294117647065E-2</v>
      </c>
      <c r="HE3" s="61">
        <f t="shared" si="3"/>
        <v>3.3783783783783786E-2</v>
      </c>
      <c r="HF3" s="61">
        <f t="shared" si="3"/>
        <v>3.7037037037037035E-2</v>
      </c>
      <c r="HG3" s="61">
        <f t="shared" si="3"/>
        <v>6.0924369747899158E-2</v>
      </c>
      <c r="HH3" s="61">
        <f t="shared" si="3"/>
        <v>0.13861386138613863</v>
      </c>
      <c r="HI3" s="61">
        <f t="shared" si="3"/>
        <v>2.4347826086956521E-2</v>
      </c>
      <c r="HJ3" s="61">
        <f t="shared" si="3"/>
        <v>8.4889643463497456E-3</v>
      </c>
      <c r="HK3" s="61">
        <f t="shared" si="3"/>
        <v>7.0707070707070704E-2</v>
      </c>
      <c r="HL3" s="61">
        <f t="shared" si="3"/>
        <v>-6.2893081761006293E-3</v>
      </c>
      <c r="HM3" s="61">
        <f t="shared" si="3"/>
        <v>3.0063291139240507E-2</v>
      </c>
      <c r="HN3" s="61">
        <f t="shared" si="3"/>
        <v>4.4546850998463901E-2</v>
      </c>
      <c r="HP3" s="61">
        <f t="shared" ref="HP3:HP32" si="4">AVERAGE(DK3:HN3)</f>
        <v>7.6040401522600318E-2</v>
      </c>
      <c r="HQ3" s="61">
        <f t="shared" ref="HQ3:HQ32" si="5">AVERAGE(GI3:HN3)</f>
        <v>4.3152542713118081E-2</v>
      </c>
      <c r="HR3" s="61">
        <f t="shared" ref="HR3:HR32" si="6">AVERAGE(GI3:HK3,HN3)</f>
        <v>4.5236912795221289E-2</v>
      </c>
      <c r="HS3" s="167">
        <f t="shared" ref="HS3:HS32" si="7">MEDIAN($DK3:$HN3)</f>
        <v>6.2995769434161825E-2</v>
      </c>
      <c r="HT3" s="89">
        <f t="shared" ref="HT3:HT32" si="8">MEDIAN($GI3:$HN3)</f>
        <v>3.7999037999037998E-2</v>
      </c>
      <c r="HU3" s="89">
        <f t="shared" ref="HU3:HU32" si="9">MEDIAN($GI3:$HK3,$HN3)</f>
        <v>4.1753944979751434E-2</v>
      </c>
      <c r="HW3" s="168" t="s">
        <v>282</v>
      </c>
      <c r="HX3" s="26">
        <v>6.1199889791982397E-2</v>
      </c>
      <c r="HY3" s="27" t="s">
        <v>131</v>
      </c>
    </row>
    <row r="4" spans="1:233" ht="15" customHeight="1" x14ac:dyDescent="0.2">
      <c r="A4" s="9" t="s">
        <v>133</v>
      </c>
      <c r="B4" s="169" t="s">
        <v>39</v>
      </c>
      <c r="C4" s="166"/>
      <c r="D4" s="166"/>
      <c r="E4" s="166"/>
      <c r="F4" s="166"/>
      <c r="G4" s="166"/>
      <c r="H4" s="166"/>
      <c r="I4" s="166"/>
      <c r="J4" s="166"/>
      <c r="K4" s="166"/>
      <c r="L4" s="166"/>
      <c r="M4" s="166"/>
      <c r="N4" s="166"/>
      <c r="O4" s="166"/>
      <c r="P4" s="166"/>
      <c r="Q4" s="166"/>
      <c r="R4" s="166"/>
      <c r="S4" s="166"/>
      <c r="T4" s="166"/>
      <c r="U4" s="166"/>
      <c r="V4" s="166"/>
      <c r="W4" s="166"/>
      <c r="X4" s="166"/>
      <c r="Y4" s="166"/>
      <c r="Z4" s="166"/>
      <c r="AA4" s="166"/>
      <c r="AB4" s="166"/>
      <c r="AC4" s="166"/>
      <c r="AD4" s="166"/>
      <c r="AE4" s="166"/>
      <c r="AF4" s="166"/>
      <c r="AG4" s="166"/>
      <c r="AH4" s="166"/>
      <c r="AI4" s="166"/>
      <c r="AJ4" s="166"/>
      <c r="AK4" s="166"/>
      <c r="AL4" s="166"/>
      <c r="AM4" s="166"/>
      <c r="AN4" s="166"/>
      <c r="AO4" s="166"/>
      <c r="AP4" s="166"/>
      <c r="AQ4" s="166"/>
      <c r="AR4" s="166"/>
      <c r="AS4" s="166"/>
      <c r="AT4" s="166"/>
      <c r="AU4" s="166"/>
      <c r="AV4" s="166"/>
      <c r="AW4" s="166"/>
      <c r="AX4" s="166"/>
      <c r="AY4" s="166"/>
      <c r="AZ4" s="166"/>
      <c r="BA4" s="166"/>
      <c r="BB4" s="166"/>
      <c r="BC4" s="166"/>
      <c r="BD4" s="166"/>
      <c r="BE4" s="166"/>
      <c r="BF4" s="166"/>
      <c r="BG4" s="166"/>
      <c r="BH4" s="166"/>
      <c r="BI4" s="166"/>
      <c r="BJ4" s="166"/>
      <c r="BK4" s="166"/>
      <c r="BL4" s="166"/>
      <c r="BM4" s="166"/>
      <c r="BN4" s="166"/>
      <c r="BO4" s="166"/>
      <c r="BP4" s="166"/>
      <c r="BQ4" s="166"/>
      <c r="BR4" s="166"/>
      <c r="BS4" s="166"/>
      <c r="BT4" s="166"/>
      <c r="BU4" s="166"/>
      <c r="BV4" s="166"/>
      <c r="BW4" s="166"/>
      <c r="BX4" s="166"/>
      <c r="BY4" s="166"/>
      <c r="BZ4" s="166"/>
      <c r="CA4" s="166"/>
      <c r="CB4" s="166"/>
      <c r="CC4" s="166"/>
      <c r="CD4" s="166"/>
      <c r="CE4" s="166"/>
      <c r="CF4" s="166"/>
      <c r="CG4" s="166"/>
      <c r="CH4" s="166"/>
      <c r="CI4" s="166"/>
      <c r="CJ4" s="166"/>
      <c r="CK4" s="166"/>
      <c r="CL4" s="166"/>
      <c r="CM4" s="166"/>
      <c r="CN4" s="166"/>
      <c r="CO4" s="166"/>
      <c r="CP4" s="166"/>
      <c r="CQ4" s="166"/>
      <c r="CR4" s="166"/>
      <c r="CS4" s="166"/>
      <c r="CT4" s="166"/>
      <c r="CU4" s="166"/>
      <c r="CV4" s="166"/>
      <c r="CW4" s="166"/>
      <c r="CX4" s="166"/>
      <c r="CY4" s="166"/>
      <c r="CZ4" s="166"/>
      <c r="DA4" s="170">
        <v>4754430</v>
      </c>
      <c r="DB4" s="170">
        <v>4077557</v>
      </c>
      <c r="DC4" s="170">
        <v>4228732</v>
      </c>
      <c r="DD4" s="170">
        <v>4492429</v>
      </c>
      <c r="DE4" s="170">
        <v>4164758</v>
      </c>
      <c r="DF4" s="171">
        <v>3601490</v>
      </c>
      <c r="DG4" s="171">
        <v>4922770</v>
      </c>
      <c r="DH4" s="171">
        <v>5346091</v>
      </c>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61">
        <f t="shared" ref="HI4:HN8" si="10">(DB4-DA4)/DA4</f>
        <v>-0.14236680317093742</v>
      </c>
      <c r="HJ4" s="61">
        <f t="shared" si="10"/>
        <v>3.707489558085883E-2</v>
      </c>
      <c r="HK4" s="61">
        <f t="shared" si="10"/>
        <v>6.235840909284391E-2</v>
      </c>
      <c r="HL4" s="61">
        <f t="shared" si="10"/>
        <v>-7.2938492739673788E-2</v>
      </c>
      <c r="HM4" s="61">
        <f t="shared" si="10"/>
        <v>-0.13524627361301664</v>
      </c>
      <c r="HN4" s="61">
        <f t="shared" si="10"/>
        <v>0.36687037864883704</v>
      </c>
      <c r="HP4" s="61">
        <f t="shared" si="4"/>
        <v>1.929201896648532E-2</v>
      </c>
      <c r="HQ4" s="61">
        <f t="shared" si="5"/>
        <v>1.929201896648532E-2</v>
      </c>
      <c r="HR4" s="61">
        <f t="shared" si="6"/>
        <v>8.0984220037900595E-2</v>
      </c>
      <c r="HS4" s="89">
        <f t="shared" si="7"/>
        <v>-1.7931798579407479E-2</v>
      </c>
      <c r="HT4" s="89">
        <f t="shared" si="8"/>
        <v>-1.7931798579407479E-2</v>
      </c>
      <c r="HU4" s="167">
        <f t="shared" si="9"/>
        <v>4.9716652336851366E-2</v>
      </c>
      <c r="HW4" s="172" t="s">
        <v>39</v>
      </c>
      <c r="HX4" s="26">
        <v>4.9716652336851401E-2</v>
      </c>
      <c r="HY4" s="30" t="s">
        <v>134</v>
      </c>
    </row>
    <row r="5" spans="1:233" ht="15" customHeight="1" x14ac:dyDescent="0.2">
      <c r="A5" s="9" t="s">
        <v>132</v>
      </c>
      <c r="B5" s="58" t="s">
        <v>40</v>
      </c>
      <c r="C5" s="166"/>
      <c r="D5" s="166"/>
      <c r="E5" s="166"/>
      <c r="F5" s="166"/>
      <c r="G5" s="166"/>
      <c r="H5" s="166"/>
      <c r="I5" s="166"/>
      <c r="J5" s="166"/>
      <c r="K5" s="166"/>
      <c r="L5" s="166"/>
      <c r="M5" s="166">
        <v>165.61680000000001</v>
      </c>
      <c r="N5" s="166">
        <v>346</v>
      </c>
      <c r="O5" s="166">
        <v>346</v>
      </c>
      <c r="P5" s="166">
        <v>527.29200000000003</v>
      </c>
      <c r="Q5" s="166">
        <v>1544</v>
      </c>
      <c r="R5" s="166">
        <v>1544</v>
      </c>
      <c r="S5" s="166">
        <v>2560.3881630000001</v>
      </c>
      <c r="T5" s="166">
        <v>1654</v>
      </c>
      <c r="U5" s="166">
        <v>1654</v>
      </c>
      <c r="V5" s="166">
        <v>748.35599999999999</v>
      </c>
      <c r="W5" s="166">
        <v>4309</v>
      </c>
      <c r="X5" s="166">
        <v>4309</v>
      </c>
      <c r="Y5" s="166">
        <v>3560.8816980000001</v>
      </c>
      <c r="Z5" s="166">
        <v>3789</v>
      </c>
      <c r="AA5" s="166">
        <v>4017.6026400000001</v>
      </c>
      <c r="AB5" s="166">
        <v>4664</v>
      </c>
      <c r="AC5" s="166">
        <v>4664</v>
      </c>
      <c r="AD5" s="166">
        <v>5310.4918200000002</v>
      </c>
      <c r="AE5" s="166">
        <v>5885.7837</v>
      </c>
      <c r="AF5" s="166">
        <v>5011.4710500000001</v>
      </c>
      <c r="AG5" s="166">
        <v>5490</v>
      </c>
      <c r="AH5" s="166">
        <v>5968.7035379999998</v>
      </c>
      <c r="AI5" s="166">
        <v>5735.5675410000003</v>
      </c>
      <c r="AJ5" s="166">
        <v>5966</v>
      </c>
      <c r="AK5" s="166">
        <v>5966</v>
      </c>
      <c r="AL5" s="166">
        <v>6196.4991179999997</v>
      </c>
      <c r="AM5" s="166">
        <v>6697.7522250000002</v>
      </c>
      <c r="AN5" s="166">
        <v>5811.2</v>
      </c>
      <c r="AO5" s="166">
        <v>5811.2</v>
      </c>
      <c r="AP5" s="166">
        <v>6083.6</v>
      </c>
      <c r="AQ5" s="166">
        <v>6991.6</v>
      </c>
      <c r="AR5" s="166">
        <v>6900.8</v>
      </c>
      <c r="AS5" s="166">
        <v>9296</v>
      </c>
      <c r="AT5" s="166">
        <v>10080</v>
      </c>
      <c r="AU5" s="166">
        <v>10640</v>
      </c>
      <c r="AV5" s="166">
        <v>10080</v>
      </c>
      <c r="AW5" s="166">
        <v>10080</v>
      </c>
      <c r="AX5" s="166">
        <v>12320</v>
      </c>
      <c r="AY5" s="166">
        <v>13440</v>
      </c>
      <c r="AZ5" s="166">
        <v>13440</v>
      </c>
      <c r="BA5" s="166">
        <v>13440</v>
      </c>
      <c r="BB5" s="166">
        <v>14560</v>
      </c>
      <c r="BC5" s="166">
        <v>14560</v>
      </c>
      <c r="BD5" s="166">
        <v>14560</v>
      </c>
      <c r="BE5" s="166">
        <v>16800</v>
      </c>
      <c r="BF5" s="166">
        <v>16800</v>
      </c>
      <c r="BG5" s="166">
        <v>19040</v>
      </c>
      <c r="BH5" s="166">
        <v>19000</v>
      </c>
      <c r="BI5" s="166">
        <v>18000</v>
      </c>
      <c r="BJ5" s="166">
        <v>19000</v>
      </c>
      <c r="BK5" s="166">
        <v>20000</v>
      </c>
      <c r="BL5" s="166">
        <v>19000</v>
      </c>
      <c r="BM5" s="166">
        <v>15700</v>
      </c>
      <c r="BN5" s="166">
        <v>17000</v>
      </c>
      <c r="BO5" s="166">
        <v>18300</v>
      </c>
      <c r="BP5" s="166">
        <v>17400</v>
      </c>
      <c r="BQ5" s="166">
        <v>18200</v>
      </c>
      <c r="BR5" s="166">
        <v>18200</v>
      </c>
      <c r="BS5" s="166">
        <v>17200</v>
      </c>
      <c r="BT5" s="166">
        <v>16500</v>
      </c>
      <c r="BU5" s="166">
        <v>17200</v>
      </c>
      <c r="BV5" s="166">
        <v>19200</v>
      </c>
      <c r="BW5" s="166">
        <v>19400</v>
      </c>
      <c r="BX5" s="166">
        <v>19300</v>
      </c>
      <c r="BY5" s="166">
        <v>19300</v>
      </c>
      <c r="BZ5" s="166">
        <v>21900</v>
      </c>
      <c r="CA5" s="166">
        <v>21300</v>
      </c>
      <c r="CB5" s="45">
        <v>20000</v>
      </c>
      <c r="CC5" s="45">
        <v>20500</v>
      </c>
      <c r="CD5" s="45">
        <v>20200</v>
      </c>
      <c r="CE5" s="45">
        <v>18900</v>
      </c>
      <c r="CF5" s="166">
        <v>18100</v>
      </c>
      <c r="CG5" s="166">
        <v>18500</v>
      </c>
      <c r="CH5" s="166">
        <v>18900</v>
      </c>
      <c r="CI5" s="166">
        <v>20000</v>
      </c>
      <c r="CJ5" s="166">
        <v>19600</v>
      </c>
      <c r="CK5" s="166">
        <v>19100</v>
      </c>
      <c r="CL5" s="166">
        <v>19700</v>
      </c>
      <c r="CM5" s="166">
        <v>18200</v>
      </c>
      <c r="CN5" s="166">
        <v>15800</v>
      </c>
      <c r="CO5" s="166">
        <v>16900</v>
      </c>
      <c r="CP5" s="166">
        <v>18800</v>
      </c>
      <c r="CQ5" s="166">
        <v>19400</v>
      </c>
      <c r="CR5" s="166">
        <v>19300</v>
      </c>
      <c r="CS5" s="166">
        <v>20400</v>
      </c>
      <c r="CT5" s="166">
        <v>19600</v>
      </c>
      <c r="CU5" s="166">
        <v>18800</v>
      </c>
      <c r="CV5" s="166">
        <v>21100</v>
      </c>
      <c r="CW5" s="166">
        <v>22200</v>
      </c>
      <c r="CX5" s="166">
        <v>20900</v>
      </c>
      <c r="CY5" s="166">
        <v>22200</v>
      </c>
      <c r="CZ5" s="166">
        <v>24200</v>
      </c>
      <c r="DA5" s="166">
        <v>23200</v>
      </c>
      <c r="DB5" s="166">
        <v>23900</v>
      </c>
      <c r="DC5" s="166">
        <v>25400</v>
      </c>
      <c r="DD5" s="166">
        <v>25100</v>
      </c>
      <c r="DE5" s="166">
        <v>24400</v>
      </c>
      <c r="DF5" s="45">
        <v>24000</v>
      </c>
      <c r="DG5" s="166">
        <v>24000</v>
      </c>
      <c r="DH5" s="9"/>
      <c r="DJ5" s="9"/>
      <c r="DK5" s="61"/>
      <c r="DL5" s="9"/>
      <c r="DM5" s="9"/>
      <c r="DN5" s="9"/>
      <c r="DO5" s="9"/>
      <c r="DP5" s="9"/>
      <c r="DQ5" s="9"/>
      <c r="DR5" s="9"/>
      <c r="DS5" s="9"/>
      <c r="DT5" s="9"/>
      <c r="DU5" s="61">
        <f t="shared" ref="DU5:ED8" si="11">(N5-M5)/M5</f>
        <v>1.0891600369044685</v>
      </c>
      <c r="DV5" s="61">
        <f t="shared" si="11"/>
        <v>0</v>
      </c>
      <c r="DW5" s="61">
        <f t="shared" si="11"/>
        <v>0.52396531791907519</v>
      </c>
      <c r="DX5" s="61">
        <f t="shared" si="11"/>
        <v>1.9281688324495723</v>
      </c>
      <c r="DY5" s="61">
        <f t="shared" si="11"/>
        <v>0</v>
      </c>
      <c r="DZ5" s="61">
        <f t="shared" si="11"/>
        <v>0.65828248898963737</v>
      </c>
      <c r="EA5" s="61">
        <f t="shared" si="11"/>
        <v>-0.35400419987022103</v>
      </c>
      <c r="EB5" s="61">
        <f t="shared" si="11"/>
        <v>0</v>
      </c>
      <c r="EC5" s="61">
        <f t="shared" si="11"/>
        <v>-0.54754776299879082</v>
      </c>
      <c r="ED5" s="61">
        <f t="shared" si="11"/>
        <v>4.7579547701895892</v>
      </c>
      <c r="EE5" s="61">
        <f t="shared" ref="EE5:EN8" si="12">(X5-W5)/W5</f>
        <v>0</v>
      </c>
      <c r="EF5" s="61">
        <f t="shared" si="12"/>
        <v>-0.17361761475980503</v>
      </c>
      <c r="EG5" s="61">
        <f t="shared" si="12"/>
        <v>6.4062308536710008E-2</v>
      </c>
      <c r="EH5" s="61">
        <f t="shared" si="12"/>
        <v>6.0333238321456865E-2</v>
      </c>
      <c r="EI5" s="61">
        <f t="shared" si="12"/>
        <v>0.16089131203876347</v>
      </c>
      <c r="EJ5" s="61">
        <f t="shared" si="12"/>
        <v>0</v>
      </c>
      <c r="EK5" s="61">
        <f t="shared" si="12"/>
        <v>0.13861316895368786</v>
      </c>
      <c r="EL5" s="61">
        <f t="shared" si="12"/>
        <v>0.10833118654535462</v>
      </c>
      <c r="EM5" s="61">
        <f t="shared" si="12"/>
        <v>-0.14854651386526485</v>
      </c>
      <c r="EN5" s="61">
        <f t="shared" si="12"/>
        <v>9.5486723404298604E-2</v>
      </c>
      <c r="EO5" s="61">
        <f t="shared" ref="EO5:EX8" si="13">(AH5-AG5)/AG5</f>
        <v>8.7195544262295033E-2</v>
      </c>
      <c r="EP5" s="61">
        <f t="shared" si="13"/>
        <v>-3.9059738101537358E-2</v>
      </c>
      <c r="EQ5" s="61">
        <f t="shared" si="13"/>
        <v>4.0176051864576873E-2</v>
      </c>
      <c r="ER5" s="61">
        <f t="shared" si="13"/>
        <v>0</v>
      </c>
      <c r="ES5" s="61">
        <f t="shared" si="13"/>
        <v>3.8635453905464252E-2</v>
      </c>
      <c r="ET5" s="61">
        <f t="shared" si="13"/>
        <v>8.089295220650114E-2</v>
      </c>
      <c r="EU5" s="61">
        <f t="shared" si="13"/>
        <v>-0.13236563480071112</v>
      </c>
      <c r="EV5" s="61">
        <f t="shared" si="13"/>
        <v>0</v>
      </c>
      <c r="EW5" s="61">
        <f t="shared" si="13"/>
        <v>4.6875000000000097E-2</v>
      </c>
      <c r="EX5" s="61">
        <f t="shared" si="13"/>
        <v>0.14925373134328357</v>
      </c>
      <c r="EY5" s="61">
        <f t="shared" ref="EY5:FH8" si="14">(AR5-AQ5)/AQ5</f>
        <v>-1.2987012987013012E-2</v>
      </c>
      <c r="EZ5" s="61">
        <f t="shared" si="14"/>
        <v>0.347090192441456</v>
      </c>
      <c r="FA5" s="61">
        <f t="shared" si="14"/>
        <v>8.4337349397590355E-2</v>
      </c>
      <c r="FB5" s="61">
        <f t="shared" si="14"/>
        <v>5.5555555555555552E-2</v>
      </c>
      <c r="FC5" s="61">
        <f t="shared" si="14"/>
        <v>-5.2631578947368418E-2</v>
      </c>
      <c r="FD5" s="61">
        <f t="shared" si="14"/>
        <v>0</v>
      </c>
      <c r="FE5" s="61">
        <f t="shared" si="14"/>
        <v>0.22222222222222221</v>
      </c>
      <c r="FF5" s="61">
        <f t="shared" si="14"/>
        <v>9.0909090909090912E-2</v>
      </c>
      <c r="FG5" s="61">
        <f t="shared" si="14"/>
        <v>0</v>
      </c>
      <c r="FH5" s="61">
        <f t="shared" si="14"/>
        <v>0</v>
      </c>
      <c r="FI5" s="61">
        <f t="shared" ref="FI5:FR8" si="15">(BB5-BA5)/BA5</f>
        <v>8.3333333333333329E-2</v>
      </c>
      <c r="FJ5" s="61">
        <f t="shared" si="15"/>
        <v>0</v>
      </c>
      <c r="FK5" s="61">
        <f t="shared" si="15"/>
        <v>0</v>
      </c>
      <c r="FL5" s="61">
        <f t="shared" si="15"/>
        <v>0.15384615384615385</v>
      </c>
      <c r="FM5" s="61">
        <f t="shared" si="15"/>
        <v>0</v>
      </c>
      <c r="FN5" s="61">
        <f t="shared" si="15"/>
        <v>0.13333333333333333</v>
      </c>
      <c r="FO5" s="61">
        <f t="shared" si="15"/>
        <v>-2.1008403361344537E-3</v>
      </c>
      <c r="FP5" s="61">
        <f t="shared" si="15"/>
        <v>-5.2631578947368418E-2</v>
      </c>
      <c r="FQ5" s="61">
        <f t="shared" si="15"/>
        <v>5.5555555555555552E-2</v>
      </c>
      <c r="FR5" s="61">
        <f t="shared" si="15"/>
        <v>5.2631578947368418E-2</v>
      </c>
      <c r="FS5" s="61">
        <f t="shared" ref="FS5:GB8" si="16">(BL5-BK5)/BK5</f>
        <v>-0.05</v>
      </c>
      <c r="FT5" s="61">
        <f t="shared" si="16"/>
        <v>-0.1736842105263158</v>
      </c>
      <c r="FU5" s="61">
        <f t="shared" si="16"/>
        <v>8.2802547770700632E-2</v>
      </c>
      <c r="FV5" s="61">
        <f t="shared" si="16"/>
        <v>7.6470588235294124E-2</v>
      </c>
      <c r="FW5" s="61">
        <f t="shared" si="16"/>
        <v>-4.9180327868852458E-2</v>
      </c>
      <c r="FX5" s="61">
        <f t="shared" si="16"/>
        <v>4.5977011494252873E-2</v>
      </c>
      <c r="FY5" s="61">
        <f t="shared" si="16"/>
        <v>0</v>
      </c>
      <c r="FZ5" s="61">
        <f t="shared" si="16"/>
        <v>-5.4945054945054944E-2</v>
      </c>
      <c r="GA5" s="61">
        <f t="shared" si="16"/>
        <v>-4.0697674418604654E-2</v>
      </c>
      <c r="GB5" s="61">
        <f t="shared" si="16"/>
        <v>4.2424242424242427E-2</v>
      </c>
      <c r="GC5" s="61">
        <f t="shared" ref="GC5:GL8" si="17">(BV5-BU5)/BU5</f>
        <v>0.11627906976744186</v>
      </c>
      <c r="GD5" s="61">
        <f t="shared" si="17"/>
        <v>1.0416666666666666E-2</v>
      </c>
      <c r="GE5" s="61">
        <f t="shared" si="17"/>
        <v>-5.1546391752577319E-3</v>
      </c>
      <c r="GF5" s="61">
        <f t="shared" si="17"/>
        <v>0</v>
      </c>
      <c r="GG5" s="61">
        <f t="shared" si="17"/>
        <v>0.13471502590673576</v>
      </c>
      <c r="GH5" s="61">
        <f t="shared" si="17"/>
        <v>-2.7397260273972601E-2</v>
      </c>
      <c r="GI5" s="61">
        <f t="shared" si="17"/>
        <v>-6.1032863849765258E-2</v>
      </c>
      <c r="GJ5" s="61">
        <f t="shared" si="17"/>
        <v>2.5000000000000001E-2</v>
      </c>
      <c r="GK5" s="61">
        <f t="shared" si="17"/>
        <v>-1.4634146341463415E-2</v>
      </c>
      <c r="GL5" s="61">
        <f t="shared" si="17"/>
        <v>-6.4356435643564358E-2</v>
      </c>
      <c r="GM5" s="61">
        <f t="shared" ref="GM5:GV8" si="18">(CF5-CE5)/CE5</f>
        <v>-4.2328042328042326E-2</v>
      </c>
      <c r="GN5" s="61">
        <f t="shared" si="18"/>
        <v>2.2099447513812154E-2</v>
      </c>
      <c r="GO5" s="61">
        <f t="shared" si="18"/>
        <v>2.1621621621621623E-2</v>
      </c>
      <c r="GP5" s="61">
        <f t="shared" si="18"/>
        <v>5.8201058201058198E-2</v>
      </c>
      <c r="GQ5" s="61">
        <f t="shared" si="18"/>
        <v>-0.02</v>
      </c>
      <c r="GR5" s="61">
        <f t="shared" si="18"/>
        <v>-2.5510204081632654E-2</v>
      </c>
      <c r="GS5" s="61">
        <f t="shared" si="18"/>
        <v>3.1413612565445025E-2</v>
      </c>
      <c r="GT5" s="61">
        <f t="shared" si="18"/>
        <v>-7.6142131979695438E-2</v>
      </c>
      <c r="GU5" s="61">
        <f t="shared" si="18"/>
        <v>-0.13186813186813187</v>
      </c>
      <c r="GV5" s="61">
        <f t="shared" si="18"/>
        <v>6.9620253164556958E-2</v>
      </c>
      <c r="GW5" s="61">
        <f t="shared" ref="GW5:HF8" si="19">(CP5-CO5)/CO5</f>
        <v>0.11242603550295859</v>
      </c>
      <c r="GX5" s="61">
        <f t="shared" si="19"/>
        <v>3.1914893617021274E-2</v>
      </c>
      <c r="GY5" s="61">
        <f t="shared" si="19"/>
        <v>-5.1546391752577319E-3</v>
      </c>
      <c r="GZ5" s="61">
        <f t="shared" si="19"/>
        <v>5.6994818652849742E-2</v>
      </c>
      <c r="HA5" s="61">
        <f t="shared" si="19"/>
        <v>-3.9215686274509803E-2</v>
      </c>
      <c r="HB5" s="61">
        <f t="shared" si="19"/>
        <v>-4.0816326530612242E-2</v>
      </c>
      <c r="HC5" s="61">
        <f t="shared" si="19"/>
        <v>0.12234042553191489</v>
      </c>
      <c r="HD5" s="61">
        <f t="shared" si="19"/>
        <v>5.2132701421800945E-2</v>
      </c>
      <c r="HE5" s="61">
        <f t="shared" si="19"/>
        <v>-5.8558558558558557E-2</v>
      </c>
      <c r="HF5" s="61">
        <f t="shared" si="19"/>
        <v>6.2200956937799042E-2</v>
      </c>
      <c r="HG5" s="61">
        <f t="shared" ref="HG5:HH8" si="20">(CZ5-CY5)/CY5</f>
        <v>9.0090090090090086E-2</v>
      </c>
      <c r="HH5" s="61">
        <f t="shared" si="20"/>
        <v>-4.1322314049586778E-2</v>
      </c>
      <c r="HI5" s="61">
        <f t="shared" si="10"/>
        <v>3.017241379310345E-2</v>
      </c>
      <c r="HJ5" s="61">
        <f t="shared" si="10"/>
        <v>6.2761506276150625E-2</v>
      </c>
      <c r="HK5" s="61">
        <f t="shared" si="10"/>
        <v>-1.1811023622047244E-2</v>
      </c>
      <c r="HL5" s="61">
        <f t="shared" si="10"/>
        <v>-2.7888446215139442E-2</v>
      </c>
      <c r="HM5" s="61">
        <f t="shared" si="10"/>
        <v>-1.6393442622950821E-2</v>
      </c>
      <c r="HN5" s="61">
        <f t="shared" si="10"/>
        <v>0</v>
      </c>
      <c r="HP5" s="61">
        <f t="shared" si="4"/>
        <v>0.10277125953641508</v>
      </c>
      <c r="HQ5" s="61">
        <f t="shared" si="5"/>
        <v>5.3736700546632718E-3</v>
      </c>
      <c r="HR5" s="61">
        <f t="shared" si="6"/>
        <v>7.2079776862438317E-3</v>
      </c>
      <c r="HS5" s="89">
        <f t="shared" si="7"/>
        <v>5.208333333333333E-3</v>
      </c>
      <c r="HT5" s="89">
        <f t="shared" si="8"/>
        <v>-2.5773195876288659E-3</v>
      </c>
      <c r="HU5" s="89">
        <f t="shared" si="9"/>
        <v>1.0810810810810811E-2</v>
      </c>
      <c r="HW5" s="168" t="s">
        <v>40</v>
      </c>
      <c r="HX5" s="33" t="s">
        <v>283</v>
      </c>
      <c r="HY5" s="34"/>
    </row>
    <row r="6" spans="1:233" ht="15" customHeight="1" x14ac:dyDescent="0.2">
      <c r="A6" s="9" t="s">
        <v>132</v>
      </c>
      <c r="B6" s="58" t="s">
        <v>41</v>
      </c>
      <c r="C6" s="166">
        <v>130304.16</v>
      </c>
      <c r="D6" s="166">
        <v>145083.68</v>
      </c>
      <c r="E6" s="166">
        <v>187756.79999999999</v>
      </c>
      <c r="F6" s="166">
        <v>293707.68</v>
      </c>
      <c r="G6" s="166">
        <v>274860.32</v>
      </c>
      <c r="H6" s="166">
        <v>302225.28000000003</v>
      </c>
      <c r="I6" s="166">
        <v>100306.08</v>
      </c>
      <c r="J6" s="166">
        <v>89260.64</v>
      </c>
      <c r="K6" s="166">
        <v>148960</v>
      </c>
      <c r="L6" s="166">
        <v>162400</v>
      </c>
      <c r="M6" s="166">
        <v>222880</v>
      </c>
      <c r="N6" s="166">
        <v>310240</v>
      </c>
      <c r="O6" s="166">
        <v>321440</v>
      </c>
      <c r="P6" s="166">
        <v>369600</v>
      </c>
      <c r="Q6" s="166">
        <v>448000</v>
      </c>
      <c r="R6" s="166">
        <v>481600</v>
      </c>
      <c r="S6" s="166">
        <v>638400</v>
      </c>
      <c r="T6" s="166">
        <v>616000</v>
      </c>
      <c r="U6" s="166">
        <v>336000</v>
      </c>
      <c r="V6" s="166">
        <v>268800</v>
      </c>
      <c r="W6" s="166">
        <v>451360</v>
      </c>
      <c r="X6" s="166">
        <v>692160</v>
      </c>
      <c r="Y6" s="166">
        <v>873600</v>
      </c>
      <c r="Z6" s="166">
        <v>1164800</v>
      </c>
      <c r="AA6" s="166">
        <v>1198400</v>
      </c>
      <c r="AB6" s="166">
        <v>1232000</v>
      </c>
      <c r="AC6" s="166">
        <v>1299200</v>
      </c>
      <c r="AD6" s="166">
        <v>1512000</v>
      </c>
      <c r="AE6" s="166">
        <v>1792000</v>
      </c>
      <c r="AF6" s="166">
        <v>2240000</v>
      </c>
      <c r="AG6" s="166">
        <v>2016000</v>
      </c>
      <c r="AH6" s="166">
        <v>1568000</v>
      </c>
      <c r="AI6" s="166">
        <v>1232000</v>
      </c>
      <c r="AJ6" s="166">
        <v>1288000</v>
      </c>
      <c r="AK6" s="166">
        <v>1789760</v>
      </c>
      <c r="AL6" s="166">
        <v>2176160</v>
      </c>
      <c r="AM6" s="166">
        <v>2329600</v>
      </c>
      <c r="AN6" s="166">
        <v>2581600</v>
      </c>
      <c r="AO6" s="166">
        <v>3080000</v>
      </c>
      <c r="AP6" s="166">
        <v>3696000</v>
      </c>
      <c r="AQ6" s="166">
        <v>3953600</v>
      </c>
      <c r="AR6" s="166">
        <v>3628800</v>
      </c>
      <c r="AS6" s="166">
        <v>4032000</v>
      </c>
      <c r="AT6" s="166">
        <v>4536000</v>
      </c>
      <c r="AU6" s="166">
        <v>5152000</v>
      </c>
      <c r="AV6" s="166">
        <v>4144000</v>
      </c>
      <c r="AW6" s="166">
        <v>4368000</v>
      </c>
      <c r="AX6" s="166">
        <v>4816000</v>
      </c>
      <c r="AY6" s="166">
        <v>4592000</v>
      </c>
      <c r="AZ6" s="166">
        <v>4816000</v>
      </c>
      <c r="BA6" s="166">
        <v>4480000</v>
      </c>
      <c r="BB6" s="166">
        <v>4704000</v>
      </c>
      <c r="BC6" s="166">
        <v>5488000</v>
      </c>
      <c r="BD6" s="166">
        <v>5376000</v>
      </c>
      <c r="BE6" s="166">
        <v>5264000</v>
      </c>
      <c r="BF6" s="166">
        <v>5488000</v>
      </c>
      <c r="BG6" s="166">
        <v>5936000</v>
      </c>
      <c r="BH6" s="166">
        <v>6100000</v>
      </c>
      <c r="BI6" s="166">
        <v>6400000</v>
      </c>
      <c r="BJ6" s="166">
        <v>6300000</v>
      </c>
      <c r="BK6" s="166">
        <v>6800000</v>
      </c>
      <c r="BL6" s="166">
        <v>7400000</v>
      </c>
      <c r="BM6" s="166">
        <v>8400000</v>
      </c>
      <c r="BN6" s="166">
        <v>8600000</v>
      </c>
      <c r="BO6" s="166">
        <v>9300000</v>
      </c>
      <c r="BP6" s="166">
        <v>9100000</v>
      </c>
      <c r="BQ6" s="166">
        <v>9600000</v>
      </c>
      <c r="BR6" s="166">
        <v>9200000</v>
      </c>
      <c r="BS6" s="166">
        <v>8500000</v>
      </c>
      <c r="BT6" s="166">
        <v>8000000</v>
      </c>
      <c r="BU6" s="166">
        <v>7900000</v>
      </c>
      <c r="BV6" s="166">
        <v>9300000</v>
      </c>
      <c r="BW6" s="166">
        <v>11200000</v>
      </c>
      <c r="BX6" s="166">
        <v>11800000</v>
      </c>
      <c r="BY6" s="166">
        <v>11600000</v>
      </c>
      <c r="BZ6" s="166">
        <v>12700000</v>
      </c>
      <c r="CA6" s="166">
        <v>14000000</v>
      </c>
      <c r="CB6" s="45">
        <v>13000000</v>
      </c>
      <c r="CC6" s="45">
        <v>13300000</v>
      </c>
      <c r="CD6" s="45">
        <v>11000000</v>
      </c>
      <c r="CE6" s="45">
        <v>9300000</v>
      </c>
      <c r="CF6" s="166">
        <v>9570000</v>
      </c>
      <c r="CG6" s="166">
        <v>12000000</v>
      </c>
      <c r="CH6" s="166">
        <v>12190000</v>
      </c>
      <c r="CI6" s="166">
        <v>12500000</v>
      </c>
      <c r="CJ6" s="166">
        <v>12700000</v>
      </c>
      <c r="CK6" s="166">
        <v>13500000</v>
      </c>
      <c r="CL6" s="166">
        <v>14400000</v>
      </c>
      <c r="CM6" s="166">
        <v>12100000</v>
      </c>
      <c r="CN6" s="166">
        <v>13500000</v>
      </c>
      <c r="CO6" s="166">
        <v>15500000</v>
      </c>
      <c r="CP6" s="166">
        <v>17500000</v>
      </c>
      <c r="CQ6" s="166">
        <v>19300000</v>
      </c>
      <c r="CR6" s="166">
        <v>19600000</v>
      </c>
      <c r="CS6" s="166">
        <v>21500000</v>
      </c>
      <c r="CT6" s="166">
        <v>23800000</v>
      </c>
      <c r="CU6" s="166">
        <v>19300000</v>
      </c>
      <c r="CV6" s="166">
        <v>23700000</v>
      </c>
      <c r="CW6" s="166">
        <v>23300000</v>
      </c>
      <c r="CX6" s="166">
        <v>25600000</v>
      </c>
      <c r="CY6" s="166">
        <v>28800000</v>
      </c>
      <c r="CZ6" s="166">
        <v>26400000</v>
      </c>
      <c r="DA6" s="166">
        <v>30400000</v>
      </c>
      <c r="DB6" s="166">
        <v>30200000</v>
      </c>
      <c r="DC6" s="166">
        <v>35700000</v>
      </c>
      <c r="DD6" s="166">
        <v>43100000</v>
      </c>
      <c r="DE6" s="166">
        <v>44800000</v>
      </c>
      <c r="DF6" s="45">
        <v>37000000</v>
      </c>
      <c r="DG6" s="166">
        <v>41000000</v>
      </c>
      <c r="DH6" s="9"/>
      <c r="DJ6" s="9"/>
      <c r="DK6" s="61">
        <f t="shared" ref="DK6:DT8" si="21">(D6-C6)/C6</f>
        <v>0.11342323990270141</v>
      </c>
      <c r="DL6" s="61">
        <f t="shared" si="21"/>
        <v>0.2941276372366623</v>
      </c>
      <c r="DM6" s="61">
        <f t="shared" si="21"/>
        <v>0.56429849677881183</v>
      </c>
      <c r="DN6" s="61">
        <f t="shared" si="21"/>
        <v>-6.4170470448712769E-2</v>
      </c>
      <c r="DO6" s="61">
        <f t="shared" si="21"/>
        <v>9.9559514447192743E-2</v>
      </c>
      <c r="DP6" s="61">
        <f t="shared" si="21"/>
        <v>-0.66810824031662741</v>
      </c>
      <c r="DQ6" s="61">
        <f t="shared" si="21"/>
        <v>-0.11011735280652979</v>
      </c>
      <c r="DR6" s="61">
        <f t="shared" si="21"/>
        <v>0.66882065824309578</v>
      </c>
      <c r="DS6" s="61">
        <f t="shared" si="21"/>
        <v>9.0225563909774431E-2</v>
      </c>
      <c r="DT6" s="61">
        <f t="shared" si="21"/>
        <v>0.3724137931034483</v>
      </c>
      <c r="DU6" s="61">
        <f t="shared" si="11"/>
        <v>0.39195979899497485</v>
      </c>
      <c r="DV6" s="61">
        <f t="shared" si="11"/>
        <v>3.6101083032490974E-2</v>
      </c>
      <c r="DW6" s="61">
        <f t="shared" si="11"/>
        <v>0.14982578397212543</v>
      </c>
      <c r="DX6" s="61">
        <f t="shared" si="11"/>
        <v>0.21212121212121213</v>
      </c>
      <c r="DY6" s="61">
        <f t="shared" si="11"/>
        <v>7.4999999999999997E-2</v>
      </c>
      <c r="DZ6" s="61">
        <f t="shared" si="11"/>
        <v>0.32558139534883723</v>
      </c>
      <c r="EA6" s="61">
        <f t="shared" si="11"/>
        <v>-3.5087719298245612E-2</v>
      </c>
      <c r="EB6" s="61">
        <f t="shared" si="11"/>
        <v>-0.45454545454545453</v>
      </c>
      <c r="EC6" s="61">
        <f t="shared" si="11"/>
        <v>-0.2</v>
      </c>
      <c r="ED6" s="61">
        <f t="shared" si="11"/>
        <v>0.6791666666666667</v>
      </c>
      <c r="EE6" s="61">
        <f t="shared" si="12"/>
        <v>0.53349875930521096</v>
      </c>
      <c r="EF6" s="61">
        <f t="shared" si="12"/>
        <v>0.26213592233009708</v>
      </c>
      <c r="EG6" s="61">
        <f t="shared" si="12"/>
        <v>0.33333333333333331</v>
      </c>
      <c r="EH6" s="61">
        <f t="shared" si="12"/>
        <v>2.8846153846153848E-2</v>
      </c>
      <c r="EI6" s="61">
        <f t="shared" si="12"/>
        <v>2.8037383177570093E-2</v>
      </c>
      <c r="EJ6" s="61">
        <f t="shared" si="12"/>
        <v>5.4545454545454543E-2</v>
      </c>
      <c r="EK6" s="61">
        <f t="shared" si="12"/>
        <v>0.16379310344827586</v>
      </c>
      <c r="EL6" s="61">
        <f t="shared" si="12"/>
        <v>0.18518518518518517</v>
      </c>
      <c r="EM6" s="61">
        <f t="shared" si="12"/>
        <v>0.25</v>
      </c>
      <c r="EN6" s="61">
        <f t="shared" si="12"/>
        <v>-0.1</v>
      </c>
      <c r="EO6" s="61">
        <f t="shared" si="13"/>
        <v>-0.22222222222222221</v>
      </c>
      <c r="EP6" s="61">
        <f t="shared" si="13"/>
        <v>-0.21428571428571427</v>
      </c>
      <c r="EQ6" s="61">
        <f t="shared" si="13"/>
        <v>4.5454545454545456E-2</v>
      </c>
      <c r="ER6" s="61">
        <f t="shared" si="13"/>
        <v>0.38956521739130434</v>
      </c>
      <c r="ES6" s="61">
        <f t="shared" si="13"/>
        <v>0.21589486858573217</v>
      </c>
      <c r="ET6" s="61">
        <f t="shared" si="13"/>
        <v>7.0509521358723626E-2</v>
      </c>
      <c r="EU6" s="61">
        <f t="shared" si="13"/>
        <v>0.10817307692307693</v>
      </c>
      <c r="EV6" s="61">
        <f t="shared" si="13"/>
        <v>0.19305856832971802</v>
      </c>
      <c r="EW6" s="61">
        <f t="shared" si="13"/>
        <v>0.2</v>
      </c>
      <c r="EX6" s="61">
        <f t="shared" si="13"/>
        <v>6.9696969696969702E-2</v>
      </c>
      <c r="EY6" s="61">
        <f t="shared" si="14"/>
        <v>-8.2152974504249299E-2</v>
      </c>
      <c r="EZ6" s="61">
        <f t="shared" si="14"/>
        <v>0.1111111111111111</v>
      </c>
      <c r="FA6" s="61">
        <f t="shared" si="14"/>
        <v>0.125</v>
      </c>
      <c r="FB6" s="61">
        <f t="shared" si="14"/>
        <v>0.13580246913580246</v>
      </c>
      <c r="FC6" s="61">
        <f t="shared" si="14"/>
        <v>-0.19565217391304349</v>
      </c>
      <c r="FD6" s="61">
        <f t="shared" si="14"/>
        <v>5.4054054054054057E-2</v>
      </c>
      <c r="FE6" s="61">
        <f t="shared" si="14"/>
        <v>0.10256410256410256</v>
      </c>
      <c r="FF6" s="61">
        <f t="shared" si="14"/>
        <v>-4.6511627906976744E-2</v>
      </c>
      <c r="FG6" s="61">
        <f t="shared" si="14"/>
        <v>4.878048780487805E-2</v>
      </c>
      <c r="FH6" s="61">
        <f t="shared" si="14"/>
        <v>-6.9767441860465115E-2</v>
      </c>
      <c r="FI6" s="61">
        <f t="shared" si="15"/>
        <v>0.05</v>
      </c>
      <c r="FJ6" s="61">
        <f t="shared" si="15"/>
        <v>0.16666666666666666</v>
      </c>
      <c r="FK6" s="61">
        <f t="shared" si="15"/>
        <v>-2.0408163265306121E-2</v>
      </c>
      <c r="FL6" s="61">
        <f t="shared" si="15"/>
        <v>-2.0833333333333332E-2</v>
      </c>
      <c r="FM6" s="61">
        <f t="shared" si="15"/>
        <v>4.2553191489361701E-2</v>
      </c>
      <c r="FN6" s="61">
        <f t="shared" si="15"/>
        <v>8.1632653061224483E-2</v>
      </c>
      <c r="FO6" s="61">
        <f t="shared" si="15"/>
        <v>2.7628032345013476E-2</v>
      </c>
      <c r="FP6" s="61">
        <f t="shared" si="15"/>
        <v>4.9180327868852458E-2</v>
      </c>
      <c r="FQ6" s="61">
        <f t="shared" si="15"/>
        <v>-1.5625E-2</v>
      </c>
      <c r="FR6" s="61">
        <f t="shared" si="15"/>
        <v>7.9365079365079361E-2</v>
      </c>
      <c r="FS6" s="61">
        <f t="shared" si="16"/>
        <v>8.8235294117647065E-2</v>
      </c>
      <c r="FT6" s="61">
        <f t="shared" si="16"/>
        <v>0.13513513513513514</v>
      </c>
      <c r="FU6" s="61">
        <f t="shared" si="16"/>
        <v>2.3809523809523808E-2</v>
      </c>
      <c r="FV6" s="61">
        <f t="shared" si="16"/>
        <v>8.1395348837209308E-2</v>
      </c>
      <c r="FW6" s="61">
        <f t="shared" si="16"/>
        <v>-2.1505376344086023E-2</v>
      </c>
      <c r="FX6" s="61">
        <f t="shared" si="16"/>
        <v>5.4945054945054944E-2</v>
      </c>
      <c r="FY6" s="61">
        <f t="shared" si="16"/>
        <v>-4.1666666666666664E-2</v>
      </c>
      <c r="FZ6" s="61">
        <f t="shared" si="16"/>
        <v>-7.6086956521739135E-2</v>
      </c>
      <c r="GA6" s="61">
        <f t="shared" si="16"/>
        <v>-5.8823529411764705E-2</v>
      </c>
      <c r="GB6" s="61">
        <f t="shared" si="16"/>
        <v>-1.2500000000000001E-2</v>
      </c>
      <c r="GC6" s="61">
        <f t="shared" si="17"/>
        <v>0.17721518987341772</v>
      </c>
      <c r="GD6" s="61">
        <f t="shared" si="17"/>
        <v>0.20430107526881722</v>
      </c>
      <c r="GE6" s="61">
        <f t="shared" si="17"/>
        <v>5.3571428571428568E-2</v>
      </c>
      <c r="GF6" s="61">
        <f t="shared" si="17"/>
        <v>-1.6949152542372881E-2</v>
      </c>
      <c r="GG6" s="61">
        <f t="shared" si="17"/>
        <v>9.4827586206896547E-2</v>
      </c>
      <c r="GH6" s="61">
        <f t="shared" si="17"/>
        <v>0.10236220472440945</v>
      </c>
      <c r="GI6" s="61">
        <f t="shared" si="17"/>
        <v>-7.1428571428571425E-2</v>
      </c>
      <c r="GJ6" s="61">
        <f t="shared" si="17"/>
        <v>2.3076923076923078E-2</v>
      </c>
      <c r="GK6" s="61">
        <f t="shared" si="17"/>
        <v>-0.17293233082706766</v>
      </c>
      <c r="GL6" s="61">
        <f t="shared" si="17"/>
        <v>-0.15454545454545454</v>
      </c>
      <c r="GM6" s="61">
        <f t="shared" si="18"/>
        <v>2.903225806451613E-2</v>
      </c>
      <c r="GN6" s="61">
        <f t="shared" si="18"/>
        <v>0.25391849529780564</v>
      </c>
      <c r="GO6" s="61">
        <f t="shared" si="18"/>
        <v>1.5833333333333335E-2</v>
      </c>
      <c r="GP6" s="61">
        <f t="shared" si="18"/>
        <v>2.5430680885972109E-2</v>
      </c>
      <c r="GQ6" s="61">
        <f t="shared" si="18"/>
        <v>1.6E-2</v>
      </c>
      <c r="GR6" s="61">
        <f t="shared" si="18"/>
        <v>6.2992125984251968E-2</v>
      </c>
      <c r="GS6" s="61">
        <f t="shared" si="18"/>
        <v>6.6666666666666666E-2</v>
      </c>
      <c r="GT6" s="61">
        <f t="shared" si="18"/>
        <v>-0.15972222222222221</v>
      </c>
      <c r="GU6" s="61">
        <f t="shared" si="18"/>
        <v>0.11570247933884298</v>
      </c>
      <c r="GV6" s="61">
        <f t="shared" si="18"/>
        <v>0.14814814814814814</v>
      </c>
      <c r="GW6" s="61">
        <f t="shared" si="19"/>
        <v>0.12903225806451613</v>
      </c>
      <c r="GX6" s="61">
        <f t="shared" si="19"/>
        <v>0.10285714285714286</v>
      </c>
      <c r="GY6" s="61">
        <f t="shared" si="19"/>
        <v>1.5544041450777202E-2</v>
      </c>
      <c r="GZ6" s="61">
        <f t="shared" si="19"/>
        <v>9.6938775510204078E-2</v>
      </c>
      <c r="HA6" s="61">
        <f t="shared" si="19"/>
        <v>0.10697674418604651</v>
      </c>
      <c r="HB6" s="61">
        <f t="shared" si="19"/>
        <v>-0.18907563025210083</v>
      </c>
      <c r="HC6" s="61">
        <f t="shared" si="19"/>
        <v>0.22797927461139897</v>
      </c>
      <c r="HD6" s="61">
        <f t="shared" si="19"/>
        <v>-1.6877637130801686E-2</v>
      </c>
      <c r="HE6" s="61">
        <f t="shared" si="19"/>
        <v>9.8712446351931327E-2</v>
      </c>
      <c r="HF6" s="61">
        <f t="shared" si="19"/>
        <v>0.125</v>
      </c>
      <c r="HG6" s="61">
        <f t="shared" si="20"/>
        <v>-8.3333333333333329E-2</v>
      </c>
      <c r="HH6" s="61">
        <f t="shared" si="20"/>
        <v>0.15151515151515152</v>
      </c>
      <c r="HI6" s="61">
        <f t="shared" si="10"/>
        <v>-6.5789473684210523E-3</v>
      </c>
      <c r="HJ6" s="61">
        <f t="shared" si="10"/>
        <v>0.18211920529801323</v>
      </c>
      <c r="HK6" s="61">
        <f t="shared" si="10"/>
        <v>0.20728291316526612</v>
      </c>
      <c r="HL6" s="61">
        <f t="shared" si="10"/>
        <v>3.9443155452436193E-2</v>
      </c>
      <c r="HM6" s="61">
        <f t="shared" si="10"/>
        <v>-0.17410714285714285</v>
      </c>
      <c r="HN6" s="61">
        <f t="shared" si="10"/>
        <v>0.10810810810810811</v>
      </c>
      <c r="HP6" s="61">
        <f t="shared" si="4"/>
        <v>7.2844244544757936E-2</v>
      </c>
      <c r="HQ6" s="61">
        <f t="shared" si="5"/>
        <v>4.1240908043823021E-2</v>
      </c>
      <c r="HR6" s="61">
        <f t="shared" si="6"/>
        <v>4.8479101493568114E-2</v>
      </c>
      <c r="HS6" s="167">
        <f t="shared" si="7"/>
        <v>6.8181818181818177E-2</v>
      </c>
      <c r="HT6" s="89">
        <f t="shared" si="8"/>
        <v>5.121764071834408E-2</v>
      </c>
      <c r="HU6" s="89">
        <f t="shared" si="9"/>
        <v>6.482939632545931E-2</v>
      </c>
      <c r="HW6" s="168" t="s">
        <v>41</v>
      </c>
      <c r="HX6" s="35">
        <v>6.8181818181818205E-2</v>
      </c>
      <c r="HY6" s="27" t="s">
        <v>131</v>
      </c>
    </row>
    <row r="7" spans="1:233" ht="15" customHeight="1" x14ac:dyDescent="0.2">
      <c r="A7" s="9" t="s">
        <v>132</v>
      </c>
      <c r="B7" s="58" t="s">
        <v>42</v>
      </c>
      <c r="C7" s="166">
        <v>614</v>
      </c>
      <c r="D7" s="166">
        <v>1058</v>
      </c>
      <c r="E7" s="166">
        <v>1038</v>
      </c>
      <c r="F7" s="166">
        <v>1017</v>
      </c>
      <c r="G7" s="166">
        <v>996</v>
      </c>
      <c r="H7" s="166">
        <v>975</v>
      </c>
      <c r="I7" s="166">
        <v>832</v>
      </c>
      <c r="J7" s="166">
        <v>688</v>
      </c>
      <c r="K7" s="166">
        <v>544</v>
      </c>
      <c r="L7" s="166">
        <v>400</v>
      </c>
      <c r="M7" s="166">
        <v>459</v>
      </c>
      <c r="N7" s="166">
        <v>517</v>
      </c>
      <c r="O7" s="166">
        <v>575</v>
      </c>
      <c r="P7" s="166">
        <v>633.7808</v>
      </c>
      <c r="Q7" s="166">
        <v>760.67920000000004</v>
      </c>
      <c r="R7" s="166">
        <v>887.57759999999996</v>
      </c>
      <c r="S7" s="166">
        <v>1014.476</v>
      </c>
      <c r="T7" s="166">
        <v>1141.3743999999999</v>
      </c>
      <c r="U7" s="166">
        <v>1156.2080000000001</v>
      </c>
      <c r="V7" s="166">
        <v>1171.0416</v>
      </c>
      <c r="W7" s="166">
        <v>1185.8751999999999</v>
      </c>
      <c r="X7" s="166">
        <v>1200.7088000000001</v>
      </c>
      <c r="Y7" s="166">
        <v>1931.2636</v>
      </c>
      <c r="Z7" s="166">
        <v>2661.8184000000001</v>
      </c>
      <c r="AA7" s="166">
        <v>3392.3732</v>
      </c>
      <c r="AB7" s="166">
        <v>4122.8771999999999</v>
      </c>
      <c r="AC7" s="166">
        <v>3736.9495999999999</v>
      </c>
      <c r="AD7" s="166">
        <v>4208.4751999999999</v>
      </c>
      <c r="AE7" s="166">
        <v>3593.4396000000002</v>
      </c>
      <c r="AF7" s="166">
        <v>3636.4164000000001</v>
      </c>
      <c r="AG7" s="166">
        <v>3679.3424</v>
      </c>
      <c r="AH7" s="166">
        <v>3487.5724</v>
      </c>
      <c r="AI7" s="166">
        <v>3368.3447999999999</v>
      </c>
      <c r="AJ7" s="166">
        <v>3249.1172000000001</v>
      </c>
      <c r="AK7" s="166">
        <v>4157.7767999999996</v>
      </c>
      <c r="AL7" s="166">
        <v>5066.3855999999996</v>
      </c>
      <c r="AM7" s="166">
        <v>5974.9943999999996</v>
      </c>
      <c r="AN7" s="166">
        <v>6883.6031999999996</v>
      </c>
      <c r="AO7" s="166">
        <v>8000.2380000000003</v>
      </c>
      <c r="AP7" s="166">
        <v>9628.7844000000005</v>
      </c>
      <c r="AQ7" s="166">
        <v>11043.0056</v>
      </c>
      <c r="AR7" s="166">
        <v>12374</v>
      </c>
      <c r="AS7" s="166">
        <v>13760</v>
      </c>
      <c r="AT7" s="166">
        <v>15300</v>
      </c>
      <c r="AU7" s="166">
        <v>16000</v>
      </c>
      <c r="AV7" s="166">
        <v>15000</v>
      </c>
      <c r="AW7" s="166">
        <v>17000</v>
      </c>
      <c r="AX7" s="166">
        <v>16000</v>
      </c>
      <c r="AY7" s="166">
        <v>15000</v>
      </c>
      <c r="AZ7" s="166">
        <v>16000</v>
      </c>
      <c r="BA7" s="166">
        <v>13000</v>
      </c>
      <c r="BB7" s="166">
        <v>14000</v>
      </c>
      <c r="BC7" s="166">
        <v>16000</v>
      </c>
      <c r="BD7" s="166">
        <v>20000</v>
      </c>
      <c r="BE7" s="166">
        <v>19000</v>
      </c>
      <c r="BF7" s="166">
        <v>19000</v>
      </c>
      <c r="BG7" s="166">
        <v>20000</v>
      </c>
      <c r="BH7" s="166">
        <v>23200</v>
      </c>
      <c r="BI7" s="166">
        <v>24400</v>
      </c>
      <c r="BJ7" s="166">
        <v>23000</v>
      </c>
      <c r="BK7" s="166">
        <v>27000</v>
      </c>
      <c r="BL7" s="166">
        <v>30000</v>
      </c>
      <c r="BM7" s="166">
        <v>20900</v>
      </c>
      <c r="BN7" s="166">
        <v>18900</v>
      </c>
      <c r="BO7" s="166">
        <v>19000</v>
      </c>
      <c r="BP7" s="166">
        <v>23200</v>
      </c>
      <c r="BQ7" s="166">
        <v>26000</v>
      </c>
      <c r="BR7" s="166">
        <v>33700</v>
      </c>
      <c r="BS7" s="166">
        <v>28300</v>
      </c>
      <c r="BT7" s="166">
        <v>21000</v>
      </c>
      <c r="BU7" s="166">
        <v>18600</v>
      </c>
      <c r="BV7" s="166">
        <v>23100</v>
      </c>
      <c r="BW7" s="166">
        <v>30400</v>
      </c>
      <c r="BX7" s="166">
        <v>33400</v>
      </c>
      <c r="BY7" s="166">
        <v>33500</v>
      </c>
      <c r="BZ7" s="166">
        <v>36500</v>
      </c>
      <c r="CA7" s="166">
        <v>32600</v>
      </c>
      <c r="CB7" s="45">
        <v>27300</v>
      </c>
      <c r="CC7" s="45">
        <v>24800</v>
      </c>
      <c r="CD7" s="45">
        <v>22000</v>
      </c>
      <c r="CE7" s="45">
        <v>20600</v>
      </c>
      <c r="CF7" s="166">
        <v>18500</v>
      </c>
      <c r="CG7" s="166">
        <v>22100</v>
      </c>
      <c r="CH7" s="166">
        <v>27000</v>
      </c>
      <c r="CI7" s="166">
        <v>27000</v>
      </c>
      <c r="CJ7" s="45">
        <v>26300</v>
      </c>
      <c r="CK7" s="45">
        <v>29900</v>
      </c>
      <c r="CL7" s="45">
        <v>33300</v>
      </c>
      <c r="CM7" s="45">
        <v>36700</v>
      </c>
      <c r="CN7" s="45">
        <v>47600</v>
      </c>
      <c r="CO7" s="166">
        <v>48400</v>
      </c>
      <c r="CP7" s="166">
        <v>52400</v>
      </c>
      <c r="CQ7" s="166">
        <v>57900</v>
      </c>
      <c r="CR7" s="166">
        <v>67500</v>
      </c>
      <c r="CS7" s="166">
        <v>65500</v>
      </c>
      <c r="CT7" s="166">
        <v>75900</v>
      </c>
      <c r="CU7" s="166">
        <v>72300</v>
      </c>
      <c r="CV7" s="166">
        <v>89500</v>
      </c>
      <c r="CW7" s="166">
        <v>109000</v>
      </c>
      <c r="CX7" s="166">
        <v>103000</v>
      </c>
      <c r="CY7" s="166">
        <v>110000</v>
      </c>
      <c r="CZ7" s="166">
        <v>123000</v>
      </c>
      <c r="DA7" s="166">
        <v>126000</v>
      </c>
      <c r="DB7" s="166">
        <v>111000</v>
      </c>
      <c r="DC7" s="166">
        <v>120000</v>
      </c>
      <c r="DD7" s="166">
        <v>148000</v>
      </c>
      <c r="DE7" s="166">
        <v>144000</v>
      </c>
      <c r="DF7" s="45">
        <v>142000</v>
      </c>
      <c r="DG7" s="166">
        <v>170000</v>
      </c>
      <c r="DH7" s="9"/>
      <c r="DJ7" s="9"/>
      <c r="DK7" s="61">
        <f t="shared" si="21"/>
        <v>0.72312703583061888</v>
      </c>
      <c r="DL7" s="61">
        <f t="shared" si="21"/>
        <v>-1.890359168241966E-2</v>
      </c>
      <c r="DM7" s="61">
        <f t="shared" si="21"/>
        <v>-2.023121387283237E-2</v>
      </c>
      <c r="DN7" s="61">
        <f t="shared" si="21"/>
        <v>-2.0648967551622419E-2</v>
      </c>
      <c r="DO7" s="61">
        <f t="shared" si="21"/>
        <v>-2.1084337349397589E-2</v>
      </c>
      <c r="DP7" s="61">
        <f t="shared" si="21"/>
        <v>-0.14666666666666667</v>
      </c>
      <c r="DQ7" s="61">
        <f t="shared" si="21"/>
        <v>-0.17307692307692307</v>
      </c>
      <c r="DR7" s="61">
        <f t="shared" si="21"/>
        <v>-0.20930232558139536</v>
      </c>
      <c r="DS7" s="61">
        <f t="shared" si="21"/>
        <v>-0.26470588235294118</v>
      </c>
      <c r="DT7" s="61">
        <f t="shared" si="21"/>
        <v>0.14749999999999999</v>
      </c>
      <c r="DU7" s="61">
        <f t="shared" si="11"/>
        <v>0.12636165577342048</v>
      </c>
      <c r="DV7" s="61">
        <f t="shared" si="11"/>
        <v>0.11218568665377177</v>
      </c>
      <c r="DW7" s="61">
        <f t="shared" si="11"/>
        <v>0.10222747826086956</v>
      </c>
      <c r="DX7" s="61">
        <f t="shared" si="11"/>
        <v>0.20022443090734215</v>
      </c>
      <c r="DY7" s="61">
        <f t="shared" si="11"/>
        <v>0.16682249232002128</v>
      </c>
      <c r="DZ7" s="61">
        <f t="shared" si="11"/>
        <v>0.14297161172161177</v>
      </c>
      <c r="EA7" s="61">
        <f t="shared" si="11"/>
        <v>0.12508763144717069</v>
      </c>
      <c r="EB7" s="61">
        <f t="shared" si="11"/>
        <v>1.2996261349474949E-2</v>
      </c>
      <c r="EC7" s="61">
        <f t="shared" si="11"/>
        <v>1.2829525483303983E-2</v>
      </c>
      <c r="ED7" s="61">
        <f t="shared" si="11"/>
        <v>1.2667013708138065E-2</v>
      </c>
      <c r="EE7" s="61">
        <f t="shared" si="12"/>
        <v>1.2508567511994653E-2</v>
      </c>
      <c r="EF7" s="61">
        <f t="shared" si="12"/>
        <v>0.60843628363513269</v>
      </c>
      <c r="EG7" s="61">
        <f t="shared" si="12"/>
        <v>0.37827813872741151</v>
      </c>
      <c r="EH7" s="61">
        <f t="shared" si="12"/>
        <v>0.27445704034505131</v>
      </c>
      <c r="EI7" s="61">
        <f t="shared" si="12"/>
        <v>0.21533715689063926</v>
      </c>
      <c r="EJ7" s="61">
        <f t="shared" si="12"/>
        <v>-9.3606377604455449E-2</v>
      </c>
      <c r="EK7" s="61">
        <f t="shared" si="12"/>
        <v>0.126179277344281</v>
      </c>
      <c r="EL7" s="61">
        <f t="shared" si="12"/>
        <v>-0.14614214668533623</v>
      </c>
      <c r="EM7" s="61">
        <f t="shared" si="12"/>
        <v>1.1959794732601019E-2</v>
      </c>
      <c r="EN7" s="61">
        <f t="shared" si="12"/>
        <v>1.1804478717013797E-2</v>
      </c>
      <c r="EO7" s="61">
        <f t="shared" si="13"/>
        <v>-5.2120726790743907E-2</v>
      </c>
      <c r="EP7" s="61">
        <f t="shared" si="13"/>
        <v>-3.4186415742939173E-2</v>
      </c>
      <c r="EQ7" s="61">
        <f t="shared" si="13"/>
        <v>-3.5396495038156339E-2</v>
      </c>
      <c r="ER7" s="61">
        <f t="shared" si="13"/>
        <v>0.27966353445175801</v>
      </c>
      <c r="ES7" s="61">
        <f t="shared" si="13"/>
        <v>0.21853236566234149</v>
      </c>
      <c r="ET7" s="61">
        <f t="shared" si="13"/>
        <v>0.17934063289616173</v>
      </c>
      <c r="EU7" s="61">
        <f t="shared" si="13"/>
        <v>0.15206856093455084</v>
      </c>
      <c r="EV7" s="61">
        <f t="shared" si="13"/>
        <v>0.16221661353170397</v>
      </c>
      <c r="EW7" s="61">
        <f t="shared" si="13"/>
        <v>0.20356224402324033</v>
      </c>
      <c r="EX7" s="61">
        <f t="shared" si="13"/>
        <v>0.14687432403201384</v>
      </c>
      <c r="EY7" s="61">
        <f t="shared" si="14"/>
        <v>0.12052827357073871</v>
      </c>
      <c r="EZ7" s="61">
        <f t="shared" si="14"/>
        <v>0.11200905123646356</v>
      </c>
      <c r="FA7" s="61">
        <f t="shared" si="14"/>
        <v>0.1119186046511628</v>
      </c>
      <c r="FB7" s="61">
        <f t="shared" si="14"/>
        <v>4.5751633986928102E-2</v>
      </c>
      <c r="FC7" s="61">
        <f t="shared" si="14"/>
        <v>-6.25E-2</v>
      </c>
      <c r="FD7" s="61">
        <f t="shared" si="14"/>
        <v>0.13333333333333333</v>
      </c>
      <c r="FE7" s="61">
        <f t="shared" si="14"/>
        <v>-5.8823529411764705E-2</v>
      </c>
      <c r="FF7" s="61">
        <f t="shared" si="14"/>
        <v>-6.25E-2</v>
      </c>
      <c r="FG7" s="61">
        <f t="shared" si="14"/>
        <v>6.6666666666666666E-2</v>
      </c>
      <c r="FH7" s="61">
        <f t="shared" si="14"/>
        <v>-0.1875</v>
      </c>
      <c r="FI7" s="61">
        <f t="shared" si="15"/>
        <v>7.6923076923076927E-2</v>
      </c>
      <c r="FJ7" s="61">
        <f t="shared" si="15"/>
        <v>0.14285714285714285</v>
      </c>
      <c r="FK7" s="61">
        <f t="shared" si="15"/>
        <v>0.25</v>
      </c>
      <c r="FL7" s="61">
        <f t="shared" si="15"/>
        <v>-0.05</v>
      </c>
      <c r="FM7" s="61">
        <f t="shared" si="15"/>
        <v>0</v>
      </c>
      <c r="FN7" s="61">
        <f t="shared" si="15"/>
        <v>5.2631578947368418E-2</v>
      </c>
      <c r="FO7" s="61">
        <f t="shared" si="15"/>
        <v>0.16</v>
      </c>
      <c r="FP7" s="61">
        <f t="shared" si="15"/>
        <v>5.1724137931034482E-2</v>
      </c>
      <c r="FQ7" s="61">
        <f t="shared" si="15"/>
        <v>-5.737704918032787E-2</v>
      </c>
      <c r="FR7" s="61">
        <f t="shared" si="15"/>
        <v>0.17391304347826086</v>
      </c>
      <c r="FS7" s="61">
        <f t="shared" si="16"/>
        <v>0.1111111111111111</v>
      </c>
      <c r="FT7" s="61">
        <f t="shared" si="16"/>
        <v>-0.30333333333333334</v>
      </c>
      <c r="FU7" s="61">
        <f t="shared" si="16"/>
        <v>-9.569377990430622E-2</v>
      </c>
      <c r="FV7" s="61">
        <f t="shared" si="16"/>
        <v>5.2910052910052907E-3</v>
      </c>
      <c r="FW7" s="61">
        <f t="shared" si="16"/>
        <v>0.22105263157894736</v>
      </c>
      <c r="FX7" s="61">
        <f t="shared" si="16"/>
        <v>0.1206896551724138</v>
      </c>
      <c r="FY7" s="61">
        <f t="shared" si="16"/>
        <v>0.29615384615384616</v>
      </c>
      <c r="FZ7" s="61">
        <f t="shared" si="16"/>
        <v>-0.16023738872403562</v>
      </c>
      <c r="GA7" s="61">
        <f t="shared" si="16"/>
        <v>-0.25795053003533569</v>
      </c>
      <c r="GB7" s="61">
        <f t="shared" si="16"/>
        <v>-0.11428571428571428</v>
      </c>
      <c r="GC7" s="61">
        <f t="shared" si="17"/>
        <v>0.24193548387096775</v>
      </c>
      <c r="GD7" s="61">
        <f t="shared" si="17"/>
        <v>0.31601731601731603</v>
      </c>
      <c r="GE7" s="61">
        <f t="shared" si="17"/>
        <v>9.8684210526315791E-2</v>
      </c>
      <c r="GF7" s="61">
        <f t="shared" si="17"/>
        <v>2.9940119760479044E-3</v>
      </c>
      <c r="GG7" s="61">
        <f t="shared" si="17"/>
        <v>8.9552238805970144E-2</v>
      </c>
      <c r="GH7" s="61">
        <f t="shared" si="17"/>
        <v>-0.10684931506849316</v>
      </c>
      <c r="GI7" s="61">
        <f t="shared" si="17"/>
        <v>-0.16257668711656442</v>
      </c>
      <c r="GJ7" s="61">
        <f t="shared" si="17"/>
        <v>-9.1575091575091569E-2</v>
      </c>
      <c r="GK7" s="61">
        <f t="shared" si="17"/>
        <v>-0.11290322580645161</v>
      </c>
      <c r="GL7" s="61">
        <f t="shared" si="17"/>
        <v>-6.363636363636363E-2</v>
      </c>
      <c r="GM7" s="61">
        <f t="shared" si="18"/>
        <v>-0.10194174757281553</v>
      </c>
      <c r="GN7" s="61">
        <f t="shared" si="18"/>
        <v>0.19459459459459461</v>
      </c>
      <c r="GO7" s="61">
        <f t="shared" si="18"/>
        <v>0.22171945701357465</v>
      </c>
      <c r="GP7" s="61">
        <f t="shared" si="18"/>
        <v>0</v>
      </c>
      <c r="GQ7" s="61">
        <f t="shared" si="18"/>
        <v>-2.5925925925925925E-2</v>
      </c>
      <c r="GR7" s="61">
        <f t="shared" si="18"/>
        <v>0.13688212927756654</v>
      </c>
      <c r="GS7" s="61">
        <f t="shared" si="18"/>
        <v>0.11371237458193979</v>
      </c>
      <c r="GT7" s="61">
        <f t="shared" si="18"/>
        <v>0.1021021021021021</v>
      </c>
      <c r="GU7" s="61">
        <f t="shared" si="18"/>
        <v>0.29700272479564033</v>
      </c>
      <c r="GV7" s="61">
        <f t="shared" si="18"/>
        <v>1.680672268907563E-2</v>
      </c>
      <c r="GW7" s="61">
        <f t="shared" si="19"/>
        <v>8.2644628099173556E-2</v>
      </c>
      <c r="GX7" s="61">
        <f t="shared" si="19"/>
        <v>0.1049618320610687</v>
      </c>
      <c r="GY7" s="61">
        <f t="shared" si="19"/>
        <v>0.16580310880829016</v>
      </c>
      <c r="GZ7" s="61">
        <f t="shared" si="19"/>
        <v>-2.9629629629629631E-2</v>
      </c>
      <c r="HA7" s="61">
        <f t="shared" si="19"/>
        <v>0.15877862595419848</v>
      </c>
      <c r="HB7" s="61">
        <f t="shared" si="19"/>
        <v>-4.7430830039525688E-2</v>
      </c>
      <c r="HC7" s="61">
        <f t="shared" si="19"/>
        <v>0.23789764868603042</v>
      </c>
      <c r="HD7" s="61">
        <f t="shared" si="19"/>
        <v>0.21787709497206703</v>
      </c>
      <c r="HE7" s="61">
        <f t="shared" si="19"/>
        <v>-5.5045871559633031E-2</v>
      </c>
      <c r="HF7" s="61">
        <f t="shared" si="19"/>
        <v>6.7961165048543687E-2</v>
      </c>
      <c r="HG7" s="61">
        <f t="shared" si="20"/>
        <v>0.11818181818181818</v>
      </c>
      <c r="HH7" s="61">
        <f t="shared" si="20"/>
        <v>2.4390243902439025E-2</v>
      </c>
      <c r="HI7" s="61">
        <f t="shared" si="10"/>
        <v>-0.11904761904761904</v>
      </c>
      <c r="HJ7" s="61">
        <f t="shared" si="10"/>
        <v>8.1081081081081086E-2</v>
      </c>
      <c r="HK7" s="61">
        <f t="shared" si="10"/>
        <v>0.23333333333333334</v>
      </c>
      <c r="HL7" s="61">
        <f t="shared" si="10"/>
        <v>-2.7027027027027029E-2</v>
      </c>
      <c r="HM7" s="61">
        <f t="shared" si="10"/>
        <v>-1.3888888888888888E-2</v>
      </c>
      <c r="HN7" s="61">
        <f t="shared" si="10"/>
        <v>0.19718309859154928</v>
      </c>
      <c r="HP7" s="61">
        <f t="shared" si="4"/>
        <v>6.515851904617749E-2</v>
      </c>
      <c r="HQ7" s="61">
        <f t="shared" si="5"/>
        <v>6.0071402373392216E-2</v>
      </c>
      <c r="HR7" s="61">
        <f t="shared" si="6"/>
        <v>6.5440026395482229E-2</v>
      </c>
      <c r="HS7" s="89">
        <f t="shared" si="7"/>
        <v>7.2442120985810307E-2</v>
      </c>
      <c r="HT7" s="89">
        <f t="shared" si="8"/>
        <v>7.4521123064812386E-2</v>
      </c>
      <c r="HU7" s="173">
        <f t="shared" si="9"/>
        <v>8.1862854590127321E-2</v>
      </c>
      <c r="HW7" s="168" t="s">
        <v>42</v>
      </c>
      <c r="HX7" s="35">
        <f>HS7</f>
        <v>7.2442120985810307E-2</v>
      </c>
      <c r="HY7" s="27" t="s">
        <v>131</v>
      </c>
    </row>
    <row r="8" spans="1:233" ht="15" customHeight="1" x14ac:dyDescent="0.2">
      <c r="A8" s="9" t="s">
        <v>132</v>
      </c>
      <c r="B8" s="58" t="s">
        <v>44</v>
      </c>
      <c r="C8" s="166">
        <v>1097600</v>
      </c>
      <c r="D8" s="166">
        <v>1233000</v>
      </c>
      <c r="E8" s="166">
        <v>1349600</v>
      </c>
      <c r="F8" s="166">
        <v>1475000</v>
      </c>
      <c r="G8" s="166">
        <v>1601600</v>
      </c>
      <c r="H8" s="166">
        <v>1349000</v>
      </c>
      <c r="I8" s="166">
        <v>1097000</v>
      </c>
      <c r="J8" s="166">
        <v>845000</v>
      </c>
      <c r="K8" s="166">
        <v>593600</v>
      </c>
      <c r="L8" s="166">
        <v>952000</v>
      </c>
      <c r="M8" s="166">
        <v>1388800</v>
      </c>
      <c r="N8" s="166">
        <v>1500800</v>
      </c>
      <c r="O8" s="166">
        <v>1646400</v>
      </c>
      <c r="P8" s="166">
        <v>1691200</v>
      </c>
      <c r="Q8" s="166">
        <v>1680000</v>
      </c>
      <c r="R8" s="166">
        <v>1892800</v>
      </c>
      <c r="S8" s="166">
        <v>2128000</v>
      </c>
      <c r="T8" s="166">
        <v>1814400</v>
      </c>
      <c r="U8" s="166">
        <v>1545600</v>
      </c>
      <c r="V8" s="166">
        <v>1008000</v>
      </c>
      <c r="W8" s="166">
        <v>1142400</v>
      </c>
      <c r="X8" s="166">
        <v>1411200</v>
      </c>
      <c r="Y8" s="166">
        <v>1635200</v>
      </c>
      <c r="Z8" s="166">
        <v>1904000</v>
      </c>
      <c r="AA8" s="166">
        <v>2576000</v>
      </c>
      <c r="AB8" s="166">
        <v>2240000</v>
      </c>
      <c r="AC8" s="166">
        <v>2396800</v>
      </c>
      <c r="AD8" s="166">
        <v>2710400</v>
      </c>
      <c r="AE8" s="166">
        <v>2822400</v>
      </c>
      <c r="AF8" s="166">
        <v>2968000</v>
      </c>
      <c r="AG8" s="166">
        <v>3024000</v>
      </c>
      <c r="AH8" s="166">
        <v>2800000</v>
      </c>
      <c r="AI8" s="166">
        <v>2374400</v>
      </c>
      <c r="AJ8" s="166">
        <v>2004800</v>
      </c>
      <c r="AK8" s="166">
        <v>2419200</v>
      </c>
      <c r="AL8" s="166">
        <v>2531200</v>
      </c>
      <c r="AM8" s="166">
        <v>2486400</v>
      </c>
      <c r="AN8" s="166">
        <v>2749600</v>
      </c>
      <c r="AO8" s="166">
        <v>2945600</v>
      </c>
      <c r="AP8" s="166">
        <v>3020640</v>
      </c>
      <c r="AQ8" s="166">
        <v>3103520</v>
      </c>
      <c r="AR8" s="166">
        <v>3118080</v>
      </c>
      <c r="AS8" s="166">
        <v>3427200</v>
      </c>
      <c r="AT8" s="166">
        <v>3808000</v>
      </c>
      <c r="AU8" s="166">
        <v>3808000</v>
      </c>
      <c r="AV8" s="166">
        <v>3696000</v>
      </c>
      <c r="AW8" s="166">
        <v>3920000</v>
      </c>
      <c r="AX8" s="166">
        <v>4592000</v>
      </c>
      <c r="AY8" s="166">
        <v>4704000</v>
      </c>
      <c r="AZ8" s="166">
        <v>4928000</v>
      </c>
      <c r="BA8" s="166">
        <v>5040000</v>
      </c>
      <c r="BB8" s="166">
        <v>5376000</v>
      </c>
      <c r="BC8" s="166">
        <v>5712000</v>
      </c>
      <c r="BD8" s="166">
        <v>6048000</v>
      </c>
      <c r="BE8" s="166">
        <v>5376000</v>
      </c>
      <c r="BF8" s="166">
        <v>5936000</v>
      </c>
      <c r="BG8" s="166">
        <v>6832000</v>
      </c>
      <c r="BH8" s="166">
        <v>6400000</v>
      </c>
      <c r="BI8" s="166">
        <v>6400000</v>
      </c>
      <c r="BJ8" s="166">
        <v>7000000</v>
      </c>
      <c r="BK8" s="166">
        <v>7400000</v>
      </c>
      <c r="BL8" s="166">
        <v>7700000</v>
      </c>
      <c r="BM8" s="166">
        <v>7250000</v>
      </c>
      <c r="BN8" s="166">
        <v>7850000</v>
      </c>
      <c r="BO8" s="166">
        <v>7950000</v>
      </c>
      <c r="BP8" s="166">
        <v>7900000</v>
      </c>
      <c r="BQ8" s="166">
        <v>8000000</v>
      </c>
      <c r="BR8" s="166">
        <v>7700000</v>
      </c>
      <c r="BS8" s="166">
        <v>8200000</v>
      </c>
      <c r="BT8" s="166">
        <v>8000000</v>
      </c>
      <c r="BU8" s="166">
        <v>8100000</v>
      </c>
      <c r="BV8" s="166">
        <v>8300000</v>
      </c>
      <c r="BW8" s="166">
        <v>8400000</v>
      </c>
      <c r="BX8" s="166">
        <v>8500000</v>
      </c>
      <c r="BY8" s="166">
        <v>8800000</v>
      </c>
      <c r="BZ8" s="166">
        <v>8800000</v>
      </c>
      <c r="CA8" s="166">
        <v>9200000</v>
      </c>
      <c r="CB8" s="45">
        <v>9100000</v>
      </c>
      <c r="CC8" s="45">
        <v>9300000</v>
      </c>
      <c r="CD8" s="45">
        <v>9500000</v>
      </c>
      <c r="CE8" s="45">
        <v>9430000</v>
      </c>
      <c r="CF8" s="166">
        <v>9430000</v>
      </c>
      <c r="CG8" s="166">
        <v>10000000</v>
      </c>
      <c r="CH8" s="166">
        <v>11000000</v>
      </c>
      <c r="CI8" s="166">
        <v>11400000</v>
      </c>
      <c r="CJ8" s="45">
        <v>12200000</v>
      </c>
      <c r="CK8" s="45">
        <v>12600000</v>
      </c>
      <c r="CL8" s="45">
        <v>13200000</v>
      </c>
      <c r="CM8" s="45">
        <v>13700000</v>
      </c>
      <c r="CN8" s="45">
        <v>13600000</v>
      </c>
      <c r="CO8" s="166">
        <v>13600000</v>
      </c>
      <c r="CP8" s="166">
        <v>14600000</v>
      </c>
      <c r="CQ8" s="166">
        <v>15000000</v>
      </c>
      <c r="CR8" s="166">
        <v>15100000</v>
      </c>
      <c r="CS8" s="166">
        <v>15400000</v>
      </c>
      <c r="CT8" s="166">
        <v>15400000</v>
      </c>
      <c r="CU8" s="166">
        <v>15900000</v>
      </c>
      <c r="CV8" s="166">
        <v>15900000</v>
      </c>
      <c r="CW8" s="166">
        <v>16100000</v>
      </c>
      <c r="CX8" s="166">
        <v>16900000</v>
      </c>
      <c r="CY8" s="166">
        <v>18300000</v>
      </c>
      <c r="CZ8" s="166">
        <v>18500000</v>
      </c>
      <c r="DA8" s="166">
        <v>19100000</v>
      </c>
      <c r="DB8" s="166">
        <v>20100000</v>
      </c>
      <c r="DC8" s="166">
        <v>20000000</v>
      </c>
      <c r="DD8" s="166">
        <v>20400000</v>
      </c>
      <c r="DE8" s="166">
        <v>20400000</v>
      </c>
      <c r="DF8" s="45">
        <v>20600000</v>
      </c>
      <c r="DG8" s="166">
        <v>21000000</v>
      </c>
      <c r="DH8" s="9"/>
      <c r="DJ8" s="9"/>
      <c r="DK8" s="61">
        <f t="shared" si="21"/>
        <v>0.1233600583090379</v>
      </c>
      <c r="DL8" s="61">
        <f t="shared" si="21"/>
        <v>9.4566098945660995E-2</v>
      </c>
      <c r="DM8" s="61">
        <f t="shared" si="21"/>
        <v>9.291641967990516E-2</v>
      </c>
      <c r="DN8" s="61">
        <f t="shared" si="21"/>
        <v>8.5830508474576267E-2</v>
      </c>
      <c r="DO8" s="61">
        <f t="shared" si="21"/>
        <v>-0.15771728271728272</v>
      </c>
      <c r="DP8" s="61">
        <f t="shared" si="21"/>
        <v>-0.18680504077094143</v>
      </c>
      <c r="DQ8" s="61">
        <f t="shared" si="21"/>
        <v>-0.22971741112123975</v>
      </c>
      <c r="DR8" s="61">
        <f t="shared" si="21"/>
        <v>-0.2975147928994083</v>
      </c>
      <c r="DS8" s="61">
        <f t="shared" si="21"/>
        <v>0.60377358490566035</v>
      </c>
      <c r="DT8" s="61">
        <f t="shared" si="21"/>
        <v>0.45882352941176469</v>
      </c>
      <c r="DU8" s="61">
        <f t="shared" si="11"/>
        <v>8.0645161290322578E-2</v>
      </c>
      <c r="DV8" s="61">
        <f t="shared" si="11"/>
        <v>9.7014925373134331E-2</v>
      </c>
      <c r="DW8" s="61">
        <f t="shared" si="11"/>
        <v>2.7210884353741496E-2</v>
      </c>
      <c r="DX8" s="61">
        <f t="shared" si="11"/>
        <v>-6.6225165562913907E-3</v>
      </c>
      <c r="DY8" s="61">
        <f t="shared" si="11"/>
        <v>0.12666666666666668</v>
      </c>
      <c r="DZ8" s="61">
        <f t="shared" si="11"/>
        <v>0.1242603550295858</v>
      </c>
      <c r="EA8" s="61">
        <f t="shared" si="11"/>
        <v>-0.14736842105263157</v>
      </c>
      <c r="EB8" s="61">
        <f t="shared" si="11"/>
        <v>-0.14814814814814814</v>
      </c>
      <c r="EC8" s="61">
        <f t="shared" si="11"/>
        <v>-0.34782608695652173</v>
      </c>
      <c r="ED8" s="61">
        <f t="shared" si="11"/>
        <v>0.13333333333333333</v>
      </c>
      <c r="EE8" s="61">
        <f t="shared" si="12"/>
        <v>0.23529411764705882</v>
      </c>
      <c r="EF8" s="61">
        <f t="shared" si="12"/>
        <v>0.15873015873015872</v>
      </c>
      <c r="EG8" s="61">
        <f t="shared" si="12"/>
        <v>0.16438356164383561</v>
      </c>
      <c r="EH8" s="61">
        <f t="shared" si="12"/>
        <v>0.35294117647058826</v>
      </c>
      <c r="EI8" s="61">
        <f t="shared" si="12"/>
        <v>-0.13043478260869565</v>
      </c>
      <c r="EJ8" s="61">
        <f t="shared" si="12"/>
        <v>7.0000000000000007E-2</v>
      </c>
      <c r="EK8" s="61">
        <f t="shared" si="12"/>
        <v>0.13084112149532709</v>
      </c>
      <c r="EL8" s="61">
        <f t="shared" si="12"/>
        <v>4.1322314049586778E-2</v>
      </c>
      <c r="EM8" s="61">
        <f t="shared" si="12"/>
        <v>5.1587301587301584E-2</v>
      </c>
      <c r="EN8" s="61">
        <f t="shared" si="12"/>
        <v>1.8867924528301886E-2</v>
      </c>
      <c r="EO8" s="61">
        <f t="shared" si="13"/>
        <v>-7.407407407407407E-2</v>
      </c>
      <c r="EP8" s="61">
        <f t="shared" si="13"/>
        <v>-0.152</v>
      </c>
      <c r="EQ8" s="61">
        <f t="shared" si="13"/>
        <v>-0.15566037735849056</v>
      </c>
      <c r="ER8" s="61">
        <f t="shared" si="13"/>
        <v>0.20670391061452514</v>
      </c>
      <c r="ES8" s="61">
        <f t="shared" si="13"/>
        <v>4.6296296296296294E-2</v>
      </c>
      <c r="ET8" s="61">
        <f t="shared" si="13"/>
        <v>-1.7699115044247787E-2</v>
      </c>
      <c r="EU8" s="61">
        <f t="shared" si="13"/>
        <v>0.10585585585585586</v>
      </c>
      <c r="EV8" s="61">
        <f t="shared" si="13"/>
        <v>7.128309572301425E-2</v>
      </c>
      <c r="EW8" s="61">
        <f t="shared" si="13"/>
        <v>2.547528517110266E-2</v>
      </c>
      <c r="EX8" s="61">
        <f t="shared" si="13"/>
        <v>2.7437893956247683E-2</v>
      </c>
      <c r="EY8" s="61">
        <f t="shared" si="14"/>
        <v>4.6914471309996387E-3</v>
      </c>
      <c r="EZ8" s="61">
        <f t="shared" si="14"/>
        <v>9.9137931034482762E-2</v>
      </c>
      <c r="FA8" s="61">
        <f t="shared" si="14"/>
        <v>0.1111111111111111</v>
      </c>
      <c r="FB8" s="61">
        <f t="shared" si="14"/>
        <v>0</v>
      </c>
      <c r="FC8" s="61">
        <f t="shared" si="14"/>
        <v>-2.9411764705882353E-2</v>
      </c>
      <c r="FD8" s="61">
        <f t="shared" si="14"/>
        <v>6.0606060606060608E-2</v>
      </c>
      <c r="FE8" s="61">
        <f t="shared" si="14"/>
        <v>0.17142857142857143</v>
      </c>
      <c r="FF8" s="61">
        <f t="shared" si="14"/>
        <v>2.4390243902439025E-2</v>
      </c>
      <c r="FG8" s="61">
        <f t="shared" si="14"/>
        <v>4.7619047619047616E-2</v>
      </c>
      <c r="FH8" s="61">
        <f t="shared" si="14"/>
        <v>2.2727272727272728E-2</v>
      </c>
      <c r="FI8" s="61">
        <f t="shared" si="15"/>
        <v>6.6666666666666666E-2</v>
      </c>
      <c r="FJ8" s="61">
        <f t="shared" si="15"/>
        <v>6.25E-2</v>
      </c>
      <c r="FK8" s="61">
        <f t="shared" si="15"/>
        <v>5.8823529411764705E-2</v>
      </c>
      <c r="FL8" s="61">
        <f t="shared" si="15"/>
        <v>-0.1111111111111111</v>
      </c>
      <c r="FM8" s="61">
        <f t="shared" si="15"/>
        <v>0.10416666666666667</v>
      </c>
      <c r="FN8" s="61">
        <f t="shared" si="15"/>
        <v>0.15094339622641509</v>
      </c>
      <c r="FO8" s="61">
        <f t="shared" si="15"/>
        <v>-6.323185011709602E-2</v>
      </c>
      <c r="FP8" s="61">
        <f t="shared" si="15"/>
        <v>0</v>
      </c>
      <c r="FQ8" s="61">
        <f t="shared" si="15"/>
        <v>9.375E-2</v>
      </c>
      <c r="FR8" s="61">
        <f t="shared" si="15"/>
        <v>5.7142857142857141E-2</v>
      </c>
      <c r="FS8" s="61">
        <f t="shared" si="16"/>
        <v>4.0540540540540543E-2</v>
      </c>
      <c r="FT8" s="61">
        <f t="shared" si="16"/>
        <v>-5.844155844155844E-2</v>
      </c>
      <c r="FU8" s="61">
        <f t="shared" si="16"/>
        <v>8.2758620689655171E-2</v>
      </c>
      <c r="FV8" s="61">
        <f t="shared" si="16"/>
        <v>1.2738853503184714E-2</v>
      </c>
      <c r="FW8" s="61">
        <f t="shared" si="16"/>
        <v>-6.2893081761006293E-3</v>
      </c>
      <c r="FX8" s="61">
        <f t="shared" si="16"/>
        <v>1.2658227848101266E-2</v>
      </c>
      <c r="FY8" s="61">
        <f t="shared" si="16"/>
        <v>-3.7499999999999999E-2</v>
      </c>
      <c r="FZ8" s="61">
        <f t="shared" si="16"/>
        <v>6.4935064935064929E-2</v>
      </c>
      <c r="GA8" s="61">
        <f t="shared" si="16"/>
        <v>-2.4390243902439025E-2</v>
      </c>
      <c r="GB8" s="61">
        <f t="shared" si="16"/>
        <v>1.2500000000000001E-2</v>
      </c>
      <c r="GC8" s="61">
        <f t="shared" si="17"/>
        <v>2.4691358024691357E-2</v>
      </c>
      <c r="GD8" s="61">
        <f t="shared" si="17"/>
        <v>1.2048192771084338E-2</v>
      </c>
      <c r="GE8" s="61">
        <f t="shared" si="17"/>
        <v>1.1904761904761904E-2</v>
      </c>
      <c r="GF8" s="61">
        <f t="shared" si="17"/>
        <v>3.5294117647058823E-2</v>
      </c>
      <c r="GG8" s="61">
        <f t="shared" si="17"/>
        <v>0</v>
      </c>
      <c r="GH8" s="61">
        <f t="shared" si="17"/>
        <v>4.5454545454545456E-2</v>
      </c>
      <c r="GI8" s="61">
        <f t="shared" si="17"/>
        <v>-1.0869565217391304E-2</v>
      </c>
      <c r="GJ8" s="61">
        <f t="shared" si="17"/>
        <v>2.197802197802198E-2</v>
      </c>
      <c r="GK8" s="61">
        <f t="shared" si="17"/>
        <v>2.1505376344086023E-2</v>
      </c>
      <c r="GL8" s="61">
        <f t="shared" si="17"/>
        <v>-7.3684210526315788E-3</v>
      </c>
      <c r="GM8" s="61">
        <f t="shared" si="18"/>
        <v>0</v>
      </c>
      <c r="GN8" s="61">
        <f t="shared" si="18"/>
        <v>6.0445387062566275E-2</v>
      </c>
      <c r="GO8" s="61">
        <f t="shared" si="18"/>
        <v>0.1</v>
      </c>
      <c r="GP8" s="61">
        <f t="shared" si="18"/>
        <v>3.6363636363636362E-2</v>
      </c>
      <c r="GQ8" s="61">
        <f t="shared" si="18"/>
        <v>7.0175438596491224E-2</v>
      </c>
      <c r="GR8" s="61">
        <f t="shared" si="18"/>
        <v>3.2786885245901641E-2</v>
      </c>
      <c r="GS8" s="61">
        <f t="shared" si="18"/>
        <v>4.7619047619047616E-2</v>
      </c>
      <c r="GT8" s="61">
        <f t="shared" si="18"/>
        <v>3.787878787878788E-2</v>
      </c>
      <c r="GU8" s="61">
        <f t="shared" si="18"/>
        <v>-7.2992700729927005E-3</v>
      </c>
      <c r="GV8" s="61">
        <f t="shared" si="18"/>
        <v>0</v>
      </c>
      <c r="GW8" s="61">
        <f t="shared" si="19"/>
        <v>7.3529411764705885E-2</v>
      </c>
      <c r="GX8" s="61">
        <f t="shared" si="19"/>
        <v>2.7397260273972601E-2</v>
      </c>
      <c r="GY8" s="61">
        <f t="shared" si="19"/>
        <v>6.6666666666666671E-3</v>
      </c>
      <c r="GZ8" s="61">
        <f t="shared" si="19"/>
        <v>1.9867549668874173E-2</v>
      </c>
      <c r="HA8" s="61">
        <f t="shared" si="19"/>
        <v>0</v>
      </c>
      <c r="HB8" s="61">
        <f t="shared" si="19"/>
        <v>3.2467532467532464E-2</v>
      </c>
      <c r="HC8" s="61">
        <f t="shared" si="19"/>
        <v>0</v>
      </c>
      <c r="HD8" s="61">
        <f t="shared" si="19"/>
        <v>1.2578616352201259E-2</v>
      </c>
      <c r="HE8" s="61">
        <f t="shared" si="19"/>
        <v>4.9689440993788817E-2</v>
      </c>
      <c r="HF8" s="61">
        <f t="shared" si="19"/>
        <v>8.2840236686390539E-2</v>
      </c>
      <c r="HG8" s="61">
        <f t="shared" si="20"/>
        <v>1.092896174863388E-2</v>
      </c>
      <c r="HH8" s="61">
        <f t="shared" si="20"/>
        <v>3.2432432432432434E-2</v>
      </c>
      <c r="HI8" s="61">
        <f t="shared" si="10"/>
        <v>5.2356020942408377E-2</v>
      </c>
      <c r="HJ8" s="61">
        <f t="shared" si="10"/>
        <v>-4.9751243781094526E-3</v>
      </c>
      <c r="HK8" s="61">
        <f t="shared" si="10"/>
        <v>0.02</v>
      </c>
      <c r="HL8" s="61">
        <f t="shared" si="10"/>
        <v>0</v>
      </c>
      <c r="HM8" s="61">
        <f t="shared" si="10"/>
        <v>9.8039215686274508E-3</v>
      </c>
      <c r="HN8" s="61">
        <f t="shared" si="10"/>
        <v>1.9417475728155338E-2</v>
      </c>
      <c r="HP8" s="61">
        <f t="shared" si="4"/>
        <v>3.4378726541067384E-2</v>
      </c>
      <c r="HQ8" s="61">
        <f t="shared" si="5"/>
        <v>2.6506741489431374E-2</v>
      </c>
      <c r="HR8" s="61">
        <f t="shared" si="6"/>
        <v>2.7947060203105886E-2</v>
      </c>
      <c r="HS8" s="167">
        <f t="shared" si="7"/>
        <v>2.7417577115110142E-2</v>
      </c>
      <c r="HT8" s="89">
        <f t="shared" si="8"/>
        <v>2.075268817204301E-2</v>
      </c>
      <c r="HU8" s="89">
        <f t="shared" si="9"/>
        <v>2.1741699161054E-2</v>
      </c>
      <c r="HW8" s="168" t="s">
        <v>44</v>
      </c>
      <c r="HX8" s="35">
        <v>2.7417577115110101E-2</v>
      </c>
      <c r="HY8" s="27" t="s">
        <v>131</v>
      </c>
    </row>
    <row r="9" spans="1:233" ht="15" customHeight="1" x14ac:dyDescent="0.2">
      <c r="A9" s="9" t="s">
        <v>132</v>
      </c>
      <c r="B9" s="58" t="s">
        <v>45</v>
      </c>
      <c r="C9" s="166"/>
      <c r="D9" s="166"/>
      <c r="E9" s="166"/>
      <c r="F9" s="166"/>
      <c r="G9" s="166"/>
      <c r="H9" s="166"/>
      <c r="I9" s="166"/>
      <c r="J9" s="166"/>
      <c r="K9" s="166"/>
      <c r="L9" s="166"/>
      <c r="M9" s="166"/>
      <c r="N9" s="166"/>
      <c r="O9" s="166"/>
      <c r="P9" s="166"/>
      <c r="Q9" s="166"/>
      <c r="R9" s="166"/>
      <c r="S9" s="166"/>
      <c r="T9" s="166"/>
      <c r="U9" s="166"/>
      <c r="V9" s="166"/>
      <c r="W9" s="166"/>
      <c r="X9" s="166"/>
      <c r="Y9" s="166"/>
      <c r="Z9" s="166"/>
      <c r="AA9" s="166"/>
      <c r="AB9" s="166"/>
      <c r="AC9" s="166"/>
      <c r="AD9" s="166"/>
      <c r="AE9" s="166"/>
      <c r="AF9" s="166"/>
      <c r="AG9" s="166"/>
      <c r="AH9" s="166"/>
      <c r="AI9" s="166"/>
      <c r="AJ9" s="166"/>
      <c r="AK9" s="166"/>
      <c r="AL9" s="166"/>
      <c r="AM9" s="166"/>
      <c r="AN9" s="166"/>
      <c r="AO9" s="166"/>
      <c r="AP9" s="166"/>
      <c r="AQ9" s="166"/>
      <c r="AR9" s="166"/>
      <c r="AS9" s="166"/>
      <c r="AT9" s="166"/>
      <c r="AU9" s="166"/>
      <c r="AV9" s="166"/>
      <c r="AW9" s="166"/>
      <c r="AX9" s="166"/>
      <c r="AY9" s="166"/>
      <c r="AZ9" s="166"/>
      <c r="BA9" s="166"/>
      <c r="BB9" s="166"/>
      <c r="BC9" s="166"/>
      <c r="BD9" s="166"/>
      <c r="BE9" s="166"/>
      <c r="BF9" s="166"/>
      <c r="BG9" s="166"/>
      <c r="BH9" s="166"/>
      <c r="BI9" s="166"/>
      <c r="BJ9" s="166"/>
      <c r="BK9" s="166"/>
      <c r="BL9" s="166"/>
      <c r="BM9" s="166">
        <v>23.337290903816701</v>
      </c>
      <c r="BN9" s="166">
        <v>24.7210308253498</v>
      </c>
      <c r="BO9" s="166">
        <v>35.620956079680802</v>
      </c>
      <c r="BP9" s="166">
        <v>45.801347030629103</v>
      </c>
      <c r="BQ9" s="166">
        <v>49.833980432077198</v>
      </c>
      <c r="BR9" s="166">
        <v>42.617638637398201</v>
      </c>
      <c r="BS9" s="166">
        <v>41.025305215950098</v>
      </c>
      <c r="BT9" s="166">
        <v>33.336099209057899</v>
      </c>
      <c r="BU9" s="166">
        <v>53.621337850960103</v>
      </c>
      <c r="BV9" s="166">
        <v>62.111720646373101</v>
      </c>
      <c r="BW9" s="166">
        <v>130.311426435838</v>
      </c>
      <c r="BX9" s="166">
        <v>134.359830690872</v>
      </c>
      <c r="BY9" s="166">
        <v>142.79200945205599</v>
      </c>
      <c r="BZ9" s="166">
        <v>159.89876760799399</v>
      </c>
      <c r="CA9" s="166">
        <v>174.881862700678</v>
      </c>
      <c r="CB9" s="166">
        <v>164.641437947958</v>
      </c>
      <c r="CC9" s="166">
        <v>144.60914288594401</v>
      </c>
      <c r="CD9" s="166">
        <v>168.020060150424</v>
      </c>
      <c r="CE9" s="166">
        <v>176.752756447618</v>
      </c>
      <c r="CF9" s="166">
        <v>169.950552040198</v>
      </c>
      <c r="CG9" s="166">
        <v>319.07590974969901</v>
      </c>
      <c r="CH9" s="166">
        <v>347.10707719233</v>
      </c>
      <c r="CI9" s="166">
        <v>334.44909385621702</v>
      </c>
      <c r="CJ9" s="166">
        <v>405.37262646307698</v>
      </c>
      <c r="CK9" s="166">
        <v>429.34432391362702</v>
      </c>
      <c r="CL9" s="166">
        <v>451.77831957365999</v>
      </c>
      <c r="CM9" s="166">
        <v>500.05630053978803</v>
      </c>
      <c r="CN9" s="166">
        <v>546.64392482323001</v>
      </c>
      <c r="CO9" s="166">
        <v>572.66147665055803</v>
      </c>
      <c r="CP9" s="166">
        <v>613.50188821286497</v>
      </c>
      <c r="CQ9" s="166">
        <v>738.33176674847198</v>
      </c>
      <c r="CR9" s="166">
        <v>829.12082417555905</v>
      </c>
      <c r="CS9" s="166">
        <v>753.52354247285905</v>
      </c>
      <c r="CT9" s="166">
        <v>773.74386793287499</v>
      </c>
      <c r="CU9" s="166">
        <v>799.64745138180297</v>
      </c>
      <c r="CV9" s="166">
        <v>734.33834265151995</v>
      </c>
      <c r="CW9" s="166">
        <v>654.16838472679001</v>
      </c>
      <c r="CX9" s="166">
        <v>627.27149889731402</v>
      </c>
      <c r="CY9" s="166">
        <v>590.88143052701105</v>
      </c>
      <c r="CZ9" s="166">
        <v>872.90550597831304</v>
      </c>
      <c r="DA9" s="166">
        <v>884.27115063826</v>
      </c>
      <c r="DB9" s="166">
        <v>931.43088224018197</v>
      </c>
      <c r="DC9" s="166">
        <v>1028.90538747908</v>
      </c>
      <c r="DD9" s="166">
        <v>1368.1300874910401</v>
      </c>
      <c r="DE9" s="166">
        <v>1340.0458567896601</v>
      </c>
      <c r="DF9" s="166">
        <v>1121.4732403534399</v>
      </c>
      <c r="DG9" s="166"/>
      <c r="DH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61">
        <f t="shared" ref="FU9:HM9" si="22">(BN9-BM9)/BM9</f>
        <v>5.9293082784805801E-2</v>
      </c>
      <c r="FV9" s="61">
        <f t="shared" si="22"/>
        <v>0.44091710136754658</v>
      </c>
      <c r="FW9" s="61">
        <f t="shared" si="22"/>
        <v>0.28579780195050641</v>
      </c>
      <c r="FX9" s="61">
        <f t="shared" si="22"/>
        <v>8.8046174684585574E-2</v>
      </c>
      <c r="FY9" s="61">
        <f t="shared" si="22"/>
        <v>-0.14480765397648174</v>
      </c>
      <c r="FZ9" s="61">
        <f t="shared" si="22"/>
        <v>-3.7363248466112449E-2</v>
      </c>
      <c r="GA9" s="61">
        <f t="shared" si="22"/>
        <v>-0.18742593056694035</v>
      </c>
      <c r="GB9" s="61">
        <f t="shared" si="22"/>
        <v>0.60850666764245809</v>
      </c>
      <c r="GC9" s="61">
        <f t="shared" si="22"/>
        <v>0.1583396299997572</v>
      </c>
      <c r="GD9" s="61">
        <f t="shared" si="22"/>
        <v>1.0980166879895847</v>
      </c>
      <c r="GE9" s="61">
        <f t="shared" si="22"/>
        <v>3.1067147108755893E-2</v>
      </c>
      <c r="GF9" s="61">
        <f t="shared" si="22"/>
        <v>6.2758182395929799E-2</v>
      </c>
      <c r="GG9" s="61">
        <f t="shared" si="22"/>
        <v>0.11980192884449728</v>
      </c>
      <c r="GH9" s="61">
        <f t="shared" si="22"/>
        <v>9.3703630846088806E-2</v>
      </c>
      <c r="GI9" s="61">
        <f t="shared" si="22"/>
        <v>-5.8556242451781149E-2</v>
      </c>
      <c r="GJ9" s="61">
        <f t="shared" si="22"/>
        <v>-0.12167225524564511</v>
      </c>
      <c r="GK9" s="61">
        <f t="shared" si="22"/>
        <v>0.16189098972078569</v>
      </c>
      <c r="GL9" s="61">
        <f t="shared" si="22"/>
        <v>5.1974129097298503E-2</v>
      </c>
      <c r="GM9" s="61">
        <f t="shared" si="22"/>
        <v>-3.8484290395979635E-2</v>
      </c>
      <c r="GN9" s="61">
        <f t="shared" si="22"/>
        <v>0.87746321456036658</v>
      </c>
      <c r="GO9" s="61">
        <f t="shared" si="22"/>
        <v>8.7851093066286967E-2</v>
      </c>
      <c r="GP9" s="61">
        <f t="shared" si="22"/>
        <v>-3.6467085138397401E-2</v>
      </c>
      <c r="GQ9" s="61">
        <f t="shared" si="22"/>
        <v>0.21206077071134388</v>
      </c>
      <c r="GR9" s="61">
        <f t="shared" si="22"/>
        <v>5.913496838626197E-2</v>
      </c>
      <c r="GS9" s="61">
        <f t="shared" si="22"/>
        <v>5.2251757879408001E-2</v>
      </c>
      <c r="GT9" s="61">
        <f t="shared" si="22"/>
        <v>0.10686210221793652</v>
      </c>
      <c r="GU9" s="61">
        <f t="shared" si="22"/>
        <v>9.3164758114541821E-2</v>
      </c>
      <c r="GV9" s="61">
        <f t="shared" si="22"/>
        <v>4.7595062609982176E-2</v>
      </c>
      <c r="GW9" s="61">
        <f t="shared" si="22"/>
        <v>7.1316848133697736E-2</v>
      </c>
      <c r="GX9" s="61">
        <f t="shared" si="22"/>
        <v>0.203471058417175</v>
      </c>
      <c r="GY9" s="61">
        <f t="shared" si="22"/>
        <v>0.12296512423799889</v>
      </c>
      <c r="GZ9" s="61">
        <f t="shared" si="22"/>
        <v>-9.1177642025660838E-2</v>
      </c>
      <c r="HA9" s="61">
        <f t="shared" si="22"/>
        <v>2.6834364582237657E-2</v>
      </c>
      <c r="HB9" s="61">
        <f t="shared" si="22"/>
        <v>3.3478240697573068E-2</v>
      </c>
      <c r="HC9" s="61">
        <f t="shared" si="22"/>
        <v>-8.1672377767762386E-2</v>
      </c>
      <c r="HD9" s="61">
        <f t="shared" si="22"/>
        <v>-0.10917305180505135</v>
      </c>
      <c r="HE9" s="61">
        <f t="shared" si="22"/>
        <v>-4.1116150608087446E-2</v>
      </c>
      <c r="HF9" s="61">
        <f t="shared" si="22"/>
        <v>-5.8013266080594102E-2</v>
      </c>
      <c r="HG9" s="61">
        <f t="shared" si="22"/>
        <v>0.47729385436899391</v>
      </c>
      <c r="HH9" s="61">
        <f t="shared" si="22"/>
        <v>1.3020475391788085E-2</v>
      </c>
      <c r="HI9" s="61">
        <f t="shared" si="22"/>
        <v>5.3331754143378367E-2</v>
      </c>
      <c r="HJ9" s="61">
        <f t="shared" si="22"/>
        <v>0.10465028280408992</v>
      </c>
      <c r="HK9" s="61">
        <f t="shared" si="22"/>
        <v>0.32969474563943546</v>
      </c>
      <c r="HL9" s="61">
        <f t="shared" si="22"/>
        <v>-2.0527456386024323E-2</v>
      </c>
      <c r="HM9" s="61">
        <f t="shared" si="22"/>
        <v>-0.16310831105425996</v>
      </c>
      <c r="HN9" s="9"/>
      <c r="HP9" s="61">
        <f t="shared" si="4"/>
        <v>0.11206641485391816</v>
      </c>
      <c r="HQ9" s="61">
        <f t="shared" si="5"/>
        <v>7.633346663939794E-2</v>
      </c>
      <c r="HR9" s="61">
        <f t="shared" si="6"/>
        <v>8.7930111491780025E-2</v>
      </c>
      <c r="HS9" s="89">
        <f t="shared" si="7"/>
        <v>5.913496838626197E-2</v>
      </c>
      <c r="HT9" s="89">
        <f t="shared" si="8"/>
        <v>5.1974129097298503E-2</v>
      </c>
      <c r="HU9" s="167">
        <f t="shared" si="9"/>
        <v>5.2251757879408001E-2</v>
      </c>
      <c r="HW9" s="168" t="s">
        <v>45</v>
      </c>
      <c r="HX9" s="26">
        <v>5.22517578794073E-2</v>
      </c>
      <c r="HY9" s="30" t="s">
        <v>134</v>
      </c>
    </row>
    <row r="10" spans="1:233" ht="15" customHeight="1" x14ac:dyDescent="0.2">
      <c r="A10" s="9" t="s">
        <v>132</v>
      </c>
      <c r="B10" s="58" t="s">
        <v>46</v>
      </c>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166"/>
      <c r="AH10" s="166"/>
      <c r="AI10" s="166"/>
      <c r="AJ10" s="166"/>
      <c r="AK10" s="166"/>
      <c r="AL10" s="166"/>
      <c r="AM10" s="166"/>
      <c r="AN10" s="166"/>
      <c r="AO10" s="166"/>
      <c r="AP10" s="166"/>
      <c r="AQ10" s="166"/>
      <c r="AR10" s="166"/>
      <c r="AS10" s="166"/>
      <c r="AT10" s="166"/>
      <c r="AU10" s="166"/>
      <c r="AV10" s="166"/>
      <c r="AW10" s="166"/>
      <c r="AX10" s="166"/>
      <c r="AY10" s="166"/>
      <c r="AZ10" s="166"/>
      <c r="BA10" s="166"/>
      <c r="BB10" s="166"/>
      <c r="BC10" s="166"/>
      <c r="BD10" s="166"/>
      <c r="BE10" s="166"/>
      <c r="BF10" s="166"/>
      <c r="BG10" s="166"/>
      <c r="BH10" s="166"/>
      <c r="BI10" s="166"/>
      <c r="BJ10" s="166"/>
      <c r="BK10" s="166"/>
      <c r="BL10" s="166"/>
      <c r="BM10" s="166"/>
      <c r="BN10" s="166"/>
      <c r="BO10" s="166"/>
      <c r="BP10" s="166"/>
      <c r="BQ10" s="166"/>
      <c r="BR10" s="166"/>
      <c r="BS10" s="166"/>
      <c r="BT10" s="166"/>
      <c r="BU10" s="166"/>
      <c r="BV10" s="166"/>
      <c r="BW10" s="166"/>
      <c r="BX10" s="166"/>
      <c r="BY10" s="166"/>
      <c r="BZ10" s="166"/>
      <c r="CA10" s="166"/>
      <c r="CB10" s="166"/>
      <c r="CC10" s="166"/>
      <c r="CD10" s="166"/>
      <c r="CE10" s="174"/>
      <c r="CF10" s="45">
        <v>51</v>
      </c>
      <c r="CG10" s="45">
        <v>35</v>
      </c>
      <c r="CH10" s="45">
        <v>63</v>
      </c>
      <c r="CI10" s="45">
        <v>54</v>
      </c>
      <c r="CJ10" s="45">
        <v>60</v>
      </c>
      <c r="CK10" s="45">
        <v>75</v>
      </c>
      <c r="CL10" s="45">
        <v>100</v>
      </c>
      <c r="CM10" s="45">
        <v>75</v>
      </c>
      <c r="CN10" s="45">
        <v>61</v>
      </c>
      <c r="CO10" s="166">
        <v>64</v>
      </c>
      <c r="CP10" s="166">
        <v>69</v>
      </c>
      <c r="CQ10" s="166">
        <v>63</v>
      </c>
      <c r="CR10" s="166">
        <v>69</v>
      </c>
      <c r="CS10" s="166">
        <v>80</v>
      </c>
      <c r="CT10" s="166">
        <v>95</v>
      </c>
      <c r="CU10" s="166">
        <v>78</v>
      </c>
      <c r="CV10" s="166">
        <v>106</v>
      </c>
      <c r="CW10" s="166">
        <v>216</v>
      </c>
      <c r="CX10" s="166">
        <v>273</v>
      </c>
      <c r="CY10" s="166">
        <v>280</v>
      </c>
      <c r="CZ10" s="166">
        <v>440</v>
      </c>
      <c r="DA10" s="166">
        <v>435</v>
      </c>
      <c r="DB10" s="166">
        <v>375</v>
      </c>
      <c r="DC10" s="166">
        <v>320</v>
      </c>
      <c r="DD10" s="166">
        <v>413</v>
      </c>
      <c r="DE10" s="166">
        <v>351</v>
      </c>
      <c r="DF10" s="45">
        <v>327</v>
      </c>
      <c r="DG10" s="166">
        <v>430</v>
      </c>
      <c r="DH10" s="9"/>
      <c r="DJ10" s="9"/>
      <c r="DK10" s="9"/>
      <c r="DL10" s="9"/>
      <c r="DM10" s="9"/>
      <c r="DN10" s="9"/>
      <c r="DO10" s="9"/>
      <c r="DP10" s="9"/>
      <c r="DQ10" s="61"/>
      <c r="DR10" s="9"/>
      <c r="DS10" s="9"/>
      <c r="DT10" s="9"/>
      <c r="DU10" s="9"/>
      <c r="DV10" s="9"/>
      <c r="DW10" s="9"/>
      <c r="DX10" s="9"/>
      <c r="DY10" s="9"/>
      <c r="DZ10" s="9"/>
      <c r="EA10" s="9"/>
      <c r="EB10" s="9"/>
      <c r="EC10" s="9"/>
      <c r="ED10" s="9"/>
      <c r="EE10" s="9"/>
      <c r="EF10" s="9"/>
      <c r="EG10" s="9"/>
      <c r="EH10" s="9"/>
      <c r="EI10" s="9"/>
      <c r="EJ10" s="9"/>
      <c r="EK10" s="9"/>
      <c r="EL10" s="9"/>
      <c r="EM10" s="9"/>
      <c r="EN10" s="9"/>
      <c r="EO10" s="9"/>
      <c r="EP10" s="9"/>
      <c r="EQ10" s="9"/>
      <c r="ER10" s="9"/>
      <c r="ES10" s="9"/>
      <c r="ET10" s="9"/>
      <c r="EU10" s="9"/>
      <c r="EV10" s="9"/>
      <c r="EW10" s="9"/>
      <c r="EX10" s="9"/>
      <c r="EY10" s="9"/>
      <c r="EZ10" s="9"/>
      <c r="FA10" s="9"/>
      <c r="FB10" s="9"/>
      <c r="FC10" s="9"/>
      <c r="FD10" s="9"/>
      <c r="FE10" s="9"/>
      <c r="FF10" s="9"/>
      <c r="FG10" s="9"/>
      <c r="FH10" s="9"/>
      <c r="FI10" s="9"/>
      <c r="FJ10" s="9"/>
      <c r="FK10" s="9"/>
      <c r="FL10" s="9"/>
      <c r="FM10" s="9"/>
      <c r="FN10" s="9"/>
      <c r="FO10" s="9"/>
      <c r="FP10" s="9"/>
      <c r="FQ10" s="9"/>
      <c r="FR10" s="9"/>
      <c r="FS10" s="9"/>
      <c r="FT10" s="9"/>
      <c r="FU10" s="9"/>
      <c r="FV10" s="9"/>
      <c r="FW10" s="9"/>
      <c r="FX10" s="9"/>
      <c r="FY10" s="9"/>
      <c r="FZ10" s="9"/>
      <c r="GA10" s="9"/>
      <c r="GB10" s="9"/>
      <c r="GC10" s="9"/>
      <c r="GD10" s="9"/>
      <c r="GE10" s="9"/>
      <c r="GF10" s="9"/>
      <c r="GG10" s="9"/>
      <c r="GH10" s="9"/>
      <c r="GI10" s="9"/>
      <c r="GJ10" s="9"/>
      <c r="GK10" s="9"/>
      <c r="GL10" s="9"/>
      <c r="GM10" s="9"/>
      <c r="GN10" s="61">
        <f t="shared" ref="GN10:GW17" si="23">(CG10-CF10)/CF10</f>
        <v>-0.31372549019607843</v>
      </c>
      <c r="GO10" s="61">
        <f t="shared" si="23"/>
        <v>0.8</v>
      </c>
      <c r="GP10" s="61">
        <f t="shared" si="23"/>
        <v>-0.14285714285714285</v>
      </c>
      <c r="GQ10" s="61">
        <f t="shared" si="23"/>
        <v>0.1111111111111111</v>
      </c>
      <c r="GR10" s="61">
        <f t="shared" si="23"/>
        <v>0.25</v>
      </c>
      <c r="GS10" s="61">
        <f t="shared" si="23"/>
        <v>0.33333333333333331</v>
      </c>
      <c r="GT10" s="61">
        <f t="shared" si="23"/>
        <v>-0.25</v>
      </c>
      <c r="GU10" s="61">
        <f t="shared" si="23"/>
        <v>-0.18666666666666668</v>
      </c>
      <c r="GV10" s="61">
        <f t="shared" si="23"/>
        <v>4.9180327868852458E-2</v>
      </c>
      <c r="GW10" s="61">
        <f t="shared" si="23"/>
        <v>7.8125E-2</v>
      </c>
      <c r="GX10" s="61">
        <f t="shared" ref="GX10:HG17" si="24">(CQ10-CP10)/CP10</f>
        <v>-8.6956521739130432E-2</v>
      </c>
      <c r="GY10" s="61">
        <f t="shared" si="24"/>
        <v>9.5238095238095233E-2</v>
      </c>
      <c r="GZ10" s="61">
        <f t="shared" si="24"/>
        <v>0.15942028985507245</v>
      </c>
      <c r="HA10" s="61">
        <f t="shared" si="24"/>
        <v>0.1875</v>
      </c>
      <c r="HB10" s="61">
        <f t="shared" si="24"/>
        <v>-0.17894736842105263</v>
      </c>
      <c r="HC10" s="61">
        <f t="shared" si="24"/>
        <v>0.35897435897435898</v>
      </c>
      <c r="HD10" s="61">
        <f t="shared" si="24"/>
        <v>1.0377358490566038</v>
      </c>
      <c r="HE10" s="61">
        <f t="shared" si="24"/>
        <v>0.2638888888888889</v>
      </c>
      <c r="HF10" s="61">
        <f t="shared" si="24"/>
        <v>2.564102564102564E-2</v>
      </c>
      <c r="HG10" s="61">
        <f t="shared" si="24"/>
        <v>0.5714285714285714</v>
      </c>
      <c r="HH10" s="61">
        <f t="shared" ref="HH10:HN17" si="25">(DA10-CZ10)/CZ10</f>
        <v>-1.1363636363636364E-2</v>
      </c>
      <c r="HI10" s="61">
        <f t="shared" si="25"/>
        <v>-0.13793103448275862</v>
      </c>
      <c r="HJ10" s="61">
        <f t="shared" si="25"/>
        <v>-0.14666666666666667</v>
      </c>
      <c r="HK10" s="61">
        <f t="shared" si="25"/>
        <v>0.29062500000000002</v>
      </c>
      <c r="HL10" s="61">
        <f t="shared" si="25"/>
        <v>-0.15012106537530268</v>
      </c>
      <c r="HM10" s="61">
        <f t="shared" si="25"/>
        <v>-6.8376068376068383E-2</v>
      </c>
      <c r="HN10" s="61">
        <f t="shared" si="25"/>
        <v>0.3149847094801223</v>
      </c>
      <c r="HP10" s="61">
        <f t="shared" si="4"/>
        <v>0.12050277406413083</v>
      </c>
      <c r="HQ10" s="61">
        <f t="shared" si="5"/>
        <v>0.12050277406413083</v>
      </c>
      <c r="HR10" s="61">
        <f t="shared" si="6"/>
        <v>0.13888288133931614</v>
      </c>
      <c r="HS10" s="89">
        <f t="shared" si="7"/>
        <v>7.8125E-2</v>
      </c>
      <c r="HT10" s="89">
        <f t="shared" si="8"/>
        <v>7.8125E-2</v>
      </c>
      <c r="HU10" s="89">
        <f t="shared" si="9"/>
        <v>9.5238095238095233E-2</v>
      </c>
      <c r="HW10" s="168" t="s">
        <v>46</v>
      </c>
      <c r="HX10" s="37" t="s">
        <v>141</v>
      </c>
      <c r="HY10" s="34"/>
    </row>
    <row r="11" spans="1:233" ht="15" customHeight="1" x14ac:dyDescent="0.2">
      <c r="A11" s="9" t="s">
        <v>132</v>
      </c>
      <c r="B11" s="58" t="s">
        <v>47</v>
      </c>
      <c r="C11" s="166"/>
      <c r="D11" s="166"/>
      <c r="E11" s="166"/>
      <c r="F11" s="166"/>
      <c r="G11" s="166"/>
      <c r="H11" s="166"/>
      <c r="I11" s="166"/>
      <c r="J11" s="166"/>
      <c r="K11" s="166"/>
      <c r="L11" s="166"/>
      <c r="M11" s="166"/>
      <c r="N11" s="166"/>
      <c r="O11" s="166"/>
      <c r="P11" s="166"/>
      <c r="Q11" s="166"/>
      <c r="R11" s="166"/>
      <c r="S11" s="166"/>
      <c r="T11" s="166"/>
      <c r="U11" s="166"/>
      <c r="V11" s="166"/>
      <c r="W11" s="166"/>
      <c r="X11" s="166"/>
      <c r="Y11" s="166"/>
      <c r="Z11" s="166"/>
      <c r="AA11" s="166"/>
      <c r="AB11" s="166"/>
      <c r="AC11" s="166"/>
      <c r="AD11" s="166"/>
      <c r="AE11" s="166"/>
      <c r="AF11" s="166"/>
      <c r="AG11" s="166"/>
      <c r="AH11" s="166"/>
      <c r="AI11" s="166"/>
      <c r="AJ11" s="166"/>
      <c r="AK11" s="166"/>
      <c r="AL11" s="166"/>
      <c r="AM11" s="166"/>
      <c r="AN11" s="166"/>
      <c r="AO11" s="166"/>
      <c r="AP11" s="166"/>
      <c r="AQ11" s="166"/>
      <c r="AR11" s="166"/>
      <c r="AS11" s="166"/>
      <c r="AT11" s="166"/>
      <c r="AU11" s="166"/>
      <c r="AV11" s="166"/>
      <c r="AW11" s="166"/>
      <c r="AX11" s="166"/>
      <c r="AY11" s="166"/>
      <c r="AZ11" s="166"/>
      <c r="BA11" s="166"/>
      <c r="BB11" s="166"/>
      <c r="BC11" s="166"/>
      <c r="BD11" s="166"/>
      <c r="BE11" s="166"/>
      <c r="BF11" s="166"/>
      <c r="BG11" s="166"/>
      <c r="BH11" s="166"/>
      <c r="BI11" s="166"/>
      <c r="BJ11" s="166"/>
      <c r="BK11" s="166"/>
      <c r="BL11" s="166"/>
      <c r="BM11" s="166"/>
      <c r="BN11" s="166"/>
      <c r="BO11" s="166"/>
      <c r="BP11" s="166"/>
      <c r="BQ11" s="166"/>
      <c r="BR11" s="166"/>
      <c r="BS11" s="166"/>
      <c r="BT11" s="166"/>
      <c r="BU11" s="166"/>
      <c r="BV11" s="166"/>
      <c r="BW11" s="166"/>
      <c r="BX11" s="166"/>
      <c r="BY11" s="166"/>
      <c r="BZ11" s="166"/>
      <c r="CA11" s="166"/>
      <c r="CB11" s="166"/>
      <c r="CC11" s="166"/>
      <c r="CD11" s="166"/>
      <c r="CE11" s="166"/>
      <c r="CF11" s="45">
        <v>50</v>
      </c>
      <c r="CG11" s="45">
        <v>45</v>
      </c>
      <c r="CH11" s="45">
        <v>53</v>
      </c>
      <c r="CI11" s="45">
        <v>63</v>
      </c>
      <c r="CJ11" s="45">
        <v>56</v>
      </c>
      <c r="CK11" s="45">
        <v>58</v>
      </c>
      <c r="CL11" s="45">
        <v>71</v>
      </c>
      <c r="CM11" s="45">
        <v>68</v>
      </c>
      <c r="CN11" s="45">
        <v>50</v>
      </c>
      <c r="CO11" s="166">
        <v>44</v>
      </c>
      <c r="CP11" s="166">
        <v>87</v>
      </c>
      <c r="CQ11" s="166">
        <v>90</v>
      </c>
      <c r="CR11" s="166">
        <v>90</v>
      </c>
      <c r="CS11" s="166">
        <v>100</v>
      </c>
      <c r="CT11" s="166">
        <v>140</v>
      </c>
      <c r="CU11" s="166">
        <v>120</v>
      </c>
      <c r="CV11" s="166">
        <v>118</v>
      </c>
      <c r="CW11" s="166">
        <v>118</v>
      </c>
      <c r="CX11" s="166">
        <v>150</v>
      </c>
      <c r="CY11" s="166">
        <v>155</v>
      </c>
      <c r="CZ11" s="166">
        <v>165</v>
      </c>
      <c r="DA11" s="166">
        <v>160</v>
      </c>
      <c r="DB11" s="166">
        <v>126</v>
      </c>
      <c r="DC11" s="166">
        <v>106</v>
      </c>
      <c r="DD11" s="166">
        <v>130</v>
      </c>
      <c r="DE11" s="166">
        <v>131</v>
      </c>
      <c r="DF11" s="45">
        <v>140</v>
      </c>
      <c r="DG11" s="166">
        <v>140</v>
      </c>
      <c r="DH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61"/>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61">
        <f t="shared" si="23"/>
        <v>-0.1</v>
      </c>
      <c r="GO11" s="61">
        <f t="shared" si="23"/>
        <v>0.17777777777777778</v>
      </c>
      <c r="GP11" s="61">
        <f t="shared" si="23"/>
        <v>0.18867924528301888</v>
      </c>
      <c r="GQ11" s="61">
        <f t="shared" si="23"/>
        <v>-0.1111111111111111</v>
      </c>
      <c r="GR11" s="61">
        <f t="shared" si="23"/>
        <v>3.5714285714285712E-2</v>
      </c>
      <c r="GS11" s="61">
        <f t="shared" si="23"/>
        <v>0.22413793103448276</v>
      </c>
      <c r="GT11" s="61">
        <f t="shared" si="23"/>
        <v>-4.2253521126760563E-2</v>
      </c>
      <c r="GU11" s="61">
        <f t="shared" si="23"/>
        <v>-0.26470588235294118</v>
      </c>
      <c r="GV11" s="61">
        <f t="shared" si="23"/>
        <v>-0.12</v>
      </c>
      <c r="GW11" s="61">
        <f t="shared" si="23"/>
        <v>0.97727272727272729</v>
      </c>
      <c r="GX11" s="61">
        <f t="shared" si="24"/>
        <v>3.4482758620689655E-2</v>
      </c>
      <c r="GY11" s="61">
        <f t="shared" si="24"/>
        <v>0</v>
      </c>
      <c r="GZ11" s="61">
        <f t="shared" si="24"/>
        <v>0.1111111111111111</v>
      </c>
      <c r="HA11" s="61">
        <f t="shared" si="24"/>
        <v>0.4</v>
      </c>
      <c r="HB11" s="61">
        <f t="shared" si="24"/>
        <v>-0.14285714285714285</v>
      </c>
      <c r="HC11" s="61">
        <f t="shared" si="24"/>
        <v>-1.6666666666666666E-2</v>
      </c>
      <c r="HD11" s="61">
        <f t="shared" si="24"/>
        <v>0</v>
      </c>
      <c r="HE11" s="61">
        <f t="shared" si="24"/>
        <v>0.2711864406779661</v>
      </c>
      <c r="HF11" s="61">
        <f t="shared" si="24"/>
        <v>3.3333333333333333E-2</v>
      </c>
      <c r="HG11" s="61">
        <f t="shared" si="24"/>
        <v>6.4516129032258063E-2</v>
      </c>
      <c r="HH11" s="61">
        <f t="shared" si="25"/>
        <v>-3.0303030303030304E-2</v>
      </c>
      <c r="HI11" s="61">
        <f t="shared" si="25"/>
        <v>-0.21249999999999999</v>
      </c>
      <c r="HJ11" s="61">
        <f t="shared" si="25"/>
        <v>-0.15873015873015872</v>
      </c>
      <c r="HK11" s="61">
        <f t="shared" si="25"/>
        <v>0.22641509433962265</v>
      </c>
      <c r="HL11" s="61">
        <f t="shared" si="25"/>
        <v>7.6923076923076927E-3</v>
      </c>
      <c r="HM11" s="61">
        <f t="shared" si="25"/>
        <v>6.8702290076335881E-2</v>
      </c>
      <c r="HN11" s="61">
        <f t="shared" si="25"/>
        <v>0</v>
      </c>
      <c r="HP11" s="61">
        <f t="shared" si="4"/>
        <v>6.0070145141411319E-2</v>
      </c>
      <c r="HQ11" s="61">
        <f t="shared" si="5"/>
        <v>6.0070145141411319E-2</v>
      </c>
      <c r="HR11" s="61">
        <f t="shared" si="6"/>
        <v>6.1819972841978481E-2</v>
      </c>
      <c r="HS11" s="89">
        <f t="shared" si="7"/>
        <v>7.6923076923076927E-3</v>
      </c>
      <c r="HT11" s="167">
        <f t="shared" si="8"/>
        <v>7.6923076923076927E-3</v>
      </c>
      <c r="HU11" s="89">
        <f t="shared" si="9"/>
        <v>0</v>
      </c>
      <c r="HW11" s="168" t="s">
        <v>47</v>
      </c>
      <c r="HX11" s="38" t="s">
        <v>284</v>
      </c>
      <c r="HY11" s="34"/>
    </row>
    <row r="12" spans="1:233" ht="15" customHeight="1" x14ac:dyDescent="0.2">
      <c r="A12" s="9" t="s">
        <v>132</v>
      </c>
      <c r="B12" s="58" t="s">
        <v>50</v>
      </c>
      <c r="C12" s="166"/>
      <c r="D12" s="166"/>
      <c r="E12" s="166"/>
      <c r="F12" s="166"/>
      <c r="G12" s="166"/>
      <c r="H12" s="166"/>
      <c r="I12" s="166"/>
      <c r="J12" s="166"/>
      <c r="K12" s="166"/>
      <c r="L12" s="166"/>
      <c r="M12" s="166"/>
      <c r="N12" s="166"/>
      <c r="O12" s="166"/>
      <c r="P12" s="166"/>
      <c r="Q12" s="166"/>
      <c r="R12" s="166"/>
      <c r="S12" s="166"/>
      <c r="T12" s="166"/>
      <c r="U12" s="166"/>
      <c r="V12" s="166"/>
      <c r="W12" s="166"/>
      <c r="X12" s="166"/>
      <c r="Y12" s="166"/>
      <c r="Z12" s="166"/>
      <c r="AA12" s="166"/>
      <c r="AB12" s="166"/>
      <c r="AC12" s="166"/>
      <c r="AD12" s="166"/>
      <c r="AE12" s="166"/>
      <c r="AF12" s="166"/>
      <c r="AG12" s="166"/>
      <c r="AH12" s="166"/>
      <c r="AI12" s="166"/>
      <c r="AJ12" s="166"/>
      <c r="AK12" s="166"/>
      <c r="AL12" s="166"/>
      <c r="AM12" s="166"/>
      <c r="AN12" s="166"/>
      <c r="AO12" s="166"/>
      <c r="AP12" s="166"/>
      <c r="AQ12" s="166"/>
      <c r="AR12" s="166"/>
      <c r="AS12" s="166"/>
      <c r="AT12" s="166"/>
      <c r="AU12" s="166"/>
      <c r="AV12" s="166"/>
      <c r="AW12" s="166"/>
      <c r="AX12" s="166"/>
      <c r="AY12" s="166"/>
      <c r="AZ12" s="166"/>
      <c r="BA12" s="166"/>
      <c r="BB12" s="166"/>
      <c r="BC12" s="166"/>
      <c r="BD12" s="166"/>
      <c r="BE12" s="166"/>
      <c r="BF12" s="166"/>
      <c r="BG12" s="166"/>
      <c r="BH12" s="166"/>
      <c r="BI12" s="166"/>
      <c r="BJ12" s="166"/>
      <c r="BK12" s="166"/>
      <c r="BL12" s="166"/>
      <c r="BM12" s="166"/>
      <c r="BN12" s="166"/>
      <c r="BO12" s="166"/>
      <c r="BP12" s="166"/>
      <c r="BQ12" s="166"/>
      <c r="BR12" s="166"/>
      <c r="BS12" s="166"/>
      <c r="BT12" s="166"/>
      <c r="BU12" s="166"/>
      <c r="BV12" s="166"/>
      <c r="BW12" s="166"/>
      <c r="BX12" s="166"/>
      <c r="BY12" s="166"/>
      <c r="BZ12" s="166"/>
      <c r="CA12" s="166"/>
      <c r="CB12" s="166"/>
      <c r="CC12" s="166"/>
      <c r="CD12" s="166"/>
      <c r="CE12" s="174"/>
      <c r="CF12" s="45">
        <v>145</v>
      </c>
      <c r="CG12" s="45">
        <v>239</v>
      </c>
      <c r="CH12" s="45">
        <v>200</v>
      </c>
      <c r="CI12" s="45">
        <v>230</v>
      </c>
      <c r="CJ12" s="45">
        <v>230</v>
      </c>
      <c r="CK12" s="45">
        <v>215</v>
      </c>
      <c r="CL12" s="45">
        <v>335</v>
      </c>
      <c r="CM12" s="45">
        <v>345</v>
      </c>
      <c r="CN12" s="45">
        <v>335</v>
      </c>
      <c r="CO12" s="166">
        <v>370</v>
      </c>
      <c r="CP12" s="166">
        <v>405</v>
      </c>
      <c r="CQ12" s="166">
        <v>500</v>
      </c>
      <c r="CR12" s="166">
        <v>580</v>
      </c>
      <c r="CS12" s="166">
        <v>563</v>
      </c>
      <c r="CT12" s="166">
        <v>570</v>
      </c>
      <c r="CU12" s="166">
        <v>546</v>
      </c>
      <c r="CV12" s="166">
        <v>609</v>
      </c>
      <c r="CW12" s="166">
        <v>662</v>
      </c>
      <c r="CX12" s="166">
        <v>782</v>
      </c>
      <c r="CY12" s="166">
        <v>799</v>
      </c>
      <c r="CZ12" s="166">
        <v>844</v>
      </c>
      <c r="DA12" s="166">
        <v>759</v>
      </c>
      <c r="DB12" s="166">
        <v>680</v>
      </c>
      <c r="DC12" s="166">
        <v>714</v>
      </c>
      <c r="DD12" s="166">
        <v>741</v>
      </c>
      <c r="DE12" s="166">
        <v>968</v>
      </c>
      <c r="DF12" s="45">
        <v>960</v>
      </c>
      <c r="DG12" s="166">
        <v>920</v>
      </c>
      <c r="DH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61">
        <f t="shared" si="23"/>
        <v>0.64827586206896548</v>
      </c>
      <c r="GO12" s="61">
        <f t="shared" si="23"/>
        <v>-0.16317991631799164</v>
      </c>
      <c r="GP12" s="61">
        <f t="shared" si="23"/>
        <v>0.15</v>
      </c>
      <c r="GQ12" s="61">
        <f t="shared" si="23"/>
        <v>0</v>
      </c>
      <c r="GR12" s="61">
        <f t="shared" si="23"/>
        <v>-6.5217391304347824E-2</v>
      </c>
      <c r="GS12" s="61">
        <f t="shared" si="23"/>
        <v>0.55813953488372092</v>
      </c>
      <c r="GT12" s="61">
        <f t="shared" si="23"/>
        <v>2.9850746268656716E-2</v>
      </c>
      <c r="GU12" s="61">
        <f t="shared" si="23"/>
        <v>-2.8985507246376812E-2</v>
      </c>
      <c r="GV12" s="61">
        <f t="shared" si="23"/>
        <v>0.1044776119402985</v>
      </c>
      <c r="GW12" s="61">
        <f t="shared" si="23"/>
        <v>9.45945945945946E-2</v>
      </c>
      <c r="GX12" s="61">
        <f t="shared" si="24"/>
        <v>0.23456790123456789</v>
      </c>
      <c r="GY12" s="61">
        <f t="shared" si="24"/>
        <v>0.16</v>
      </c>
      <c r="GZ12" s="61">
        <f t="shared" si="24"/>
        <v>-2.9310344827586206E-2</v>
      </c>
      <c r="HA12" s="61">
        <f t="shared" si="24"/>
        <v>1.2433392539964476E-2</v>
      </c>
      <c r="HB12" s="61">
        <f t="shared" si="24"/>
        <v>-4.2105263157894736E-2</v>
      </c>
      <c r="HC12" s="61">
        <f t="shared" si="24"/>
        <v>0.11538461538461539</v>
      </c>
      <c r="HD12" s="61">
        <f t="shared" si="24"/>
        <v>8.7027914614121515E-2</v>
      </c>
      <c r="HE12" s="61">
        <f t="shared" si="24"/>
        <v>0.18126888217522658</v>
      </c>
      <c r="HF12" s="61">
        <f t="shared" si="24"/>
        <v>2.1739130434782608E-2</v>
      </c>
      <c r="HG12" s="61">
        <f t="shared" si="24"/>
        <v>5.6320400500625784E-2</v>
      </c>
      <c r="HH12" s="61">
        <f t="shared" si="25"/>
        <v>-0.10071090047393365</v>
      </c>
      <c r="HI12" s="61">
        <f t="shared" si="25"/>
        <v>-0.10408432147562582</v>
      </c>
      <c r="HJ12" s="61">
        <f t="shared" si="25"/>
        <v>0.05</v>
      </c>
      <c r="HK12" s="61">
        <f t="shared" si="25"/>
        <v>3.7815126050420166E-2</v>
      </c>
      <c r="HL12" s="61">
        <f t="shared" si="25"/>
        <v>0.30634278002699056</v>
      </c>
      <c r="HM12" s="61">
        <f t="shared" si="25"/>
        <v>-8.2644628099173556E-3</v>
      </c>
      <c r="HN12" s="61">
        <f t="shared" si="25"/>
        <v>-4.1666666666666664E-2</v>
      </c>
      <c r="HP12" s="61">
        <f t="shared" si="4"/>
        <v>8.3878285868044855E-2</v>
      </c>
      <c r="HQ12" s="61">
        <f t="shared" si="5"/>
        <v>8.3878285868044855E-2</v>
      </c>
      <c r="HR12" s="61">
        <f t="shared" si="6"/>
        <v>7.8665416048805517E-2</v>
      </c>
      <c r="HS12" s="89">
        <f t="shared" si="7"/>
        <v>3.7815126050420166E-2</v>
      </c>
      <c r="HT12" s="89">
        <f t="shared" si="8"/>
        <v>3.7815126050420166E-2</v>
      </c>
      <c r="HU12" s="89">
        <f t="shared" si="9"/>
        <v>3.7815126050420166E-2</v>
      </c>
      <c r="HW12" s="168" t="s">
        <v>50</v>
      </c>
      <c r="HX12" s="38" t="s">
        <v>284</v>
      </c>
      <c r="HY12" s="34"/>
    </row>
    <row r="13" spans="1:233" ht="15" customHeight="1" x14ac:dyDescent="0.2">
      <c r="A13" s="9" t="s">
        <v>146</v>
      </c>
      <c r="B13" s="175" t="s">
        <v>285</v>
      </c>
      <c r="C13" s="166"/>
      <c r="D13" s="166"/>
      <c r="E13" s="166"/>
      <c r="F13" s="166"/>
      <c r="G13" s="166"/>
      <c r="H13" s="166"/>
      <c r="I13" s="166"/>
      <c r="J13" s="166"/>
      <c r="K13" s="166"/>
      <c r="L13" s="166"/>
      <c r="M13" s="166"/>
      <c r="N13" s="166"/>
      <c r="O13" s="166"/>
      <c r="P13" s="166"/>
      <c r="Q13" s="166"/>
      <c r="R13" s="166"/>
      <c r="S13" s="166"/>
      <c r="T13" s="166"/>
      <c r="U13" s="166"/>
      <c r="V13" s="166"/>
      <c r="W13" s="166"/>
      <c r="X13" s="166"/>
      <c r="Y13" s="166"/>
      <c r="Z13" s="166"/>
      <c r="AA13" s="166"/>
      <c r="AB13" s="166"/>
      <c r="AC13" s="166"/>
      <c r="AD13" s="166"/>
      <c r="AE13" s="166"/>
      <c r="AF13" s="166"/>
      <c r="AG13" s="166"/>
      <c r="AH13" s="166"/>
      <c r="AI13" s="166"/>
      <c r="AJ13" s="166"/>
      <c r="AK13" s="166"/>
      <c r="AL13" s="166"/>
      <c r="AM13" s="166"/>
      <c r="AN13" s="166"/>
      <c r="AO13" s="166"/>
      <c r="AP13" s="166"/>
      <c r="AQ13" s="166"/>
      <c r="AR13" s="166"/>
      <c r="AS13" s="166"/>
      <c r="AT13" s="166"/>
      <c r="AU13" s="166"/>
      <c r="AV13" s="166"/>
      <c r="AW13" s="166"/>
      <c r="AX13" s="166"/>
      <c r="AY13" s="166"/>
      <c r="AZ13" s="166"/>
      <c r="BA13" s="166"/>
      <c r="BB13" s="166"/>
      <c r="BC13" s="166"/>
      <c r="BD13" s="166"/>
      <c r="BE13" s="166"/>
      <c r="BF13" s="166"/>
      <c r="BG13" s="166"/>
      <c r="BH13" s="166"/>
      <c r="BI13" s="166"/>
      <c r="BJ13" s="166"/>
      <c r="BK13" s="166"/>
      <c r="BL13" s="166"/>
      <c r="BM13" s="166"/>
      <c r="BN13" s="166"/>
      <c r="BO13" s="166"/>
      <c r="BP13" s="166"/>
      <c r="BQ13" s="166"/>
      <c r="BR13" s="166"/>
      <c r="BS13" s="166"/>
      <c r="BT13" s="166"/>
      <c r="BU13" s="166"/>
      <c r="BV13" s="166"/>
      <c r="BW13" s="166"/>
      <c r="BX13" s="166"/>
      <c r="BY13" s="166"/>
      <c r="BZ13" s="166"/>
      <c r="CA13" s="166"/>
      <c r="CB13" s="176">
        <v>983000000</v>
      </c>
      <c r="CC13" s="176">
        <v>956000000</v>
      </c>
      <c r="CD13" s="176">
        <v>925000000</v>
      </c>
      <c r="CE13" s="176">
        <v>953000000</v>
      </c>
      <c r="CF13" s="176">
        <v>992000000</v>
      </c>
      <c r="CG13" s="176">
        <v>1030000000</v>
      </c>
      <c r="CH13" s="176">
        <v>1020000000</v>
      </c>
      <c r="CI13" s="176">
        <v>1070000000</v>
      </c>
      <c r="CJ13" s="176">
        <v>1050000000</v>
      </c>
      <c r="CK13" s="176">
        <v>1020000000</v>
      </c>
      <c r="CL13" s="176">
        <v>1080000000</v>
      </c>
      <c r="CM13" s="176">
        <v>1050000000</v>
      </c>
      <c r="CN13" s="176">
        <v>1100000000</v>
      </c>
      <c r="CO13" s="176">
        <v>1210000000</v>
      </c>
      <c r="CP13" s="176">
        <v>1360000000</v>
      </c>
      <c r="CQ13" s="176">
        <v>1550000000</v>
      </c>
      <c r="CR13" s="176">
        <v>1830000000</v>
      </c>
      <c r="CS13" s="176">
        <v>2040000000</v>
      </c>
      <c r="CT13" s="176">
        <v>2200000000</v>
      </c>
      <c r="CU13" s="176">
        <v>2220000000</v>
      </c>
      <c r="CV13" s="176">
        <v>2590000000</v>
      </c>
      <c r="CW13" s="176">
        <v>2940000000</v>
      </c>
      <c r="CX13" s="177">
        <v>2070000000</v>
      </c>
      <c r="CY13" s="177">
        <v>2200000000</v>
      </c>
      <c r="CZ13" s="177">
        <v>2340000000</v>
      </c>
      <c r="DA13" s="177">
        <v>2320000000</v>
      </c>
      <c r="DB13" s="177">
        <v>2350000000</v>
      </c>
      <c r="DC13" s="178">
        <v>2440000000</v>
      </c>
      <c r="DD13" s="178">
        <v>2460000000</v>
      </c>
      <c r="DE13" s="178">
        <v>2450000000</v>
      </c>
      <c r="DF13" s="178">
        <v>2470000000</v>
      </c>
      <c r="DG13" s="178">
        <v>2680000000</v>
      </c>
      <c r="DH13" s="179"/>
      <c r="DI13" s="180"/>
      <c r="DJ13" s="181"/>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9"/>
      <c r="ES13" s="9"/>
      <c r="ET13" s="9"/>
      <c r="EU13" s="9"/>
      <c r="EV13" s="9"/>
      <c r="EW13" s="9"/>
      <c r="EX13" s="9"/>
      <c r="EY13" s="9"/>
      <c r="EZ13" s="9"/>
      <c r="FA13" s="9"/>
      <c r="FB13" s="9"/>
      <c r="FC13" s="9"/>
      <c r="FD13" s="9"/>
      <c r="FE13" s="9"/>
      <c r="FF13" s="9"/>
      <c r="FG13" s="9"/>
      <c r="FH13" s="9"/>
      <c r="FI13" s="9"/>
      <c r="FJ13" s="9"/>
      <c r="FK13" s="9"/>
      <c r="FL13" s="9"/>
      <c r="FM13" s="9"/>
      <c r="FN13" s="9"/>
      <c r="FO13" s="9"/>
      <c r="FP13" s="9"/>
      <c r="FQ13" s="9"/>
      <c r="FR13" s="9"/>
      <c r="FS13" s="9"/>
      <c r="FT13" s="9"/>
      <c r="FU13" s="9"/>
      <c r="FV13" s="9"/>
      <c r="FW13" s="9"/>
      <c r="FX13" s="9"/>
      <c r="FY13" s="9"/>
      <c r="FZ13" s="9"/>
      <c r="GA13" s="9"/>
      <c r="GB13" s="9"/>
      <c r="GC13" s="9"/>
      <c r="GD13" s="9"/>
      <c r="GE13" s="9"/>
      <c r="GF13" s="9"/>
      <c r="GG13" s="9"/>
      <c r="GH13" s="9"/>
      <c r="GI13" s="9"/>
      <c r="GJ13" s="61">
        <f t="shared" ref="GJ13:GM19" si="26">(CC13-CB13)/CB13</f>
        <v>-2.7466937945066123E-2</v>
      </c>
      <c r="GK13" s="61">
        <f t="shared" si="26"/>
        <v>-3.2426778242677826E-2</v>
      </c>
      <c r="GL13" s="61">
        <f t="shared" si="26"/>
        <v>3.027027027027027E-2</v>
      </c>
      <c r="GM13" s="61">
        <f t="shared" si="26"/>
        <v>4.0923399790136414E-2</v>
      </c>
      <c r="GN13" s="61">
        <f t="shared" si="23"/>
        <v>3.8306451612903226E-2</v>
      </c>
      <c r="GO13" s="61">
        <f t="shared" si="23"/>
        <v>-9.7087378640776691E-3</v>
      </c>
      <c r="GP13" s="61">
        <f t="shared" si="23"/>
        <v>4.9019607843137254E-2</v>
      </c>
      <c r="GQ13" s="61">
        <f t="shared" si="23"/>
        <v>-1.8691588785046728E-2</v>
      </c>
      <c r="GR13" s="61">
        <f t="shared" si="23"/>
        <v>-2.8571428571428571E-2</v>
      </c>
      <c r="GS13" s="61">
        <f t="shared" si="23"/>
        <v>5.8823529411764705E-2</v>
      </c>
      <c r="GT13" s="61">
        <f t="shared" si="23"/>
        <v>-2.7777777777777776E-2</v>
      </c>
      <c r="GU13" s="61">
        <f t="shared" si="23"/>
        <v>4.7619047619047616E-2</v>
      </c>
      <c r="GV13" s="61">
        <f t="shared" si="23"/>
        <v>0.1</v>
      </c>
      <c r="GW13" s="61">
        <f t="shared" si="23"/>
        <v>0.12396694214876033</v>
      </c>
      <c r="GX13" s="61">
        <f t="shared" si="24"/>
        <v>0.13970588235294118</v>
      </c>
      <c r="GY13" s="61">
        <f t="shared" si="24"/>
        <v>0.18064516129032257</v>
      </c>
      <c r="GZ13" s="61">
        <f t="shared" si="24"/>
        <v>0.11475409836065574</v>
      </c>
      <c r="HA13" s="61">
        <f t="shared" si="24"/>
        <v>7.8431372549019607E-2</v>
      </c>
      <c r="HB13" s="61">
        <f t="shared" si="24"/>
        <v>9.0909090909090905E-3</v>
      </c>
      <c r="HC13" s="61">
        <f t="shared" si="24"/>
        <v>0.16666666666666666</v>
      </c>
      <c r="HD13" s="61">
        <f t="shared" si="24"/>
        <v>0.13513513513513514</v>
      </c>
      <c r="HE13" s="61">
        <f t="shared" si="24"/>
        <v>-0.29591836734693877</v>
      </c>
      <c r="HF13" s="61">
        <f t="shared" si="24"/>
        <v>6.280193236714976E-2</v>
      </c>
      <c r="HG13" s="61">
        <f t="shared" si="24"/>
        <v>6.363636363636363E-2</v>
      </c>
      <c r="HH13" s="61">
        <f t="shared" si="25"/>
        <v>-8.5470085470085479E-3</v>
      </c>
      <c r="HI13" s="61">
        <f t="shared" si="25"/>
        <v>1.2931034482758621E-2</v>
      </c>
      <c r="HJ13" s="61">
        <f t="shared" si="25"/>
        <v>3.8297872340425532E-2</v>
      </c>
      <c r="HK13" s="61">
        <f t="shared" si="25"/>
        <v>8.1967213114754103E-3</v>
      </c>
      <c r="HL13" s="61">
        <f t="shared" si="25"/>
        <v>-4.0650406504065045E-3</v>
      </c>
      <c r="HM13" s="61">
        <f t="shared" si="25"/>
        <v>8.1632653061224497E-3</v>
      </c>
      <c r="HN13" s="61">
        <f t="shared" si="25"/>
        <v>8.5020242914979755E-2</v>
      </c>
      <c r="HP13" s="61">
        <f t="shared" si="4"/>
        <v>3.6749427121629555E-2</v>
      </c>
      <c r="HQ13" s="61">
        <f t="shared" si="5"/>
        <v>3.6749427121629555E-2</v>
      </c>
      <c r="HR13" s="61">
        <f t="shared" si="6"/>
        <v>3.9142552279820698E-2</v>
      </c>
      <c r="HS13" s="167">
        <f t="shared" si="7"/>
        <v>3.8306451612903226E-2</v>
      </c>
      <c r="HT13" s="89">
        <f t="shared" si="8"/>
        <v>3.8306451612903226E-2</v>
      </c>
      <c r="HU13" s="89">
        <f t="shared" si="9"/>
        <v>4.0923399790136414E-2</v>
      </c>
      <c r="HW13" s="182" t="s">
        <v>52</v>
      </c>
      <c r="HX13" s="26">
        <v>3.8306451612903199E-2</v>
      </c>
      <c r="HY13" s="27" t="s">
        <v>131</v>
      </c>
    </row>
    <row r="14" spans="1:233" ht="15" customHeight="1" x14ac:dyDescent="0.2">
      <c r="A14" s="58" t="s">
        <v>146</v>
      </c>
      <c r="B14" s="183" t="s">
        <v>53</v>
      </c>
      <c r="C14" s="166"/>
      <c r="D14" s="166"/>
      <c r="E14" s="166"/>
      <c r="F14" s="166"/>
      <c r="G14" s="166"/>
      <c r="H14" s="166"/>
      <c r="I14" s="166"/>
      <c r="J14" s="166"/>
      <c r="K14" s="166"/>
      <c r="L14" s="166"/>
      <c r="M14" s="166"/>
      <c r="N14" s="166"/>
      <c r="O14" s="166"/>
      <c r="P14" s="166"/>
      <c r="Q14" s="166"/>
      <c r="R14" s="166"/>
      <c r="S14" s="166"/>
      <c r="T14" s="166"/>
      <c r="U14" s="166"/>
      <c r="V14" s="166"/>
      <c r="W14" s="166"/>
      <c r="X14" s="166"/>
      <c r="Y14" s="166">
        <v>272400</v>
      </c>
      <c r="Z14" s="166">
        <v>247430</v>
      </c>
      <c r="AA14" s="166">
        <v>222460</v>
      </c>
      <c r="AB14" s="166">
        <v>197490</v>
      </c>
      <c r="AC14" s="166">
        <v>172520</v>
      </c>
      <c r="AD14" s="166">
        <v>257872</v>
      </c>
      <c r="AE14" s="166">
        <v>343678</v>
      </c>
      <c r="AF14" s="166">
        <v>429484</v>
      </c>
      <c r="AG14" s="166">
        <v>515290</v>
      </c>
      <c r="AH14" s="166">
        <v>513474</v>
      </c>
      <c r="AI14" s="166">
        <v>512112</v>
      </c>
      <c r="AJ14" s="166">
        <v>511204</v>
      </c>
      <c r="AK14" s="166">
        <v>509388</v>
      </c>
      <c r="AL14" s="166">
        <v>499400</v>
      </c>
      <c r="AM14" s="166">
        <v>454000</v>
      </c>
      <c r="AN14" s="166">
        <v>452320.2</v>
      </c>
      <c r="AO14" s="166">
        <v>477154</v>
      </c>
      <c r="AP14" s="166">
        <v>528183.6</v>
      </c>
      <c r="AQ14" s="166">
        <v>673690.6</v>
      </c>
      <c r="AR14" s="166">
        <v>629516.4</v>
      </c>
      <c r="AS14" s="166">
        <v>732075</v>
      </c>
      <c r="AT14" s="166">
        <v>871997.8</v>
      </c>
      <c r="AU14" s="166">
        <v>880760</v>
      </c>
      <c r="AV14" s="166">
        <v>681000</v>
      </c>
      <c r="AW14" s="166">
        <v>780880</v>
      </c>
      <c r="AX14" s="166">
        <v>812660</v>
      </c>
      <c r="AY14" s="166">
        <v>953400</v>
      </c>
      <c r="AZ14" s="166">
        <v>948860</v>
      </c>
      <c r="BA14" s="166">
        <v>921620</v>
      </c>
      <c r="BB14" s="166">
        <v>953400</v>
      </c>
      <c r="BC14" s="166">
        <v>771800</v>
      </c>
      <c r="BD14" s="166">
        <v>862600</v>
      </c>
      <c r="BE14" s="166">
        <v>953400</v>
      </c>
      <c r="BF14" s="166">
        <v>953400</v>
      </c>
      <c r="BG14" s="166">
        <v>1225800</v>
      </c>
      <c r="BH14" s="166">
        <v>1149000</v>
      </c>
      <c r="BI14" s="166">
        <v>1073000</v>
      </c>
      <c r="BJ14" s="166">
        <v>1094000</v>
      </c>
      <c r="BK14" s="166">
        <v>1115000</v>
      </c>
      <c r="BL14" s="166">
        <v>1136000</v>
      </c>
      <c r="BM14" s="166">
        <v>1156000</v>
      </c>
      <c r="BN14" s="166">
        <v>1204000</v>
      </c>
      <c r="BO14" s="166">
        <v>1252000</v>
      </c>
      <c r="BP14" s="166">
        <v>1300000</v>
      </c>
      <c r="BQ14" s="166">
        <v>1348000</v>
      </c>
      <c r="BR14" s="166">
        <v>1361000</v>
      </c>
      <c r="BS14" s="166">
        <v>1374000</v>
      </c>
      <c r="BT14" s="166">
        <v>1387000</v>
      </c>
      <c r="BU14" s="166">
        <v>1400000</v>
      </c>
      <c r="BV14" s="166">
        <v>1424000</v>
      </c>
      <c r="BW14" s="166">
        <v>1447000</v>
      </c>
      <c r="BX14" s="166">
        <v>1470000</v>
      </c>
      <c r="BY14" s="166">
        <v>1493000</v>
      </c>
      <c r="BZ14" s="166">
        <v>1568000</v>
      </c>
      <c r="CA14" s="166">
        <v>1642000</v>
      </c>
      <c r="CB14" s="166">
        <v>1790000</v>
      </c>
      <c r="CC14" s="166">
        <v>1630000</v>
      </c>
      <c r="CD14" s="166">
        <v>1730000</v>
      </c>
      <c r="CE14" s="166">
        <v>1760000</v>
      </c>
      <c r="CF14" s="166">
        <v>1880000</v>
      </c>
      <c r="CG14" s="166">
        <v>2070000</v>
      </c>
      <c r="CH14" s="166">
        <v>2150000</v>
      </c>
      <c r="CI14" s="166">
        <v>1640000</v>
      </c>
      <c r="CJ14" s="45">
        <v>1450000</v>
      </c>
      <c r="CK14" s="45">
        <v>1430000</v>
      </c>
      <c r="CL14" s="45">
        <v>1410000</v>
      </c>
      <c r="CM14" s="45">
        <v>1580000</v>
      </c>
      <c r="CN14" s="45">
        <v>1510000</v>
      </c>
      <c r="CO14" s="166">
        <v>1430000</v>
      </c>
      <c r="CP14" s="166">
        <v>1330000</v>
      </c>
      <c r="CQ14" s="166">
        <v>1390000</v>
      </c>
      <c r="CR14" s="166">
        <v>1540000</v>
      </c>
      <c r="CS14" s="166">
        <v>1560000</v>
      </c>
      <c r="CT14" s="166">
        <v>1510000</v>
      </c>
      <c r="CU14" s="166">
        <v>2280000</v>
      </c>
      <c r="CV14" s="166">
        <v>2150000</v>
      </c>
      <c r="CW14" s="166">
        <v>1980000</v>
      </c>
      <c r="CX14" s="166">
        <v>2237000</v>
      </c>
      <c r="CY14" s="166">
        <v>2170000</v>
      </c>
      <c r="CZ14" s="166">
        <v>2250000</v>
      </c>
      <c r="DA14" s="166">
        <v>2190000</v>
      </c>
      <c r="DB14" s="166">
        <v>2250000</v>
      </c>
      <c r="DC14" s="166">
        <v>2710000</v>
      </c>
      <c r="DD14" s="166">
        <v>2810000</v>
      </c>
      <c r="DE14" s="166">
        <v>2880000</v>
      </c>
      <c r="DF14" s="45">
        <v>3120000</v>
      </c>
      <c r="DG14" s="166">
        <v>3000000</v>
      </c>
      <c r="DH14" s="9"/>
      <c r="DJ14" s="9"/>
      <c r="DK14" s="9"/>
      <c r="DL14" s="9"/>
      <c r="DM14" s="9"/>
      <c r="DN14" s="9"/>
      <c r="DO14" s="9"/>
      <c r="DP14" s="9"/>
      <c r="DQ14" s="9"/>
      <c r="DR14" s="9"/>
      <c r="DS14" s="9"/>
      <c r="DT14" s="9"/>
      <c r="DU14" s="9"/>
      <c r="DV14" s="9"/>
      <c r="DW14" s="9"/>
      <c r="DX14" s="9"/>
      <c r="DY14" s="9"/>
      <c r="DZ14" s="9"/>
      <c r="EA14" s="9"/>
      <c r="EB14" s="9"/>
      <c r="EC14" s="9"/>
      <c r="ED14" s="9"/>
      <c r="EE14" s="9"/>
      <c r="EF14" s="9"/>
      <c r="EG14" s="61">
        <f t="shared" ref="EG14:FL14" si="27">(Z14-Y14)/Y14</f>
        <v>-9.166666666666666E-2</v>
      </c>
      <c r="EH14" s="61">
        <f t="shared" si="27"/>
        <v>-0.10091743119266056</v>
      </c>
      <c r="EI14" s="61">
        <f t="shared" si="27"/>
        <v>-0.11224489795918367</v>
      </c>
      <c r="EJ14" s="61">
        <f t="shared" si="27"/>
        <v>-0.12643678160919541</v>
      </c>
      <c r="EK14" s="61">
        <f t="shared" si="27"/>
        <v>0.49473684210526314</v>
      </c>
      <c r="EL14" s="61">
        <f t="shared" si="27"/>
        <v>0.33274647887323944</v>
      </c>
      <c r="EM14" s="61">
        <f t="shared" si="27"/>
        <v>0.24966974900924702</v>
      </c>
      <c r="EN14" s="61">
        <f t="shared" si="27"/>
        <v>0.19978858350951373</v>
      </c>
      <c r="EO14" s="61">
        <f t="shared" si="27"/>
        <v>-3.524229074889868E-3</v>
      </c>
      <c r="EP14" s="61">
        <f t="shared" si="27"/>
        <v>-2.6525198938992041E-3</v>
      </c>
      <c r="EQ14" s="61">
        <f t="shared" si="27"/>
        <v>-1.7730496453900709E-3</v>
      </c>
      <c r="ER14" s="61">
        <f t="shared" si="27"/>
        <v>-3.552397868561279E-3</v>
      </c>
      <c r="ES14" s="61">
        <f t="shared" si="27"/>
        <v>-1.9607843137254902E-2</v>
      </c>
      <c r="ET14" s="61">
        <f t="shared" si="27"/>
        <v>-9.0909090909090912E-2</v>
      </c>
      <c r="EU14" s="61">
        <f t="shared" si="27"/>
        <v>-3.6999999999999741E-3</v>
      </c>
      <c r="EV14" s="61">
        <f t="shared" si="27"/>
        <v>5.4903141624008805E-2</v>
      </c>
      <c r="EW14" s="61">
        <f t="shared" si="27"/>
        <v>0.10694576593720262</v>
      </c>
      <c r="EX14" s="61">
        <f t="shared" si="27"/>
        <v>0.27548564552174659</v>
      </c>
      <c r="EY14" s="61">
        <f t="shared" si="27"/>
        <v>-6.5570456230204119E-2</v>
      </c>
      <c r="EZ14" s="61">
        <f t="shared" si="27"/>
        <v>0.16291648636953696</v>
      </c>
      <c r="FA14" s="61">
        <f t="shared" si="27"/>
        <v>0.19113178294573649</v>
      </c>
      <c r="FB14" s="61">
        <f t="shared" si="27"/>
        <v>1.0048419846930752E-2</v>
      </c>
      <c r="FC14" s="61">
        <f t="shared" si="27"/>
        <v>-0.22680412371134021</v>
      </c>
      <c r="FD14" s="61">
        <f t="shared" si="27"/>
        <v>0.14666666666666667</v>
      </c>
      <c r="FE14" s="61">
        <f t="shared" si="27"/>
        <v>4.0697674418604654E-2</v>
      </c>
      <c r="FF14" s="61">
        <f t="shared" si="27"/>
        <v>0.17318435754189945</v>
      </c>
      <c r="FG14" s="61">
        <f t="shared" si="27"/>
        <v>-4.7619047619047623E-3</v>
      </c>
      <c r="FH14" s="61">
        <f t="shared" si="27"/>
        <v>-2.8708133971291867E-2</v>
      </c>
      <c r="FI14" s="61">
        <f t="shared" si="27"/>
        <v>3.4482758620689655E-2</v>
      </c>
      <c r="FJ14" s="61">
        <f t="shared" si="27"/>
        <v>-0.19047619047619047</v>
      </c>
      <c r="FK14" s="61">
        <f t="shared" si="27"/>
        <v>0.11764705882352941</v>
      </c>
      <c r="FL14" s="61">
        <f t="shared" si="27"/>
        <v>0.10526315789473684</v>
      </c>
      <c r="FM14" s="61">
        <f t="shared" ref="FM14:GI14" si="28">(BF14-BE14)/BE14</f>
        <v>0</v>
      </c>
      <c r="FN14" s="61">
        <f t="shared" si="28"/>
        <v>0.2857142857142857</v>
      </c>
      <c r="FO14" s="61">
        <f t="shared" si="28"/>
        <v>-6.2652961331375434E-2</v>
      </c>
      <c r="FP14" s="61">
        <f t="shared" si="28"/>
        <v>-6.6144473455178418E-2</v>
      </c>
      <c r="FQ14" s="61">
        <f t="shared" si="28"/>
        <v>1.9571295433364399E-2</v>
      </c>
      <c r="FR14" s="61">
        <f t="shared" si="28"/>
        <v>1.9195612431444242E-2</v>
      </c>
      <c r="FS14" s="61">
        <f t="shared" si="28"/>
        <v>1.883408071748879E-2</v>
      </c>
      <c r="FT14" s="61">
        <f t="shared" si="28"/>
        <v>1.7605633802816902E-2</v>
      </c>
      <c r="FU14" s="61">
        <f t="shared" si="28"/>
        <v>4.1522491349480967E-2</v>
      </c>
      <c r="FV14" s="61">
        <f t="shared" si="28"/>
        <v>3.9867109634551492E-2</v>
      </c>
      <c r="FW14" s="61">
        <f t="shared" si="28"/>
        <v>3.8338658146964855E-2</v>
      </c>
      <c r="FX14" s="61">
        <f t="shared" si="28"/>
        <v>3.6923076923076927E-2</v>
      </c>
      <c r="FY14" s="61">
        <f t="shared" si="28"/>
        <v>9.6439169139465875E-3</v>
      </c>
      <c r="FZ14" s="61">
        <f t="shared" si="28"/>
        <v>9.5518001469507719E-3</v>
      </c>
      <c r="GA14" s="61">
        <f t="shared" si="28"/>
        <v>9.4614264919941782E-3</v>
      </c>
      <c r="GB14" s="61">
        <f t="shared" si="28"/>
        <v>9.372746935832732E-3</v>
      </c>
      <c r="GC14" s="61">
        <f t="shared" si="28"/>
        <v>1.7142857142857144E-2</v>
      </c>
      <c r="GD14" s="61">
        <f t="shared" si="28"/>
        <v>1.6151685393258428E-2</v>
      </c>
      <c r="GE14" s="61">
        <f t="shared" si="28"/>
        <v>1.5894955079474776E-2</v>
      </c>
      <c r="GF14" s="61">
        <f t="shared" si="28"/>
        <v>1.5646258503401362E-2</v>
      </c>
      <c r="GG14" s="61">
        <f t="shared" si="28"/>
        <v>5.0234427327528468E-2</v>
      </c>
      <c r="GH14" s="61">
        <f t="shared" si="28"/>
        <v>4.7193877551020405E-2</v>
      </c>
      <c r="GI14" s="61">
        <f t="shared" si="28"/>
        <v>9.0133982947624841E-2</v>
      </c>
      <c r="GJ14" s="61">
        <f t="shared" si="26"/>
        <v>-8.9385474860335198E-2</v>
      </c>
      <c r="GK14" s="61">
        <f t="shared" si="26"/>
        <v>6.1349693251533742E-2</v>
      </c>
      <c r="GL14" s="61">
        <f t="shared" si="26"/>
        <v>1.7341040462427744E-2</v>
      </c>
      <c r="GM14" s="61">
        <f t="shared" si="26"/>
        <v>6.8181818181818177E-2</v>
      </c>
      <c r="GN14" s="61">
        <f t="shared" si="23"/>
        <v>0.10106382978723404</v>
      </c>
      <c r="GO14" s="61">
        <f t="shared" si="23"/>
        <v>3.864734299516908E-2</v>
      </c>
      <c r="GP14" s="61">
        <f t="shared" si="23"/>
        <v>-0.23720930232558141</v>
      </c>
      <c r="GQ14" s="61">
        <f t="shared" si="23"/>
        <v>-0.11585365853658537</v>
      </c>
      <c r="GR14" s="61">
        <f t="shared" si="23"/>
        <v>-1.3793103448275862E-2</v>
      </c>
      <c r="GS14" s="61">
        <f t="shared" si="23"/>
        <v>-1.3986013986013986E-2</v>
      </c>
      <c r="GT14" s="61">
        <f t="shared" si="23"/>
        <v>0.12056737588652482</v>
      </c>
      <c r="GU14" s="61">
        <f t="shared" si="23"/>
        <v>-4.4303797468354431E-2</v>
      </c>
      <c r="GV14" s="61">
        <f t="shared" si="23"/>
        <v>-5.2980132450331126E-2</v>
      </c>
      <c r="GW14" s="61">
        <f t="shared" si="23"/>
        <v>-6.9930069930069935E-2</v>
      </c>
      <c r="GX14" s="61">
        <f t="shared" si="24"/>
        <v>4.5112781954887216E-2</v>
      </c>
      <c r="GY14" s="61">
        <f t="shared" si="24"/>
        <v>0.1079136690647482</v>
      </c>
      <c r="GZ14" s="61">
        <f t="shared" si="24"/>
        <v>1.2987012987012988E-2</v>
      </c>
      <c r="HA14" s="61">
        <f t="shared" si="24"/>
        <v>-3.2051282051282048E-2</v>
      </c>
      <c r="HB14" s="61">
        <f t="shared" si="24"/>
        <v>0.50993377483443714</v>
      </c>
      <c r="HC14" s="61">
        <f t="shared" si="24"/>
        <v>-5.701754385964912E-2</v>
      </c>
      <c r="HD14" s="61">
        <f t="shared" si="24"/>
        <v>-7.9069767441860464E-2</v>
      </c>
      <c r="HE14" s="61">
        <f t="shared" si="24"/>
        <v>0.1297979797979798</v>
      </c>
      <c r="HF14" s="61">
        <f t="shared" si="24"/>
        <v>-2.9950827000447027E-2</v>
      </c>
      <c r="HG14" s="61">
        <f t="shared" si="24"/>
        <v>3.6866359447004608E-2</v>
      </c>
      <c r="HH14" s="61">
        <f t="shared" si="25"/>
        <v>-2.6666666666666668E-2</v>
      </c>
      <c r="HI14" s="61">
        <f t="shared" si="25"/>
        <v>2.7397260273972601E-2</v>
      </c>
      <c r="HJ14" s="61">
        <f t="shared" si="25"/>
        <v>0.20444444444444446</v>
      </c>
      <c r="HK14" s="61">
        <f t="shared" si="25"/>
        <v>3.6900369003690037E-2</v>
      </c>
      <c r="HL14" s="61">
        <f t="shared" si="25"/>
        <v>2.491103202846975E-2</v>
      </c>
      <c r="HM14" s="61">
        <f t="shared" si="25"/>
        <v>8.3333333333333329E-2</v>
      </c>
      <c r="HN14" s="61">
        <f t="shared" si="25"/>
        <v>-3.8461538461538464E-2</v>
      </c>
      <c r="HP14" s="61">
        <f t="shared" si="4"/>
        <v>3.5212808554062044E-2</v>
      </c>
      <c r="HQ14" s="61">
        <f t="shared" si="5"/>
        <v>2.5506997568603793E-2</v>
      </c>
      <c r="HR14" s="61">
        <f t="shared" si="6"/>
        <v>2.3599318561117275E-2</v>
      </c>
      <c r="HS14" s="167">
        <f t="shared" si="7"/>
        <v>1.7241948802642446E-2</v>
      </c>
      <c r="HT14" s="89">
        <f t="shared" si="8"/>
        <v>2.1126036245448745E-2</v>
      </c>
      <c r="HU14" s="184">
        <f t="shared" si="9"/>
        <v>1.5164026724720366E-2</v>
      </c>
      <c r="HW14" s="185" t="s">
        <v>53</v>
      </c>
      <c r="HX14" s="26">
        <v>1.68396386653079E-2</v>
      </c>
      <c r="HY14" s="27" t="s">
        <v>131</v>
      </c>
    </row>
    <row r="15" spans="1:233" ht="15" customHeight="1" x14ac:dyDescent="0.2">
      <c r="A15" s="9" t="s">
        <v>132</v>
      </c>
      <c r="B15" s="183" t="s">
        <v>55</v>
      </c>
      <c r="BM15" s="166">
        <v>6000</v>
      </c>
      <c r="BN15" s="166">
        <v>6000</v>
      </c>
      <c r="BO15" s="166">
        <v>5500</v>
      </c>
      <c r="BP15" s="166">
        <v>5700</v>
      </c>
      <c r="BQ15" s="166">
        <v>5600</v>
      </c>
      <c r="BR15" s="166">
        <v>6900</v>
      </c>
      <c r="BS15" s="166">
        <v>6800</v>
      </c>
      <c r="BT15" s="166">
        <v>5200</v>
      </c>
      <c r="BU15" s="166">
        <v>6400</v>
      </c>
      <c r="BV15" s="166">
        <v>7400</v>
      </c>
      <c r="BW15" s="166">
        <v>7600</v>
      </c>
      <c r="BX15" s="166">
        <v>7200</v>
      </c>
      <c r="BY15" s="166">
        <v>7400</v>
      </c>
      <c r="BZ15" s="166">
        <v>7900</v>
      </c>
      <c r="CA15" s="166">
        <v>8600</v>
      </c>
      <c r="CB15" s="166">
        <v>5400</v>
      </c>
      <c r="CC15" s="166">
        <v>5000</v>
      </c>
      <c r="CD15" s="166">
        <v>5700</v>
      </c>
      <c r="CE15" s="166">
        <v>5900</v>
      </c>
      <c r="CF15" s="166">
        <v>6100</v>
      </c>
      <c r="CG15" s="166">
        <v>6300</v>
      </c>
      <c r="CH15" s="166">
        <v>11000</v>
      </c>
      <c r="CI15" s="166">
        <v>14000</v>
      </c>
      <c r="CJ15" s="45">
        <v>15000</v>
      </c>
      <c r="CK15" s="45">
        <v>14000</v>
      </c>
      <c r="CL15" s="45">
        <v>14000</v>
      </c>
      <c r="CM15" s="45">
        <v>15100</v>
      </c>
      <c r="CN15" s="45">
        <v>14200</v>
      </c>
      <c r="CO15" s="166">
        <v>15100</v>
      </c>
      <c r="CP15" s="166">
        <v>20200</v>
      </c>
      <c r="CQ15" s="166">
        <v>20600</v>
      </c>
      <c r="CR15" s="166">
        <v>23500</v>
      </c>
      <c r="CS15" s="166">
        <v>25800</v>
      </c>
      <c r="CT15" s="166">
        <v>25400</v>
      </c>
      <c r="CU15" s="166">
        <v>18800</v>
      </c>
      <c r="CV15" s="166">
        <v>28100</v>
      </c>
      <c r="CW15" s="166">
        <v>34100</v>
      </c>
      <c r="CX15" s="166">
        <v>35000</v>
      </c>
      <c r="CY15" s="166">
        <v>34000</v>
      </c>
      <c r="CZ15" s="166">
        <v>31700</v>
      </c>
      <c r="DA15" s="166">
        <v>31500</v>
      </c>
      <c r="DB15" s="166">
        <v>38000</v>
      </c>
      <c r="DC15" s="166">
        <v>69000</v>
      </c>
      <c r="DD15" s="166">
        <v>95000</v>
      </c>
      <c r="DE15" s="166">
        <v>86000</v>
      </c>
      <c r="DF15" s="45">
        <v>82500</v>
      </c>
      <c r="DG15" s="45">
        <v>100000</v>
      </c>
      <c r="DT15" s="47"/>
      <c r="DW15" s="47"/>
      <c r="EG15" s="62"/>
      <c r="FT15" s="62"/>
      <c r="FU15" s="62">
        <f t="shared" ref="FU15:GI16" si="29">(BN15-BM15)/BM15</f>
        <v>0</v>
      </c>
      <c r="FV15" s="62">
        <f t="shared" si="29"/>
        <v>-8.3333333333333329E-2</v>
      </c>
      <c r="FW15" s="62">
        <f t="shared" si="29"/>
        <v>3.6363636363636362E-2</v>
      </c>
      <c r="FX15" s="62">
        <f t="shared" si="29"/>
        <v>-1.7543859649122806E-2</v>
      </c>
      <c r="FY15" s="62">
        <f t="shared" si="29"/>
        <v>0.23214285714285715</v>
      </c>
      <c r="FZ15" s="62">
        <f t="shared" si="29"/>
        <v>-1.4492753623188406E-2</v>
      </c>
      <c r="GA15" s="62">
        <f t="shared" si="29"/>
        <v>-0.23529411764705882</v>
      </c>
      <c r="GB15" s="62">
        <f t="shared" si="29"/>
        <v>0.23076923076923078</v>
      </c>
      <c r="GC15" s="62">
        <f t="shared" si="29"/>
        <v>0.15625</v>
      </c>
      <c r="GD15" s="62">
        <f t="shared" si="29"/>
        <v>2.7027027027027029E-2</v>
      </c>
      <c r="GE15" s="62">
        <f t="shared" si="29"/>
        <v>-5.2631578947368418E-2</v>
      </c>
      <c r="GF15" s="62">
        <f t="shared" si="29"/>
        <v>2.7777777777777776E-2</v>
      </c>
      <c r="GG15" s="62">
        <f t="shared" si="29"/>
        <v>6.7567567567567571E-2</v>
      </c>
      <c r="GH15" s="62">
        <f t="shared" si="29"/>
        <v>8.8607594936708861E-2</v>
      </c>
      <c r="GI15" s="62">
        <f t="shared" si="29"/>
        <v>-0.37209302325581395</v>
      </c>
      <c r="GJ15" s="62">
        <f t="shared" si="26"/>
        <v>-7.407407407407407E-2</v>
      </c>
      <c r="GK15" s="62">
        <f t="shared" si="26"/>
        <v>0.14000000000000001</v>
      </c>
      <c r="GL15" s="62">
        <f t="shared" si="26"/>
        <v>3.5087719298245612E-2</v>
      </c>
      <c r="GM15" s="62">
        <f t="shared" si="26"/>
        <v>3.3898305084745763E-2</v>
      </c>
      <c r="GN15" s="62">
        <f t="shared" si="23"/>
        <v>3.2786885245901641E-2</v>
      </c>
      <c r="GO15" s="62">
        <f t="shared" si="23"/>
        <v>0.74603174603174605</v>
      </c>
      <c r="GP15" s="62">
        <f t="shared" si="23"/>
        <v>0.27272727272727271</v>
      </c>
      <c r="GQ15" s="62">
        <f t="shared" si="23"/>
        <v>7.1428571428571425E-2</v>
      </c>
      <c r="GR15" s="62">
        <f t="shared" si="23"/>
        <v>-6.6666666666666666E-2</v>
      </c>
      <c r="GS15" s="62">
        <f t="shared" si="23"/>
        <v>0</v>
      </c>
      <c r="GT15" s="62">
        <f t="shared" si="23"/>
        <v>7.857142857142857E-2</v>
      </c>
      <c r="GU15" s="62">
        <f t="shared" si="23"/>
        <v>-5.9602649006622516E-2</v>
      </c>
      <c r="GV15" s="62">
        <f t="shared" si="23"/>
        <v>6.3380281690140844E-2</v>
      </c>
      <c r="GW15" s="62">
        <f t="shared" si="23"/>
        <v>0.33774834437086093</v>
      </c>
      <c r="GX15" s="62">
        <f t="shared" si="24"/>
        <v>1.9801980198019802E-2</v>
      </c>
      <c r="GY15" s="62">
        <f t="shared" si="24"/>
        <v>0.14077669902912621</v>
      </c>
      <c r="GZ15" s="62">
        <f t="shared" si="24"/>
        <v>9.7872340425531917E-2</v>
      </c>
      <c r="HA15" s="62">
        <f t="shared" si="24"/>
        <v>-1.5503875968992248E-2</v>
      </c>
      <c r="HB15" s="62">
        <f t="shared" si="24"/>
        <v>-0.25984251968503935</v>
      </c>
      <c r="HC15" s="62">
        <f t="shared" si="24"/>
        <v>0.49468085106382981</v>
      </c>
      <c r="HD15" s="62">
        <f t="shared" si="24"/>
        <v>0.21352313167259787</v>
      </c>
      <c r="HE15" s="62">
        <f t="shared" si="24"/>
        <v>2.6392961876832845E-2</v>
      </c>
      <c r="HF15" s="62">
        <f t="shared" si="24"/>
        <v>-2.8571428571428571E-2</v>
      </c>
      <c r="HG15" s="62">
        <f t="shared" si="24"/>
        <v>-6.7647058823529407E-2</v>
      </c>
      <c r="HH15" s="62">
        <f t="shared" si="25"/>
        <v>-6.3091482649842269E-3</v>
      </c>
      <c r="HI15" s="62">
        <f t="shared" si="25"/>
        <v>0.20634920634920634</v>
      </c>
      <c r="HJ15" s="62">
        <f t="shared" si="25"/>
        <v>0.81578947368421051</v>
      </c>
      <c r="HK15" s="62">
        <f t="shared" si="25"/>
        <v>0.37681159420289856</v>
      </c>
      <c r="HL15" s="62">
        <f t="shared" si="25"/>
        <v>-9.4736842105263161E-2</v>
      </c>
      <c r="HM15" s="62">
        <f t="shared" si="25"/>
        <v>-4.0697674418604654E-2</v>
      </c>
      <c r="HN15" s="62">
        <f t="shared" si="25"/>
        <v>0.21212121212121213</v>
      </c>
      <c r="HP15" s="61">
        <f t="shared" si="4"/>
        <v>8.2461849839480308E-2</v>
      </c>
      <c r="HQ15" s="61">
        <f t="shared" si="5"/>
        <v>0.10406359513223003</v>
      </c>
      <c r="HR15" s="61">
        <f t="shared" si="6"/>
        <v>0.11551565202517429</v>
      </c>
      <c r="HS15" s="184">
        <f t="shared" si="7"/>
        <v>3.3342595165323702E-2</v>
      </c>
      <c r="HT15" s="89">
        <f t="shared" si="8"/>
        <v>3.4493012191495684E-2</v>
      </c>
      <c r="HU15" s="186">
        <f t="shared" si="9"/>
        <v>4.9234000494193228E-2</v>
      </c>
      <c r="HW15" s="185" t="s">
        <v>55</v>
      </c>
      <c r="HX15" s="43">
        <v>4.92340004941932E-2</v>
      </c>
      <c r="HY15" s="30" t="s">
        <v>134</v>
      </c>
    </row>
    <row r="16" spans="1:233" ht="15" customHeight="1" x14ac:dyDescent="0.2">
      <c r="A16" s="9" t="s">
        <v>132</v>
      </c>
      <c r="B16" s="58" t="s">
        <v>57</v>
      </c>
      <c r="C16" s="166"/>
      <c r="D16" s="166"/>
      <c r="E16" s="166"/>
      <c r="F16" s="166"/>
      <c r="G16" s="166"/>
      <c r="H16" s="166"/>
      <c r="I16" s="45"/>
      <c r="J16" s="45">
        <v>678160</v>
      </c>
      <c r="K16" s="45">
        <v>470400</v>
      </c>
      <c r="L16" s="45">
        <v>513520</v>
      </c>
      <c r="M16" s="45">
        <v>717360</v>
      </c>
      <c r="N16" s="45">
        <v>854560</v>
      </c>
      <c r="O16" s="45">
        <v>1093680</v>
      </c>
      <c r="P16" s="45">
        <v>1411200</v>
      </c>
      <c r="Q16" s="45">
        <v>1254400</v>
      </c>
      <c r="R16" s="45">
        <v>1136800</v>
      </c>
      <c r="S16" s="45">
        <v>1411200</v>
      </c>
      <c r="T16" s="45">
        <v>1411200</v>
      </c>
      <c r="U16" s="45">
        <v>1230880</v>
      </c>
      <c r="V16" s="45">
        <v>1050560</v>
      </c>
      <c r="W16" s="45">
        <v>689920</v>
      </c>
      <c r="X16" s="45">
        <v>1176000</v>
      </c>
      <c r="Y16" s="45">
        <v>1607200</v>
      </c>
      <c r="Z16" s="45">
        <v>2077600</v>
      </c>
      <c r="AA16" s="45">
        <v>2052904</v>
      </c>
      <c r="AB16" s="45">
        <v>2028208</v>
      </c>
      <c r="AC16" s="45">
        <v>1999200</v>
      </c>
      <c r="AD16" s="45">
        <v>2234400</v>
      </c>
      <c r="AE16" s="45">
        <v>2234400</v>
      </c>
      <c r="AF16" s="45">
        <v>1920800</v>
      </c>
      <c r="AG16" s="45">
        <v>1489600</v>
      </c>
      <c r="AH16" s="45">
        <v>1332800</v>
      </c>
      <c r="AI16" s="45">
        <v>1583680</v>
      </c>
      <c r="AJ16" s="45">
        <v>1724800</v>
      </c>
      <c r="AK16" s="45">
        <v>1771840</v>
      </c>
      <c r="AL16" s="45">
        <v>2014880</v>
      </c>
      <c r="AM16" s="45">
        <v>2446080</v>
      </c>
      <c r="AN16" s="45">
        <v>2940000</v>
      </c>
      <c r="AO16" s="45">
        <v>3567200</v>
      </c>
      <c r="AP16" s="45">
        <v>4100320</v>
      </c>
      <c r="AQ16" s="45">
        <v>4523680</v>
      </c>
      <c r="AR16" s="45">
        <v>4174800</v>
      </c>
      <c r="AS16" s="45">
        <v>4390400</v>
      </c>
      <c r="AT16" s="45">
        <v>4782400</v>
      </c>
      <c r="AU16" s="45">
        <v>5252800</v>
      </c>
      <c r="AV16" s="45">
        <v>4900000</v>
      </c>
      <c r="AW16" s="45">
        <v>5174400</v>
      </c>
      <c r="AX16" s="45">
        <v>5448800</v>
      </c>
      <c r="AY16" s="45">
        <v>5409600</v>
      </c>
      <c r="AZ16" s="45">
        <v>5684000</v>
      </c>
      <c r="BA16" s="45">
        <v>5919200</v>
      </c>
      <c r="BB16" s="45">
        <v>6350400</v>
      </c>
      <c r="BC16" s="45">
        <v>7056000</v>
      </c>
      <c r="BD16" s="45">
        <v>7330400</v>
      </c>
      <c r="BE16" s="45">
        <v>7056000</v>
      </c>
      <c r="BF16" s="45">
        <v>7056000</v>
      </c>
      <c r="BG16" s="45">
        <v>7056000</v>
      </c>
      <c r="BH16" s="45">
        <v>6895000</v>
      </c>
      <c r="BI16" s="45">
        <v>7595000</v>
      </c>
      <c r="BJ16" s="45">
        <v>7560000</v>
      </c>
      <c r="BK16" s="45">
        <v>8085000</v>
      </c>
      <c r="BL16" s="45">
        <v>8400000</v>
      </c>
      <c r="BM16" s="45">
        <v>8750000</v>
      </c>
      <c r="BN16" s="45">
        <v>8750000</v>
      </c>
      <c r="BO16" s="45">
        <v>8260000</v>
      </c>
      <c r="BP16" s="45">
        <v>7980000</v>
      </c>
      <c r="BQ16" s="45">
        <v>8540000</v>
      </c>
      <c r="BR16" s="45">
        <v>9485000</v>
      </c>
      <c r="BS16" s="45">
        <v>8470000</v>
      </c>
      <c r="BT16" s="45">
        <v>8645000</v>
      </c>
      <c r="BU16" s="45">
        <v>7700000</v>
      </c>
      <c r="BV16" s="45">
        <v>8120000</v>
      </c>
      <c r="BW16" s="45">
        <v>8925000</v>
      </c>
      <c r="BX16" s="45">
        <v>8750000</v>
      </c>
      <c r="BY16" s="45">
        <v>8295000</v>
      </c>
      <c r="BZ16" s="45">
        <v>8365000</v>
      </c>
      <c r="CA16" s="45">
        <v>8645000</v>
      </c>
      <c r="CB16" s="45">
        <v>9137800</v>
      </c>
      <c r="CC16" s="45">
        <v>8027950</v>
      </c>
      <c r="CD16" s="45">
        <v>7562800</v>
      </c>
      <c r="CE16" s="45">
        <v>7420000</v>
      </c>
      <c r="CF16" s="166">
        <v>7190000</v>
      </c>
      <c r="CG16" s="166">
        <v>7580000</v>
      </c>
      <c r="CH16" s="166">
        <v>7730000</v>
      </c>
      <c r="CI16" s="166">
        <v>7680000</v>
      </c>
      <c r="CJ16" s="45">
        <v>7040000</v>
      </c>
      <c r="CK16" s="45">
        <v>6990000</v>
      </c>
      <c r="CL16" s="45">
        <v>7280000</v>
      </c>
      <c r="CM16" s="45">
        <v>7600000</v>
      </c>
      <c r="CN16" s="45">
        <v>8100000</v>
      </c>
      <c r="CO16" s="166">
        <v>8200000</v>
      </c>
      <c r="CP16" s="166">
        <v>9350000</v>
      </c>
      <c r="CQ16" s="166">
        <v>10500000</v>
      </c>
      <c r="CR16" s="166">
        <v>11900000</v>
      </c>
      <c r="CS16" s="166">
        <v>12600000</v>
      </c>
      <c r="CT16" s="166">
        <v>13300000</v>
      </c>
      <c r="CU16" s="166">
        <v>10800000</v>
      </c>
      <c r="CV16" s="166">
        <v>13900000</v>
      </c>
      <c r="CW16" s="166">
        <v>16000000</v>
      </c>
      <c r="CX16" s="166">
        <v>15800000</v>
      </c>
      <c r="CY16" s="166">
        <v>16900000</v>
      </c>
      <c r="CZ16" s="166">
        <v>17800000</v>
      </c>
      <c r="DA16" s="166">
        <v>17500000</v>
      </c>
      <c r="DB16" s="166">
        <v>15700000</v>
      </c>
      <c r="DC16" s="166">
        <v>17300000</v>
      </c>
      <c r="DD16" s="166">
        <v>18900000</v>
      </c>
      <c r="DE16" s="166">
        <v>19600000</v>
      </c>
      <c r="DF16" s="45">
        <v>18900000</v>
      </c>
      <c r="DG16" s="166">
        <v>20000000</v>
      </c>
      <c r="DH16" s="9"/>
      <c r="DJ16" s="9"/>
      <c r="DK16" s="9"/>
      <c r="DL16" s="9"/>
      <c r="DM16" s="9"/>
      <c r="DN16" s="9"/>
      <c r="DO16" s="9"/>
      <c r="DP16" s="9"/>
      <c r="DQ16" s="9"/>
      <c r="DR16" s="61">
        <f t="shared" ref="DR16:EW16" si="30">(K16-J16)/J16</f>
        <v>-0.30635838150289019</v>
      </c>
      <c r="DS16" s="61">
        <f t="shared" si="30"/>
        <v>9.166666666666666E-2</v>
      </c>
      <c r="DT16" s="61">
        <f t="shared" si="30"/>
        <v>0.39694656488549618</v>
      </c>
      <c r="DU16" s="61">
        <f t="shared" si="30"/>
        <v>0.19125683060109289</v>
      </c>
      <c r="DV16" s="61">
        <f t="shared" si="30"/>
        <v>0.27981651376146788</v>
      </c>
      <c r="DW16" s="61">
        <f t="shared" si="30"/>
        <v>0.29032258064516131</v>
      </c>
      <c r="DX16" s="61">
        <f t="shared" si="30"/>
        <v>-0.1111111111111111</v>
      </c>
      <c r="DY16" s="61">
        <f t="shared" si="30"/>
        <v>-9.375E-2</v>
      </c>
      <c r="DZ16" s="61">
        <f t="shared" si="30"/>
        <v>0.2413793103448276</v>
      </c>
      <c r="EA16" s="61">
        <f t="shared" si="30"/>
        <v>0</v>
      </c>
      <c r="EB16" s="61">
        <f t="shared" si="30"/>
        <v>-0.12777777777777777</v>
      </c>
      <c r="EC16" s="61">
        <f t="shared" si="30"/>
        <v>-0.1464968152866242</v>
      </c>
      <c r="ED16" s="61">
        <f t="shared" si="30"/>
        <v>-0.34328358208955223</v>
      </c>
      <c r="EE16" s="61">
        <f t="shared" si="30"/>
        <v>0.70454545454545459</v>
      </c>
      <c r="EF16" s="61">
        <f t="shared" si="30"/>
        <v>0.36666666666666664</v>
      </c>
      <c r="EG16" s="61">
        <f t="shared" si="30"/>
        <v>0.29268292682926828</v>
      </c>
      <c r="EH16" s="61">
        <f t="shared" si="30"/>
        <v>-1.1886792452830188E-2</v>
      </c>
      <c r="EI16" s="61">
        <f t="shared" si="30"/>
        <v>-1.202978804659156E-2</v>
      </c>
      <c r="EJ16" s="61">
        <f t="shared" si="30"/>
        <v>-1.4302280633938926E-2</v>
      </c>
      <c r="EK16" s="61">
        <f t="shared" si="30"/>
        <v>0.11764705882352941</v>
      </c>
      <c r="EL16" s="61">
        <f t="shared" si="30"/>
        <v>0</v>
      </c>
      <c r="EM16" s="61">
        <f t="shared" si="30"/>
        <v>-0.14035087719298245</v>
      </c>
      <c r="EN16" s="61">
        <f t="shared" si="30"/>
        <v>-0.22448979591836735</v>
      </c>
      <c r="EO16" s="61">
        <f t="shared" si="30"/>
        <v>-0.10526315789473684</v>
      </c>
      <c r="EP16" s="61">
        <f t="shared" si="30"/>
        <v>0.18823529411764706</v>
      </c>
      <c r="EQ16" s="61">
        <f t="shared" si="30"/>
        <v>8.9108910891089105E-2</v>
      </c>
      <c r="ER16" s="61">
        <f t="shared" si="30"/>
        <v>2.7272727272727271E-2</v>
      </c>
      <c r="ES16" s="61">
        <f t="shared" si="30"/>
        <v>0.13716814159292035</v>
      </c>
      <c r="ET16" s="61">
        <f t="shared" si="30"/>
        <v>0.2140077821011673</v>
      </c>
      <c r="EU16" s="61">
        <f t="shared" si="30"/>
        <v>0.20192307692307693</v>
      </c>
      <c r="EV16" s="61">
        <f t="shared" si="30"/>
        <v>0.21333333333333335</v>
      </c>
      <c r="EW16" s="61">
        <f t="shared" si="30"/>
        <v>0.14945054945054945</v>
      </c>
      <c r="EX16" s="61">
        <f t="shared" ref="EX16:FT16" si="31">(AQ16-AP16)/AP16</f>
        <v>0.10325047801147227</v>
      </c>
      <c r="EY16" s="61">
        <f t="shared" si="31"/>
        <v>-7.7123050259965339E-2</v>
      </c>
      <c r="EZ16" s="61">
        <f t="shared" si="31"/>
        <v>5.1643192488262914E-2</v>
      </c>
      <c r="FA16" s="61">
        <f t="shared" si="31"/>
        <v>8.9285714285714288E-2</v>
      </c>
      <c r="FB16" s="61">
        <f t="shared" si="31"/>
        <v>9.8360655737704916E-2</v>
      </c>
      <c r="FC16" s="61">
        <f t="shared" si="31"/>
        <v>-6.7164179104477612E-2</v>
      </c>
      <c r="FD16" s="61">
        <f t="shared" si="31"/>
        <v>5.6000000000000001E-2</v>
      </c>
      <c r="FE16" s="61">
        <f t="shared" si="31"/>
        <v>5.3030303030303032E-2</v>
      </c>
      <c r="FF16" s="61">
        <f t="shared" si="31"/>
        <v>-7.1942446043165471E-3</v>
      </c>
      <c r="FG16" s="61">
        <f t="shared" si="31"/>
        <v>5.0724637681159424E-2</v>
      </c>
      <c r="FH16" s="61">
        <f t="shared" si="31"/>
        <v>4.1379310344827586E-2</v>
      </c>
      <c r="FI16" s="61">
        <f t="shared" si="31"/>
        <v>7.2847682119205295E-2</v>
      </c>
      <c r="FJ16" s="61">
        <f t="shared" si="31"/>
        <v>0.1111111111111111</v>
      </c>
      <c r="FK16" s="61">
        <f t="shared" si="31"/>
        <v>3.888888888888889E-2</v>
      </c>
      <c r="FL16" s="61">
        <f t="shared" si="31"/>
        <v>-3.7433155080213901E-2</v>
      </c>
      <c r="FM16" s="61">
        <f t="shared" si="31"/>
        <v>0</v>
      </c>
      <c r="FN16" s="61">
        <f t="shared" si="31"/>
        <v>0</v>
      </c>
      <c r="FO16" s="61">
        <f t="shared" si="31"/>
        <v>-2.2817460317460316E-2</v>
      </c>
      <c r="FP16" s="61">
        <f t="shared" si="31"/>
        <v>0.10152284263959391</v>
      </c>
      <c r="FQ16" s="61">
        <f t="shared" si="31"/>
        <v>-4.608294930875576E-3</v>
      </c>
      <c r="FR16" s="61">
        <f t="shared" si="31"/>
        <v>6.9444444444444448E-2</v>
      </c>
      <c r="FS16" s="61">
        <f t="shared" si="31"/>
        <v>3.896103896103896E-2</v>
      </c>
      <c r="FT16" s="61">
        <f t="shared" si="31"/>
        <v>4.1666666666666664E-2</v>
      </c>
      <c r="FU16" s="61">
        <f t="shared" si="29"/>
        <v>0</v>
      </c>
      <c r="FV16" s="61">
        <f t="shared" si="29"/>
        <v>-5.6000000000000001E-2</v>
      </c>
      <c r="FW16" s="61">
        <f t="shared" si="29"/>
        <v>-3.3898305084745763E-2</v>
      </c>
      <c r="FX16" s="61">
        <f t="shared" si="29"/>
        <v>7.0175438596491224E-2</v>
      </c>
      <c r="FY16" s="61">
        <f t="shared" si="29"/>
        <v>0.11065573770491803</v>
      </c>
      <c r="FZ16" s="61">
        <f t="shared" si="29"/>
        <v>-0.1070110701107011</v>
      </c>
      <c r="GA16" s="61">
        <f t="shared" si="29"/>
        <v>2.0661157024793389E-2</v>
      </c>
      <c r="GB16" s="61">
        <f t="shared" si="29"/>
        <v>-0.10931174089068826</v>
      </c>
      <c r="GC16" s="61">
        <f t="shared" si="29"/>
        <v>5.4545454545454543E-2</v>
      </c>
      <c r="GD16" s="61">
        <f t="shared" si="29"/>
        <v>9.9137931034482762E-2</v>
      </c>
      <c r="GE16" s="61">
        <f t="shared" si="29"/>
        <v>-1.9607843137254902E-2</v>
      </c>
      <c r="GF16" s="61">
        <f t="shared" si="29"/>
        <v>-5.1999999999999998E-2</v>
      </c>
      <c r="GG16" s="61">
        <f t="shared" si="29"/>
        <v>8.4388185654008432E-3</v>
      </c>
      <c r="GH16" s="61">
        <f t="shared" si="29"/>
        <v>3.3472803347280332E-2</v>
      </c>
      <c r="GI16" s="61">
        <f t="shared" si="29"/>
        <v>5.7004048582995952E-2</v>
      </c>
      <c r="GJ16" s="61">
        <f t="shared" si="26"/>
        <v>-0.1214570246667688</v>
      </c>
      <c r="GK16" s="61">
        <f t="shared" si="26"/>
        <v>-5.7941317521907836E-2</v>
      </c>
      <c r="GL16" s="61">
        <f t="shared" si="26"/>
        <v>-1.888189559422436E-2</v>
      </c>
      <c r="GM16" s="61">
        <f t="shared" si="26"/>
        <v>-3.0997304582210242E-2</v>
      </c>
      <c r="GN16" s="61">
        <f t="shared" si="23"/>
        <v>5.4242002781641166E-2</v>
      </c>
      <c r="GO16" s="61">
        <f t="shared" si="23"/>
        <v>1.9788918205804751E-2</v>
      </c>
      <c r="GP16" s="61">
        <f t="shared" si="23"/>
        <v>-6.4683053040103496E-3</v>
      </c>
      <c r="GQ16" s="61">
        <f t="shared" si="23"/>
        <v>-8.3333333333333329E-2</v>
      </c>
      <c r="GR16" s="61">
        <f t="shared" si="23"/>
        <v>-7.102272727272727E-3</v>
      </c>
      <c r="GS16" s="61">
        <f t="shared" si="23"/>
        <v>4.1487839771101577E-2</v>
      </c>
      <c r="GT16" s="61">
        <f t="shared" si="23"/>
        <v>4.3956043956043959E-2</v>
      </c>
      <c r="GU16" s="61">
        <f t="shared" si="23"/>
        <v>6.5789473684210523E-2</v>
      </c>
      <c r="GV16" s="61">
        <f t="shared" si="23"/>
        <v>1.2345679012345678E-2</v>
      </c>
      <c r="GW16" s="61">
        <f t="shared" si="23"/>
        <v>0.1402439024390244</v>
      </c>
      <c r="GX16" s="61">
        <f t="shared" si="24"/>
        <v>0.12299465240641712</v>
      </c>
      <c r="GY16" s="61">
        <f t="shared" si="24"/>
        <v>0.13333333333333333</v>
      </c>
      <c r="GZ16" s="61">
        <f t="shared" si="24"/>
        <v>5.8823529411764705E-2</v>
      </c>
      <c r="HA16" s="61">
        <f t="shared" si="24"/>
        <v>5.5555555555555552E-2</v>
      </c>
      <c r="HB16" s="61">
        <f t="shared" si="24"/>
        <v>-0.18796992481203006</v>
      </c>
      <c r="HC16" s="61">
        <f t="shared" si="24"/>
        <v>0.28703703703703703</v>
      </c>
      <c r="HD16" s="61">
        <f t="shared" si="24"/>
        <v>0.15107913669064749</v>
      </c>
      <c r="HE16" s="61">
        <f t="shared" si="24"/>
        <v>-1.2500000000000001E-2</v>
      </c>
      <c r="HF16" s="61">
        <f t="shared" si="24"/>
        <v>6.9620253164556958E-2</v>
      </c>
      <c r="HG16" s="61">
        <f t="shared" si="24"/>
        <v>5.3254437869822487E-2</v>
      </c>
      <c r="HH16" s="61">
        <f t="shared" si="25"/>
        <v>-1.6853932584269662E-2</v>
      </c>
      <c r="HI16" s="61">
        <f t="shared" si="25"/>
        <v>-0.10285714285714286</v>
      </c>
      <c r="HJ16" s="61">
        <f t="shared" si="25"/>
        <v>0.10191082802547771</v>
      </c>
      <c r="HK16" s="61">
        <f t="shared" si="25"/>
        <v>9.2485549132947972E-2</v>
      </c>
      <c r="HL16" s="61">
        <f t="shared" si="25"/>
        <v>3.7037037037037035E-2</v>
      </c>
      <c r="HM16" s="61">
        <f t="shared" si="25"/>
        <v>-3.5714285714285712E-2</v>
      </c>
      <c r="HN16" s="61">
        <f t="shared" si="25"/>
        <v>5.8201058201058198E-2</v>
      </c>
      <c r="HP16" s="61">
        <f t="shared" si="4"/>
        <v>4.3083946236184383E-2</v>
      </c>
      <c r="HQ16" s="61">
        <f t="shared" si="5"/>
        <v>3.0441049268792743E-2</v>
      </c>
      <c r="HR16" s="61">
        <f t="shared" si="6"/>
        <v>3.2426360842620544E-2</v>
      </c>
      <c r="HS16" s="89">
        <f t="shared" si="7"/>
        <v>4.1379310344827586E-2</v>
      </c>
      <c r="HT16" s="89">
        <f t="shared" si="8"/>
        <v>4.2721941863572768E-2</v>
      </c>
      <c r="HU16" s="167">
        <f t="shared" si="9"/>
        <v>4.8605240912933223E-2</v>
      </c>
      <c r="HW16" s="168" t="s">
        <v>57</v>
      </c>
      <c r="HX16" s="26">
        <v>4.8605240912933202E-2</v>
      </c>
      <c r="HY16" s="30" t="s">
        <v>134</v>
      </c>
    </row>
    <row r="17" spans="1:233" s="187" customFormat="1" ht="15" customHeight="1" x14ac:dyDescent="0.2">
      <c r="A17" s="168" t="s">
        <v>148</v>
      </c>
      <c r="B17" s="168" t="s">
        <v>58</v>
      </c>
      <c r="C17" s="44"/>
      <c r="D17" s="44"/>
      <c r="E17" s="44"/>
      <c r="F17" s="44"/>
      <c r="G17" s="44"/>
      <c r="H17" s="44"/>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c r="BL17" s="44"/>
      <c r="BM17" s="44"/>
      <c r="BN17" s="44"/>
      <c r="BO17" s="44"/>
      <c r="BP17" s="44"/>
      <c r="BQ17" s="44"/>
      <c r="BR17" s="44"/>
      <c r="BS17" s="44"/>
      <c r="BT17" s="44">
        <v>95031</v>
      </c>
      <c r="BU17" s="44">
        <v>63903</v>
      </c>
      <c r="BV17" s="44">
        <v>97941</v>
      </c>
      <c r="BW17" s="44">
        <v>97665</v>
      </c>
      <c r="BX17" s="44">
        <v>93846</v>
      </c>
      <c r="BY17" s="44">
        <v>97810</v>
      </c>
      <c r="BZ17" s="44">
        <v>112585</v>
      </c>
      <c r="CA17" s="44">
        <v>137044</v>
      </c>
      <c r="CB17" s="44">
        <v>126800</v>
      </c>
      <c r="CC17" s="44">
        <v>115743</v>
      </c>
      <c r="CD17" s="44">
        <v>108583</v>
      </c>
      <c r="CE17" s="44">
        <v>94182</v>
      </c>
      <c r="CF17" s="44">
        <v>108676</v>
      </c>
      <c r="CG17" s="44">
        <v>138999</v>
      </c>
      <c r="CH17" s="44">
        <v>130236</v>
      </c>
      <c r="CI17" s="44">
        <v>143238</v>
      </c>
      <c r="CJ17" s="44">
        <v>139763</v>
      </c>
      <c r="CK17" s="44">
        <v>131787</v>
      </c>
      <c r="CL17" s="44">
        <v>135761</v>
      </c>
      <c r="CM17" s="44">
        <v>135233</v>
      </c>
      <c r="CN17" s="44">
        <v>124620</v>
      </c>
      <c r="CO17" s="44">
        <v>133731</v>
      </c>
      <c r="CP17" s="44">
        <v>160802</v>
      </c>
      <c r="CQ17" s="44">
        <v>177709</v>
      </c>
      <c r="CR17" s="44">
        <v>189427</v>
      </c>
      <c r="CS17" s="44">
        <v>213220</v>
      </c>
      <c r="CT17" s="44">
        <v>219123</v>
      </c>
      <c r="CU17" s="44">
        <v>220669</v>
      </c>
      <c r="CV17" s="44">
        <v>245070</v>
      </c>
      <c r="CW17" s="44">
        <v>263824</v>
      </c>
      <c r="CX17" s="44">
        <v>275572</v>
      </c>
      <c r="CY17" s="44">
        <v>282018</v>
      </c>
      <c r="CZ17" s="44">
        <v>304729</v>
      </c>
      <c r="DA17" s="44">
        <v>290241</v>
      </c>
      <c r="DB17" s="44">
        <v>284320</v>
      </c>
      <c r="DC17" s="44">
        <v>290352</v>
      </c>
      <c r="DD17" s="44">
        <v>289445</v>
      </c>
      <c r="DE17" s="44">
        <v>280597</v>
      </c>
      <c r="DF17" s="44">
        <v>288458</v>
      </c>
      <c r="DG17" s="44">
        <v>268294</v>
      </c>
      <c r="DH17" s="168">
        <v>262911</v>
      </c>
      <c r="DJ17" s="168"/>
      <c r="DK17" s="168"/>
      <c r="DL17" s="168"/>
      <c r="DM17" s="168"/>
      <c r="DN17" s="168"/>
      <c r="DO17" s="168"/>
      <c r="DP17" s="168"/>
      <c r="DQ17" s="168"/>
      <c r="DR17" s="168"/>
      <c r="DS17" s="168"/>
      <c r="DT17" s="168"/>
      <c r="DU17" s="168"/>
      <c r="DV17" s="168"/>
      <c r="DW17" s="168"/>
      <c r="DX17" s="168"/>
      <c r="DY17" s="168"/>
      <c r="DZ17" s="168"/>
      <c r="EA17" s="168"/>
      <c r="EB17" s="168"/>
      <c r="EC17" s="168"/>
      <c r="ED17" s="168"/>
      <c r="EE17" s="168"/>
      <c r="EF17" s="168"/>
      <c r="EG17" s="168"/>
      <c r="EH17" s="168"/>
      <c r="EI17" s="168"/>
      <c r="EJ17" s="168"/>
      <c r="EK17" s="168"/>
      <c r="EL17" s="168"/>
      <c r="EM17" s="168"/>
      <c r="EN17" s="168"/>
      <c r="EO17" s="168"/>
      <c r="EP17" s="168"/>
      <c r="EQ17" s="168"/>
      <c r="ER17" s="168"/>
      <c r="ES17" s="168"/>
      <c r="ET17" s="168"/>
      <c r="EU17" s="168"/>
      <c r="EV17" s="168"/>
      <c r="EW17" s="168"/>
      <c r="EX17" s="168"/>
      <c r="EY17" s="168"/>
      <c r="EZ17" s="168"/>
      <c r="FA17" s="168"/>
      <c r="FB17" s="168"/>
      <c r="FC17" s="168"/>
      <c r="FD17" s="168"/>
      <c r="FE17" s="168"/>
      <c r="FF17" s="168"/>
      <c r="FG17" s="168"/>
      <c r="FH17" s="168"/>
      <c r="FI17" s="168"/>
      <c r="FJ17" s="168"/>
      <c r="FK17" s="168"/>
      <c r="FL17" s="168"/>
      <c r="FM17" s="168"/>
      <c r="FN17" s="168"/>
      <c r="FO17" s="168"/>
      <c r="FP17" s="168"/>
      <c r="FQ17" s="168"/>
      <c r="FR17" s="168"/>
      <c r="FS17" s="168"/>
      <c r="FT17" s="168"/>
      <c r="FU17" s="168"/>
      <c r="FV17" s="168"/>
      <c r="FW17" s="168"/>
      <c r="FX17" s="168"/>
      <c r="FY17" s="168"/>
      <c r="FZ17" s="168"/>
      <c r="GA17" s="168"/>
      <c r="GB17" s="188">
        <f t="shared" ref="GB17:GI19" si="32">(BU17-BT17)/BT17</f>
        <v>-0.32755627111153202</v>
      </c>
      <c r="GC17" s="188">
        <f t="shared" si="32"/>
        <v>0.5326510492465143</v>
      </c>
      <c r="GD17" s="188">
        <f t="shared" si="32"/>
        <v>-2.8180230955371093E-3</v>
      </c>
      <c r="GE17" s="188">
        <f t="shared" si="32"/>
        <v>-3.9103056366149594E-2</v>
      </c>
      <c r="GF17" s="188">
        <f t="shared" si="32"/>
        <v>4.2239413507235257E-2</v>
      </c>
      <c r="GG17" s="188">
        <f t="shared" si="32"/>
        <v>0.15105817401083735</v>
      </c>
      <c r="GH17" s="188">
        <f t="shared" si="32"/>
        <v>0.2172491895012657</v>
      </c>
      <c r="GI17" s="188">
        <f t="shared" si="32"/>
        <v>-7.4749715419865151E-2</v>
      </c>
      <c r="GJ17" s="188">
        <f t="shared" si="26"/>
        <v>-8.7200315457413247E-2</v>
      </c>
      <c r="GK17" s="188">
        <f t="shared" si="26"/>
        <v>-6.1861192469522992E-2</v>
      </c>
      <c r="GL17" s="188">
        <f t="shared" si="26"/>
        <v>-0.1326266542644797</v>
      </c>
      <c r="GM17" s="188">
        <f t="shared" si="26"/>
        <v>0.1538935253020747</v>
      </c>
      <c r="GN17" s="188">
        <f t="shared" si="23"/>
        <v>0.27902204718613127</v>
      </c>
      <c r="GO17" s="188">
        <f t="shared" si="23"/>
        <v>-6.3043619018841868E-2</v>
      </c>
      <c r="GP17" s="188">
        <f t="shared" si="23"/>
        <v>9.9834147240394355E-2</v>
      </c>
      <c r="GQ17" s="188">
        <f t="shared" si="23"/>
        <v>-2.4260321981597062E-2</v>
      </c>
      <c r="GR17" s="188">
        <f t="shared" si="23"/>
        <v>-5.7068036604823881E-2</v>
      </c>
      <c r="GS17" s="188">
        <f t="shared" si="23"/>
        <v>3.0154719357751523E-2</v>
      </c>
      <c r="GT17" s="188">
        <f t="shared" si="23"/>
        <v>-3.8891876164730667E-3</v>
      </c>
      <c r="GU17" s="188">
        <f t="shared" si="23"/>
        <v>-7.8479365243690521E-2</v>
      </c>
      <c r="GV17" s="188">
        <f t="shared" si="23"/>
        <v>7.3110255175734232E-2</v>
      </c>
      <c r="GW17" s="188">
        <f t="shared" si="23"/>
        <v>0.20242875623453052</v>
      </c>
      <c r="GX17" s="188">
        <f t="shared" si="24"/>
        <v>0.1051417270929466</v>
      </c>
      <c r="GY17" s="188">
        <f t="shared" si="24"/>
        <v>6.5939260251309723E-2</v>
      </c>
      <c r="GZ17" s="188">
        <f t="shared" si="24"/>
        <v>0.12560511437123537</v>
      </c>
      <c r="HA17" s="188">
        <f t="shared" si="24"/>
        <v>2.7685020166963701E-2</v>
      </c>
      <c r="HB17" s="188">
        <f t="shared" si="24"/>
        <v>7.0553981097374536E-3</v>
      </c>
      <c r="HC17" s="188">
        <f t="shared" si="24"/>
        <v>0.11057738060171569</v>
      </c>
      <c r="HD17" s="188">
        <f t="shared" si="24"/>
        <v>7.6525074468519194E-2</v>
      </c>
      <c r="HE17" s="188">
        <f t="shared" si="24"/>
        <v>4.4529686457638426E-2</v>
      </c>
      <c r="HF17" s="188">
        <f t="shared" si="24"/>
        <v>2.3391346000319335E-2</v>
      </c>
      <c r="HG17" s="188">
        <f t="shared" si="24"/>
        <v>8.0530320759667817E-2</v>
      </c>
      <c r="HH17" s="188">
        <f t="shared" si="25"/>
        <v>-4.7543883253645045E-2</v>
      </c>
      <c r="HI17" s="188">
        <f t="shared" si="25"/>
        <v>-2.0400288036493811E-2</v>
      </c>
      <c r="HJ17" s="188">
        <f t="shared" si="25"/>
        <v>2.1215531795160381E-2</v>
      </c>
      <c r="HK17" s="188">
        <f t="shared" si="25"/>
        <v>-3.1237945665950296E-3</v>
      </c>
      <c r="HL17" s="188">
        <f t="shared" si="25"/>
        <v>-3.0568847276684689E-2</v>
      </c>
      <c r="HM17" s="188">
        <f t="shared" si="25"/>
        <v>2.8015267447620607E-2</v>
      </c>
      <c r="HN17" s="188">
        <f t="shared" si="25"/>
        <v>-6.9902724140082778E-2</v>
      </c>
      <c r="HP17" s="188">
        <f t="shared" si="4"/>
        <v>3.5221977137483998E-2</v>
      </c>
      <c r="HQ17" s="188">
        <f t="shared" si="5"/>
        <v>2.4998019770913812E-2</v>
      </c>
      <c r="HR17" s="188">
        <f t="shared" si="6"/>
        <v>2.6749673749943536E-2</v>
      </c>
      <c r="HS17" s="188">
        <f t="shared" si="7"/>
        <v>2.3391346000319335E-2</v>
      </c>
      <c r="HT17" s="89">
        <f t="shared" si="8"/>
        <v>2.2303438897739856E-2</v>
      </c>
      <c r="HU17" s="189">
        <f t="shared" si="9"/>
        <v>2.2303438897739856E-2</v>
      </c>
      <c r="HW17" s="168" t="s">
        <v>58</v>
      </c>
      <c r="HX17" s="190">
        <v>2.3971422004290501E-2</v>
      </c>
      <c r="HY17" s="30" t="s">
        <v>134</v>
      </c>
    </row>
    <row r="18" spans="1:233" ht="15" customHeight="1" x14ac:dyDescent="0.2">
      <c r="A18" s="9" t="s">
        <v>132</v>
      </c>
      <c r="B18" s="58" t="s">
        <v>59</v>
      </c>
      <c r="C18" s="166"/>
      <c r="D18" s="166"/>
      <c r="E18" s="166"/>
      <c r="F18" s="166"/>
      <c r="G18" s="166"/>
      <c r="H18" s="166"/>
      <c r="I18" s="166"/>
      <c r="J18" s="166"/>
      <c r="K18" s="166"/>
      <c r="L18" s="166"/>
      <c r="M18" s="166"/>
      <c r="N18" s="166"/>
      <c r="O18" s="166"/>
      <c r="P18" s="166"/>
      <c r="Q18" s="166"/>
      <c r="R18" s="166"/>
      <c r="S18" s="166"/>
      <c r="T18" s="166"/>
      <c r="U18" s="166"/>
      <c r="V18" s="166"/>
      <c r="W18" s="166"/>
      <c r="X18" s="166"/>
      <c r="Y18" s="166"/>
      <c r="Z18" s="166"/>
      <c r="AA18" s="9"/>
      <c r="AB18" s="166"/>
      <c r="AC18" s="166"/>
      <c r="AD18" s="166"/>
      <c r="AE18" s="166"/>
      <c r="AF18" s="166"/>
      <c r="AG18" s="166"/>
      <c r="AH18" s="166"/>
      <c r="AI18" s="166"/>
      <c r="AJ18" s="166"/>
      <c r="AK18" s="166"/>
      <c r="AL18" s="166"/>
      <c r="AM18" s="166"/>
      <c r="AN18" s="166"/>
      <c r="AO18" s="166"/>
      <c r="AP18" s="166"/>
      <c r="AQ18" s="166"/>
      <c r="AR18" s="166"/>
      <c r="AS18" s="166"/>
      <c r="AT18" s="166"/>
      <c r="AU18" s="166"/>
      <c r="AV18" s="166"/>
      <c r="AW18" s="166"/>
      <c r="AX18" s="166"/>
      <c r="AY18" s="166"/>
      <c r="AZ18" s="166"/>
      <c r="BA18" s="166"/>
      <c r="BB18" s="166"/>
      <c r="BC18" s="166"/>
      <c r="BD18" s="166"/>
      <c r="BE18" s="166"/>
      <c r="BF18" s="166"/>
      <c r="BG18" s="166"/>
      <c r="BH18" s="166"/>
      <c r="BI18" s="166"/>
      <c r="BJ18" s="166"/>
      <c r="BK18" s="166"/>
      <c r="BL18" s="166"/>
      <c r="BM18" s="166">
        <v>3353.1250557051799</v>
      </c>
      <c r="BN18" s="166">
        <v>3241.73673424033</v>
      </c>
      <c r="BO18" s="166">
        <v>4252.4628156972403</v>
      </c>
      <c r="BP18" s="166">
        <v>4888.32933300484</v>
      </c>
      <c r="BQ18" s="166">
        <v>5422.3903340146999</v>
      </c>
      <c r="BR18" s="166">
        <v>4875.1518184736096</v>
      </c>
      <c r="BS18" s="166">
        <v>4887.4613488986897</v>
      </c>
      <c r="BT18" s="166">
        <v>4398.2288462652696</v>
      </c>
      <c r="BU18" s="166">
        <v>5837.3228313093496</v>
      </c>
      <c r="BV18" s="166">
        <v>7304.78645333037</v>
      </c>
      <c r="BW18" s="166">
        <v>8080.7801052513296</v>
      </c>
      <c r="BX18" s="166">
        <v>7602.1729489476702</v>
      </c>
      <c r="BY18" s="166">
        <v>7800.65683955229</v>
      </c>
      <c r="BZ18" s="166">
        <v>7469.7284682030704</v>
      </c>
      <c r="CA18" s="166">
        <v>9088.4472371899592</v>
      </c>
      <c r="CB18" s="166">
        <v>9660.6461257825795</v>
      </c>
      <c r="CC18" s="166">
        <v>7653.0314676853604</v>
      </c>
      <c r="CD18" s="166">
        <v>7135.5894816023001</v>
      </c>
      <c r="CE18" s="166">
        <v>8341.4731815020205</v>
      </c>
      <c r="CF18" s="166">
        <v>7878.9945485140097</v>
      </c>
      <c r="CG18" s="166">
        <v>10353.8507780655</v>
      </c>
      <c r="CH18" s="166">
        <v>11089.993294044099</v>
      </c>
      <c r="CI18" s="166">
        <v>9759.2785788870897</v>
      </c>
      <c r="CJ18" s="166">
        <v>10914.2568628439</v>
      </c>
      <c r="CK18" s="166">
        <v>10885.0922882304</v>
      </c>
      <c r="CL18" s="166">
        <v>11498.761766714601</v>
      </c>
      <c r="CM18" s="166">
        <v>12711.7206859323</v>
      </c>
      <c r="CN18" s="166">
        <v>13844.0884297476</v>
      </c>
      <c r="CO18" s="166">
        <v>13981.3634941046</v>
      </c>
      <c r="CP18" s="166">
        <v>15062.7298841841</v>
      </c>
      <c r="CQ18" s="166">
        <v>17756.853439653001</v>
      </c>
      <c r="CR18" s="166">
        <v>19959.32195605</v>
      </c>
      <c r="CS18" s="166">
        <v>18150.650215316</v>
      </c>
      <c r="CT18" s="166">
        <v>18576.2050582052</v>
      </c>
      <c r="CU18" s="166">
        <v>19141.606166887901</v>
      </c>
      <c r="CV18" s="166">
        <v>17621.660971297701</v>
      </c>
      <c r="CW18" s="166">
        <v>15937.828304938599</v>
      </c>
      <c r="CX18" s="166">
        <v>15474.7594701937</v>
      </c>
      <c r="CY18" s="166">
        <v>14634.825808531899</v>
      </c>
      <c r="CZ18" s="166">
        <v>21879.639652804199</v>
      </c>
      <c r="DA18" s="166">
        <v>22598.674548421299</v>
      </c>
      <c r="DB18" s="166">
        <v>24033.9503979277</v>
      </c>
      <c r="DC18" s="166">
        <v>26658.572723876601</v>
      </c>
      <c r="DD18" s="166">
        <v>36395.044600271904</v>
      </c>
      <c r="DE18" s="166">
        <v>36304.849185879102</v>
      </c>
      <c r="DF18" s="166">
        <v>34074.892048375797</v>
      </c>
      <c r="DG18" s="166"/>
      <c r="DH18" s="9"/>
      <c r="DJ18" s="9"/>
      <c r="DK18" s="9"/>
      <c r="DL18" s="9"/>
      <c r="DM18" s="9"/>
      <c r="DN18" s="9"/>
      <c r="DO18" s="9"/>
      <c r="DP18" s="9"/>
      <c r="DQ18" s="9"/>
      <c r="DR18" s="9"/>
      <c r="DS18" s="9"/>
      <c r="DT18" s="9"/>
      <c r="DU18" s="9"/>
      <c r="DV18" s="9"/>
      <c r="DW18" s="9"/>
      <c r="DX18" s="9"/>
      <c r="DY18" s="9"/>
      <c r="DZ18" s="9"/>
      <c r="EA18" s="9"/>
      <c r="EB18" s="9"/>
      <c r="EC18" s="9"/>
      <c r="ED18" s="9"/>
      <c r="EE18" s="9"/>
      <c r="EF18" s="9"/>
      <c r="EG18" s="9"/>
      <c r="EH18" s="9"/>
      <c r="EI18" s="9"/>
      <c r="EJ18" s="9"/>
      <c r="EK18" s="9"/>
      <c r="EL18" s="9"/>
      <c r="EM18" s="9"/>
      <c r="EN18" s="9"/>
      <c r="EO18" s="9"/>
      <c r="EP18" s="9"/>
      <c r="EQ18" s="9"/>
      <c r="ER18" s="9"/>
      <c r="ES18" s="9"/>
      <c r="ET18" s="9"/>
      <c r="EU18" s="9"/>
      <c r="EV18" s="9"/>
      <c r="EW18" s="9"/>
      <c r="EX18" s="9"/>
      <c r="EY18" s="9"/>
      <c r="EZ18" s="9"/>
      <c r="FA18" s="9"/>
      <c r="FB18" s="9"/>
      <c r="FC18" s="9"/>
      <c r="FD18" s="9"/>
      <c r="FE18" s="9"/>
      <c r="FF18" s="9"/>
      <c r="FG18" s="9"/>
      <c r="FH18" s="9"/>
      <c r="FI18" s="9"/>
      <c r="FJ18" s="9"/>
      <c r="FK18" s="9"/>
      <c r="FL18" s="9"/>
      <c r="FM18" s="9"/>
      <c r="FN18" s="9"/>
      <c r="FO18" s="9"/>
      <c r="FP18" s="9"/>
      <c r="FQ18" s="9"/>
      <c r="FR18" s="9"/>
      <c r="FS18" s="9"/>
      <c r="FT18" s="9"/>
      <c r="FU18" s="61">
        <f t="shared" ref="FU18:GA19" si="33">(BN18-BM18)/BM18</f>
        <v>-3.3219256548552546E-2</v>
      </c>
      <c r="FV18" s="61">
        <f t="shared" si="33"/>
        <v>0.31178536825068998</v>
      </c>
      <c r="FW18" s="61">
        <f t="shared" si="33"/>
        <v>0.14952900116149329</v>
      </c>
      <c r="FX18" s="61">
        <f t="shared" si="33"/>
        <v>0.10925225463104678</v>
      </c>
      <c r="FY18" s="61">
        <f t="shared" si="33"/>
        <v>-0.10092200705439047</v>
      </c>
      <c r="FZ18" s="61">
        <f t="shared" si="33"/>
        <v>2.5249532493398633E-3</v>
      </c>
      <c r="GA18" s="61">
        <f t="shared" si="33"/>
        <v>-0.10009951336876777</v>
      </c>
      <c r="GB18" s="61">
        <f t="shared" si="32"/>
        <v>0.32719852362072482</v>
      </c>
      <c r="GC18" s="61">
        <f t="shared" si="32"/>
        <v>0.25139326099116205</v>
      </c>
      <c r="GD18" s="61">
        <f t="shared" si="32"/>
        <v>0.10623084697666577</v>
      </c>
      <c r="GE18" s="61">
        <f t="shared" si="32"/>
        <v>-5.9227840637890203E-2</v>
      </c>
      <c r="GF18" s="61">
        <f t="shared" si="32"/>
        <v>2.6108836504712102E-2</v>
      </c>
      <c r="GG18" s="61">
        <f t="shared" si="32"/>
        <v>-4.242314181432609E-2</v>
      </c>
      <c r="GH18" s="61">
        <f t="shared" si="32"/>
        <v>0.21670383011610198</v>
      </c>
      <c r="GI18" s="61">
        <f t="shared" si="32"/>
        <v>6.2958927268805642E-2</v>
      </c>
      <c r="GJ18" s="61">
        <f t="shared" si="26"/>
        <v>-0.20781370437938365</v>
      </c>
      <c r="GK18" s="61">
        <f t="shared" si="26"/>
        <v>-6.7612682408002611E-2</v>
      </c>
      <c r="GL18" s="61">
        <f t="shared" si="26"/>
        <v>0.16899566644197397</v>
      </c>
      <c r="GM18" s="61">
        <f t="shared" si="26"/>
        <v>-5.5443279972846933E-2</v>
      </c>
      <c r="GN18" s="61">
        <f t="shared" ref="GN18:GW19" si="34">(CG18-CF18)/CF18</f>
        <v>0.3141081281771228</v>
      </c>
      <c r="GO18" s="61">
        <f t="shared" si="34"/>
        <v>7.1098428184623627E-2</v>
      </c>
      <c r="GP18" s="61">
        <f t="shared" si="34"/>
        <v>-0.11999238231024652</v>
      </c>
      <c r="GQ18" s="61">
        <f t="shared" si="34"/>
        <v>0.11834668665524659</v>
      </c>
      <c r="GR18" s="61">
        <f t="shared" si="34"/>
        <v>-2.6721539523947642E-3</v>
      </c>
      <c r="GS18" s="61">
        <f t="shared" si="34"/>
        <v>5.6377057927908945E-2</v>
      </c>
      <c r="GT18" s="61">
        <f t="shared" si="34"/>
        <v>0.10548604656971364</v>
      </c>
      <c r="GU18" s="61">
        <f t="shared" si="34"/>
        <v>8.9080602995663685E-2</v>
      </c>
      <c r="GV18" s="61">
        <f t="shared" si="34"/>
        <v>9.9157893315697729E-3</v>
      </c>
      <c r="GW18" s="61">
        <f t="shared" si="34"/>
        <v>7.7343414362659998E-2</v>
      </c>
      <c r="GX18" s="61">
        <f t="shared" ref="GX18:HG19" si="35">(CQ18-CP18)/CP18</f>
        <v>0.17886024486821189</v>
      </c>
      <c r="GY18" s="61">
        <f t="shared" si="35"/>
        <v>0.12403484231494782</v>
      </c>
      <c r="GZ18" s="61">
        <f t="shared" si="35"/>
        <v>-9.0617894972417234E-2</v>
      </c>
      <c r="HA18" s="61">
        <f t="shared" si="35"/>
        <v>2.3445707885996574E-2</v>
      </c>
      <c r="HB18" s="61">
        <f t="shared" si="35"/>
        <v>3.0436846864637775E-2</v>
      </c>
      <c r="HC18" s="61">
        <f t="shared" si="35"/>
        <v>-7.9405311254364688E-2</v>
      </c>
      <c r="HD18" s="61">
        <f t="shared" si="35"/>
        <v>-9.5554707873550707E-2</v>
      </c>
      <c r="HE18" s="61">
        <f t="shared" si="35"/>
        <v>-2.9054700921919831E-2</v>
      </c>
      <c r="HF18" s="61">
        <f t="shared" si="35"/>
        <v>-5.4277655383246269E-2</v>
      </c>
      <c r="HG18" s="61">
        <f t="shared" si="35"/>
        <v>0.49503929456055934</v>
      </c>
      <c r="HH18" s="61">
        <f t="shared" ref="HH18:HM19" si="36">(DA18-CZ18)/CZ18</f>
        <v>3.2863196424944098E-2</v>
      </c>
      <c r="HI18" s="61">
        <f t="shared" si="36"/>
        <v>6.351150579345223E-2</v>
      </c>
      <c r="HJ18" s="61">
        <f t="shared" si="36"/>
        <v>0.10920478250530161</v>
      </c>
      <c r="HK18" s="61">
        <f t="shared" si="36"/>
        <v>0.36522855057708642</v>
      </c>
      <c r="HL18" s="61">
        <f t="shared" si="36"/>
        <v>-2.478233379940071E-3</v>
      </c>
      <c r="HM18" s="61">
        <f t="shared" si="36"/>
        <v>-6.142312080917979E-2</v>
      </c>
      <c r="HN18" s="9"/>
      <c r="HP18" s="61">
        <f t="shared" si="4"/>
        <v>6.2107222403798713E-2</v>
      </c>
      <c r="HQ18" s="61">
        <f t="shared" si="5"/>
        <v>5.2580319099772045E-2</v>
      </c>
      <c r="HR18" s="61">
        <f t="shared" si="6"/>
        <v>5.8410042975243215E-2</v>
      </c>
      <c r="HS18" s="89">
        <f t="shared" si="7"/>
        <v>3.2863196424944098E-2</v>
      </c>
      <c r="HT18" s="89">
        <f t="shared" si="8"/>
        <v>3.2863196424944098E-2</v>
      </c>
      <c r="HU18" s="167">
        <f t="shared" si="9"/>
        <v>5.6377057927908945E-2</v>
      </c>
      <c r="HW18" s="168" t="s">
        <v>59</v>
      </c>
      <c r="HX18" s="26">
        <v>5.63770579279044E-2</v>
      </c>
      <c r="HY18" s="30" t="s">
        <v>134</v>
      </c>
    </row>
    <row r="19" spans="1:233" ht="15" customHeight="1" x14ac:dyDescent="0.2">
      <c r="A19" s="9" t="s">
        <v>132</v>
      </c>
      <c r="B19" s="58" t="s">
        <v>60</v>
      </c>
      <c r="C19" s="166"/>
      <c r="D19" s="166"/>
      <c r="E19" s="166"/>
      <c r="F19" s="166"/>
      <c r="G19" s="166"/>
      <c r="H19" s="166"/>
      <c r="I19" s="166"/>
      <c r="J19" s="166">
        <v>33936</v>
      </c>
      <c r="K19" s="166">
        <v>11424</v>
      </c>
      <c r="L19" s="166">
        <v>12992</v>
      </c>
      <c r="M19" s="166">
        <v>34384</v>
      </c>
      <c r="N19" s="166">
        <v>34832</v>
      </c>
      <c r="O19" s="166">
        <v>40880</v>
      </c>
      <c r="P19" s="166">
        <v>37408</v>
      </c>
      <c r="Q19" s="166">
        <v>38080</v>
      </c>
      <c r="R19" s="166">
        <v>54880</v>
      </c>
      <c r="S19" s="166">
        <v>63840</v>
      </c>
      <c r="T19" s="166">
        <v>59696</v>
      </c>
      <c r="U19" s="166">
        <v>39648</v>
      </c>
      <c r="V19" s="166">
        <v>20832</v>
      </c>
      <c r="W19" s="166">
        <v>50960</v>
      </c>
      <c r="X19" s="166">
        <v>79072</v>
      </c>
      <c r="Y19" s="166">
        <v>85232</v>
      </c>
      <c r="Z19" s="166">
        <v>97440</v>
      </c>
      <c r="AA19" s="166">
        <v>126560</v>
      </c>
      <c r="AB19" s="166">
        <v>124320</v>
      </c>
      <c r="AC19" s="166">
        <v>134400</v>
      </c>
      <c r="AD19" s="166">
        <v>151200</v>
      </c>
      <c r="AE19" s="166">
        <v>174720</v>
      </c>
      <c r="AF19" s="166">
        <v>171360</v>
      </c>
      <c r="AG19" s="166">
        <v>169120</v>
      </c>
      <c r="AH19" s="166">
        <v>171360</v>
      </c>
      <c r="AI19" s="166">
        <v>165760</v>
      </c>
      <c r="AJ19" s="166">
        <v>141120</v>
      </c>
      <c r="AK19" s="166">
        <v>154560</v>
      </c>
      <c r="AL19" s="166">
        <v>166880</v>
      </c>
      <c r="AM19" s="166">
        <v>161840</v>
      </c>
      <c r="AN19" s="166">
        <v>162848</v>
      </c>
      <c r="AO19" s="166">
        <v>183232</v>
      </c>
      <c r="AP19" s="166">
        <v>207984</v>
      </c>
      <c r="AQ19" s="166">
        <v>227360</v>
      </c>
      <c r="AR19" s="166">
        <v>248304</v>
      </c>
      <c r="AS19" s="166">
        <v>280000</v>
      </c>
      <c r="AT19" s="166">
        <v>297920</v>
      </c>
      <c r="AU19" s="166">
        <v>334880</v>
      </c>
      <c r="AV19" s="166">
        <v>257600</v>
      </c>
      <c r="AW19" s="166">
        <v>324800</v>
      </c>
      <c r="AX19" s="166">
        <v>369600</v>
      </c>
      <c r="AY19" s="166">
        <v>414400</v>
      </c>
      <c r="AZ19" s="166">
        <v>403200</v>
      </c>
      <c r="BA19" s="166">
        <v>392000</v>
      </c>
      <c r="BB19" s="166">
        <v>425600</v>
      </c>
      <c r="BC19" s="166">
        <v>470400</v>
      </c>
      <c r="BD19" s="166">
        <v>448000</v>
      </c>
      <c r="BE19" s="166">
        <v>504000</v>
      </c>
      <c r="BF19" s="166">
        <v>560000</v>
      </c>
      <c r="BG19" s="9">
        <v>554400</v>
      </c>
      <c r="BH19" s="166">
        <v>660000</v>
      </c>
      <c r="BI19" s="166">
        <v>670000</v>
      </c>
      <c r="BJ19" s="166">
        <v>630000</v>
      </c>
      <c r="BK19" s="166">
        <v>680000</v>
      </c>
      <c r="BL19" s="166">
        <v>740000</v>
      </c>
      <c r="BM19" s="166">
        <v>752000</v>
      </c>
      <c r="BN19" s="166">
        <v>767000</v>
      </c>
      <c r="BO19" s="166">
        <v>781000</v>
      </c>
      <c r="BP19" s="166">
        <v>629000</v>
      </c>
      <c r="BQ19" s="166">
        <v>673000</v>
      </c>
      <c r="BR19" s="166">
        <v>758000</v>
      </c>
      <c r="BS19" s="166">
        <v>719000</v>
      </c>
      <c r="BT19" s="166">
        <v>629000</v>
      </c>
      <c r="BU19" s="166">
        <v>660000</v>
      </c>
      <c r="BV19" s="166">
        <v>738000</v>
      </c>
      <c r="BW19" s="166">
        <v>810000</v>
      </c>
      <c r="BX19" s="166">
        <v>790000</v>
      </c>
      <c r="BY19" s="166">
        <v>820000</v>
      </c>
      <c r="BZ19" s="166">
        <v>870000</v>
      </c>
      <c r="CA19" s="166">
        <v>910000</v>
      </c>
      <c r="CB19" s="166">
        <v>969000</v>
      </c>
      <c r="CC19" s="166">
        <v>985000</v>
      </c>
      <c r="CD19" s="166">
        <v>947000</v>
      </c>
      <c r="CE19" s="166">
        <v>900000</v>
      </c>
      <c r="CF19" s="166">
        <v>906000</v>
      </c>
      <c r="CG19" s="166">
        <v>1040000</v>
      </c>
      <c r="CH19" s="166">
        <v>1080000</v>
      </c>
      <c r="CI19" s="166">
        <v>1120000</v>
      </c>
      <c r="CJ19" s="45">
        <v>1140000</v>
      </c>
      <c r="CK19" s="45">
        <v>1120000</v>
      </c>
      <c r="CL19" s="45">
        <v>1250000</v>
      </c>
      <c r="CM19" s="45">
        <v>1330000</v>
      </c>
      <c r="CN19" s="45">
        <v>1340000</v>
      </c>
      <c r="CO19" s="166">
        <v>1400000</v>
      </c>
      <c r="CP19" s="166">
        <v>1400000</v>
      </c>
      <c r="CQ19" s="166">
        <v>1490000</v>
      </c>
      <c r="CR19" s="166">
        <v>1580000</v>
      </c>
      <c r="CS19" s="166">
        <v>1660000</v>
      </c>
      <c r="CT19" s="166">
        <v>1570000</v>
      </c>
      <c r="CU19" s="166">
        <v>1400000</v>
      </c>
      <c r="CV19" s="166">
        <v>1590000</v>
      </c>
      <c r="CW19" s="166">
        <v>1940000</v>
      </c>
      <c r="CX19" s="166">
        <v>2220000</v>
      </c>
      <c r="CY19" s="166">
        <v>2630000</v>
      </c>
      <c r="CZ19" s="166">
        <v>2450000</v>
      </c>
      <c r="DA19" s="166">
        <v>2280000</v>
      </c>
      <c r="DB19" s="166">
        <v>2090000</v>
      </c>
      <c r="DC19" s="166">
        <v>2160000</v>
      </c>
      <c r="DD19" s="166">
        <v>2400000</v>
      </c>
      <c r="DE19" s="166">
        <v>2610000</v>
      </c>
      <c r="DF19" s="45">
        <v>2510000</v>
      </c>
      <c r="DG19" s="166">
        <v>2700000</v>
      </c>
      <c r="DH19" s="9"/>
      <c r="DJ19" s="9"/>
      <c r="DK19" s="9"/>
      <c r="DL19" s="9"/>
      <c r="DM19" s="9"/>
      <c r="DN19" s="9"/>
      <c r="DO19" s="9"/>
      <c r="DP19" s="9"/>
      <c r="DQ19" s="9"/>
      <c r="DR19" s="61">
        <f t="shared" ref="DR19:EW19" si="37">(K19-J19)/J19</f>
        <v>-0.6633663366336634</v>
      </c>
      <c r="DS19" s="61">
        <f t="shared" si="37"/>
        <v>0.13725490196078433</v>
      </c>
      <c r="DT19" s="61">
        <f t="shared" si="37"/>
        <v>1.646551724137931</v>
      </c>
      <c r="DU19" s="61">
        <f t="shared" si="37"/>
        <v>1.3029315960912053E-2</v>
      </c>
      <c r="DV19" s="61">
        <f t="shared" si="37"/>
        <v>0.17363344051446947</v>
      </c>
      <c r="DW19" s="61">
        <f t="shared" si="37"/>
        <v>-8.4931506849315067E-2</v>
      </c>
      <c r="DX19" s="61">
        <f t="shared" si="37"/>
        <v>1.7964071856287425E-2</v>
      </c>
      <c r="DY19" s="61">
        <f t="shared" si="37"/>
        <v>0.44117647058823528</v>
      </c>
      <c r="DZ19" s="61">
        <f t="shared" si="37"/>
        <v>0.16326530612244897</v>
      </c>
      <c r="EA19" s="61">
        <f t="shared" si="37"/>
        <v>-6.491228070175438E-2</v>
      </c>
      <c r="EB19" s="61">
        <f t="shared" si="37"/>
        <v>-0.33583489681050654</v>
      </c>
      <c r="EC19" s="61">
        <f t="shared" si="37"/>
        <v>-0.47457627118644069</v>
      </c>
      <c r="ED19" s="61">
        <f t="shared" si="37"/>
        <v>1.446236559139785</v>
      </c>
      <c r="EE19" s="61">
        <f t="shared" si="37"/>
        <v>0.55164835164835169</v>
      </c>
      <c r="EF19" s="61">
        <f t="shared" si="37"/>
        <v>7.7903682719546744E-2</v>
      </c>
      <c r="EG19" s="61">
        <f t="shared" si="37"/>
        <v>0.14323258869908015</v>
      </c>
      <c r="EH19" s="61">
        <f t="shared" si="37"/>
        <v>0.2988505747126437</v>
      </c>
      <c r="EI19" s="61">
        <f t="shared" si="37"/>
        <v>-1.7699115044247787E-2</v>
      </c>
      <c r="EJ19" s="61">
        <f t="shared" si="37"/>
        <v>8.1081081081081086E-2</v>
      </c>
      <c r="EK19" s="61">
        <f t="shared" si="37"/>
        <v>0.125</v>
      </c>
      <c r="EL19" s="61">
        <f t="shared" si="37"/>
        <v>0.15555555555555556</v>
      </c>
      <c r="EM19" s="61">
        <f t="shared" si="37"/>
        <v>-1.9230769230769232E-2</v>
      </c>
      <c r="EN19" s="61">
        <f t="shared" si="37"/>
        <v>-1.3071895424836602E-2</v>
      </c>
      <c r="EO19" s="61">
        <f t="shared" si="37"/>
        <v>1.3245033112582781E-2</v>
      </c>
      <c r="EP19" s="61">
        <f t="shared" si="37"/>
        <v>-3.2679738562091505E-2</v>
      </c>
      <c r="EQ19" s="61">
        <f t="shared" si="37"/>
        <v>-0.14864864864864866</v>
      </c>
      <c r="ER19" s="61">
        <f t="shared" si="37"/>
        <v>9.5238095238095233E-2</v>
      </c>
      <c r="ES19" s="61">
        <f t="shared" si="37"/>
        <v>7.9710144927536225E-2</v>
      </c>
      <c r="ET19" s="61">
        <f t="shared" si="37"/>
        <v>-3.0201342281879196E-2</v>
      </c>
      <c r="EU19" s="61">
        <f t="shared" si="37"/>
        <v>6.2283737024221453E-3</v>
      </c>
      <c r="EV19" s="61">
        <f t="shared" si="37"/>
        <v>0.12517193947730398</v>
      </c>
      <c r="EW19" s="61">
        <f t="shared" si="37"/>
        <v>0.13508557457212714</v>
      </c>
      <c r="EX19" s="61">
        <f t="shared" ref="EX19:FT19" si="38">(AQ19-AP19)/AP19</f>
        <v>9.316101238556812E-2</v>
      </c>
      <c r="EY19" s="61">
        <f t="shared" si="38"/>
        <v>9.2118226600985217E-2</v>
      </c>
      <c r="EZ19" s="61">
        <f t="shared" si="38"/>
        <v>0.12764997744700046</v>
      </c>
      <c r="FA19" s="61">
        <f t="shared" si="38"/>
        <v>6.4000000000000001E-2</v>
      </c>
      <c r="FB19" s="61">
        <f t="shared" si="38"/>
        <v>0.12406015037593984</v>
      </c>
      <c r="FC19" s="61">
        <f t="shared" si="38"/>
        <v>-0.23076923076923078</v>
      </c>
      <c r="FD19" s="61">
        <f t="shared" si="38"/>
        <v>0.2608695652173913</v>
      </c>
      <c r="FE19" s="61">
        <f t="shared" si="38"/>
        <v>0.13793103448275862</v>
      </c>
      <c r="FF19" s="61">
        <f t="shared" si="38"/>
        <v>0.12121212121212122</v>
      </c>
      <c r="FG19" s="61">
        <f t="shared" si="38"/>
        <v>-2.7027027027027029E-2</v>
      </c>
      <c r="FH19" s="61">
        <f t="shared" si="38"/>
        <v>-2.7777777777777776E-2</v>
      </c>
      <c r="FI19" s="61">
        <f t="shared" si="38"/>
        <v>8.5714285714285715E-2</v>
      </c>
      <c r="FJ19" s="61">
        <f t="shared" si="38"/>
        <v>0.10526315789473684</v>
      </c>
      <c r="FK19" s="61">
        <f t="shared" si="38"/>
        <v>-4.7619047619047616E-2</v>
      </c>
      <c r="FL19" s="61">
        <f t="shared" si="38"/>
        <v>0.125</v>
      </c>
      <c r="FM19" s="61">
        <f t="shared" si="38"/>
        <v>0.1111111111111111</v>
      </c>
      <c r="FN19" s="61">
        <f t="shared" si="38"/>
        <v>-0.01</v>
      </c>
      <c r="FO19" s="61">
        <f t="shared" si="38"/>
        <v>0.19047619047619047</v>
      </c>
      <c r="FP19" s="61">
        <f t="shared" si="38"/>
        <v>1.5151515151515152E-2</v>
      </c>
      <c r="FQ19" s="61">
        <f t="shared" si="38"/>
        <v>-5.9701492537313432E-2</v>
      </c>
      <c r="FR19" s="61">
        <f t="shared" si="38"/>
        <v>7.9365079365079361E-2</v>
      </c>
      <c r="FS19" s="61">
        <f t="shared" si="38"/>
        <v>8.8235294117647065E-2</v>
      </c>
      <c r="FT19" s="61">
        <f t="shared" si="38"/>
        <v>1.6216216216216217E-2</v>
      </c>
      <c r="FU19" s="61">
        <f t="shared" si="33"/>
        <v>1.9946808510638299E-2</v>
      </c>
      <c r="FV19" s="61">
        <f t="shared" si="33"/>
        <v>1.8252933507170794E-2</v>
      </c>
      <c r="FW19" s="61">
        <f t="shared" si="33"/>
        <v>-0.1946222791293214</v>
      </c>
      <c r="FX19" s="61">
        <f t="shared" si="33"/>
        <v>6.9952305246422888E-2</v>
      </c>
      <c r="FY19" s="61">
        <f t="shared" si="33"/>
        <v>0.1263001485884101</v>
      </c>
      <c r="FZ19" s="61">
        <f t="shared" si="33"/>
        <v>-5.1451187335092345E-2</v>
      </c>
      <c r="GA19" s="61">
        <f t="shared" si="33"/>
        <v>-0.12517385257301808</v>
      </c>
      <c r="GB19" s="61">
        <f t="shared" si="32"/>
        <v>4.9284578696343402E-2</v>
      </c>
      <c r="GC19" s="61">
        <f t="shared" si="32"/>
        <v>0.11818181818181818</v>
      </c>
      <c r="GD19" s="61">
        <f t="shared" si="32"/>
        <v>9.7560975609756101E-2</v>
      </c>
      <c r="GE19" s="61">
        <f t="shared" si="32"/>
        <v>-2.4691358024691357E-2</v>
      </c>
      <c r="GF19" s="61">
        <f t="shared" si="32"/>
        <v>3.7974683544303799E-2</v>
      </c>
      <c r="GG19" s="61">
        <f t="shared" si="32"/>
        <v>6.097560975609756E-2</v>
      </c>
      <c r="GH19" s="61">
        <f t="shared" si="32"/>
        <v>4.5977011494252873E-2</v>
      </c>
      <c r="GI19" s="61">
        <f t="shared" si="32"/>
        <v>6.4835164835164841E-2</v>
      </c>
      <c r="GJ19" s="61">
        <f t="shared" si="26"/>
        <v>1.6511867905056758E-2</v>
      </c>
      <c r="GK19" s="61">
        <f t="shared" si="26"/>
        <v>-3.8578680203045689E-2</v>
      </c>
      <c r="GL19" s="61">
        <f t="shared" si="26"/>
        <v>-4.9630411826821541E-2</v>
      </c>
      <c r="GM19" s="61">
        <f t="shared" si="26"/>
        <v>6.6666666666666671E-3</v>
      </c>
      <c r="GN19" s="61">
        <f t="shared" si="34"/>
        <v>0.1479028697571744</v>
      </c>
      <c r="GO19" s="61">
        <f t="shared" si="34"/>
        <v>3.8461538461538464E-2</v>
      </c>
      <c r="GP19" s="61">
        <f t="shared" si="34"/>
        <v>3.7037037037037035E-2</v>
      </c>
      <c r="GQ19" s="61">
        <f t="shared" si="34"/>
        <v>1.7857142857142856E-2</v>
      </c>
      <c r="GR19" s="61">
        <f t="shared" si="34"/>
        <v>-1.7543859649122806E-2</v>
      </c>
      <c r="GS19" s="61">
        <f t="shared" si="34"/>
        <v>0.11607142857142858</v>
      </c>
      <c r="GT19" s="61">
        <f t="shared" si="34"/>
        <v>6.4000000000000001E-2</v>
      </c>
      <c r="GU19" s="61">
        <f t="shared" si="34"/>
        <v>7.5187969924812026E-3</v>
      </c>
      <c r="GV19" s="61">
        <f t="shared" si="34"/>
        <v>4.4776119402985072E-2</v>
      </c>
      <c r="GW19" s="61">
        <f t="shared" si="34"/>
        <v>0</v>
      </c>
      <c r="GX19" s="61">
        <f t="shared" si="35"/>
        <v>6.4285714285714279E-2</v>
      </c>
      <c r="GY19" s="61">
        <f t="shared" si="35"/>
        <v>6.0402684563758392E-2</v>
      </c>
      <c r="GZ19" s="61">
        <f t="shared" si="35"/>
        <v>5.0632911392405063E-2</v>
      </c>
      <c r="HA19" s="61">
        <f t="shared" si="35"/>
        <v>-5.4216867469879519E-2</v>
      </c>
      <c r="HB19" s="61">
        <f t="shared" si="35"/>
        <v>-0.10828025477707007</v>
      </c>
      <c r="HC19" s="61">
        <f t="shared" si="35"/>
        <v>0.1357142857142857</v>
      </c>
      <c r="HD19" s="61">
        <f t="shared" si="35"/>
        <v>0.22012578616352202</v>
      </c>
      <c r="HE19" s="61">
        <f t="shared" si="35"/>
        <v>0.14432989690721648</v>
      </c>
      <c r="HF19" s="61">
        <f t="shared" si="35"/>
        <v>0.18468468468468469</v>
      </c>
      <c r="HG19" s="61">
        <f t="shared" si="35"/>
        <v>-6.8441064638783272E-2</v>
      </c>
      <c r="HH19" s="61">
        <f t="shared" si="36"/>
        <v>-6.9387755102040816E-2</v>
      </c>
      <c r="HI19" s="61">
        <f t="shared" si="36"/>
        <v>-8.3333333333333329E-2</v>
      </c>
      <c r="HJ19" s="61">
        <f t="shared" si="36"/>
        <v>3.3492822966507178E-2</v>
      </c>
      <c r="HK19" s="61">
        <f t="shared" si="36"/>
        <v>0.1111111111111111</v>
      </c>
      <c r="HL19" s="61">
        <f t="shared" si="36"/>
        <v>8.7499999999999994E-2</v>
      </c>
      <c r="HM19" s="61">
        <f t="shared" si="36"/>
        <v>-3.8314176245210725E-2</v>
      </c>
      <c r="HN19" s="61">
        <f>(DG19-DF19)/DF19</f>
        <v>7.5697211155378488E-2</v>
      </c>
      <c r="HP19" s="61">
        <f t="shared" si="4"/>
        <v>6.8583246343071488E-2</v>
      </c>
      <c r="HQ19" s="61">
        <f t="shared" si="5"/>
        <v>3.7559041818310983E-2</v>
      </c>
      <c r="HR19" s="61">
        <f t="shared" si="6"/>
        <v>3.8423450481038748E-2</v>
      </c>
      <c r="HS19" s="167">
        <f t="shared" si="7"/>
        <v>5.0632911392405063E-2</v>
      </c>
      <c r="HT19" s="89">
        <f t="shared" si="8"/>
        <v>3.7749287749287749E-2</v>
      </c>
      <c r="HU19" s="89">
        <f t="shared" si="9"/>
        <v>3.7749287749287749E-2</v>
      </c>
      <c r="HW19" s="168" t="s">
        <v>60</v>
      </c>
      <c r="HX19" s="35">
        <v>5.0632911392405097E-2</v>
      </c>
      <c r="HY19" s="27" t="s">
        <v>131</v>
      </c>
    </row>
    <row r="20" spans="1:233" ht="15" customHeight="1" x14ac:dyDescent="0.2">
      <c r="A20" s="9" t="s">
        <v>148</v>
      </c>
      <c r="B20" s="58" t="s">
        <v>61</v>
      </c>
      <c r="C20" s="166"/>
      <c r="D20" s="166"/>
      <c r="E20" s="166"/>
      <c r="F20" s="166"/>
      <c r="G20" s="166"/>
      <c r="H20" s="166"/>
      <c r="I20" s="166"/>
      <c r="J20" s="166"/>
      <c r="K20" s="166"/>
      <c r="L20" s="166"/>
      <c r="M20" s="166"/>
      <c r="N20" s="166"/>
      <c r="O20" s="166"/>
      <c r="P20" s="166"/>
      <c r="Q20" s="166"/>
      <c r="R20" s="166"/>
      <c r="S20" s="166"/>
      <c r="T20" s="166"/>
      <c r="U20" s="166"/>
      <c r="V20" s="166"/>
      <c r="W20" s="166"/>
      <c r="X20" s="166"/>
      <c r="Y20" s="166"/>
      <c r="Z20" s="166"/>
      <c r="AA20" s="166"/>
      <c r="AB20" s="166"/>
      <c r="AC20" s="166"/>
      <c r="AD20" s="166"/>
      <c r="AE20" s="166"/>
      <c r="AF20" s="166"/>
      <c r="AG20" s="166"/>
      <c r="AH20" s="166"/>
      <c r="AI20" s="166"/>
      <c r="AJ20" s="166"/>
      <c r="AK20" s="166"/>
      <c r="AL20" s="166"/>
      <c r="AM20" s="166"/>
      <c r="AN20" s="166"/>
      <c r="AO20" s="166"/>
      <c r="AP20" s="166"/>
      <c r="AQ20" s="166"/>
      <c r="AR20" s="166"/>
      <c r="AS20" s="166"/>
      <c r="AT20" s="166"/>
      <c r="AU20" s="166"/>
      <c r="AV20" s="166"/>
      <c r="AW20" s="166"/>
      <c r="AX20" s="166"/>
      <c r="AY20" s="166"/>
      <c r="AZ20" s="166"/>
      <c r="BA20" s="166"/>
      <c r="BB20" s="166"/>
      <c r="BC20" s="166"/>
      <c r="BD20" s="166"/>
      <c r="BE20" s="166"/>
      <c r="BF20" s="166"/>
      <c r="BG20" s="9"/>
      <c r="BH20" s="166"/>
      <c r="BI20" s="166"/>
      <c r="BJ20" s="166"/>
      <c r="BK20" s="166"/>
      <c r="BL20" s="166"/>
      <c r="BM20" s="166"/>
      <c r="BN20" s="166"/>
      <c r="BO20" s="166"/>
      <c r="BP20" s="166"/>
      <c r="BQ20" s="166"/>
      <c r="BR20" s="166"/>
      <c r="BS20" s="166"/>
      <c r="BT20" s="166"/>
      <c r="BU20" s="166"/>
      <c r="BV20" s="166"/>
      <c r="BW20" s="166"/>
      <c r="BX20" s="166"/>
      <c r="BY20" s="166"/>
      <c r="BZ20" s="166"/>
      <c r="CA20" s="166"/>
      <c r="CB20" s="166"/>
      <c r="CC20" s="166"/>
      <c r="CD20" s="166"/>
      <c r="CE20" s="166"/>
      <c r="CF20" s="166"/>
      <c r="CG20" s="166"/>
      <c r="CH20" s="166"/>
      <c r="CI20" s="166"/>
      <c r="CJ20" s="45"/>
      <c r="CK20" s="45"/>
      <c r="CL20" s="45"/>
      <c r="CM20" s="45"/>
      <c r="CN20" s="45"/>
      <c r="CO20" s="166"/>
      <c r="CP20" s="166"/>
      <c r="CQ20">
        <v>639</v>
      </c>
      <c r="CR20">
        <v>656</v>
      </c>
      <c r="CS20">
        <v>688</v>
      </c>
      <c r="CT20">
        <v>585</v>
      </c>
      <c r="CU20">
        <v>511</v>
      </c>
      <c r="CV20">
        <v>4816</v>
      </c>
      <c r="CW20">
        <v>107130</v>
      </c>
      <c r="CX20">
        <v>64876</v>
      </c>
      <c r="CY20">
        <v>64041</v>
      </c>
      <c r="CZ20">
        <v>72154</v>
      </c>
      <c r="DA20" s="166">
        <v>66350</v>
      </c>
      <c r="DB20" s="166">
        <v>57759</v>
      </c>
      <c r="DC20" s="166">
        <v>70146</v>
      </c>
      <c r="DD20" s="166">
        <v>69506</v>
      </c>
      <c r="DE20" s="166">
        <v>94790</v>
      </c>
      <c r="DF20" s="45">
        <v>66232</v>
      </c>
      <c r="DG20" s="166">
        <v>84104</v>
      </c>
      <c r="DH20" s="9">
        <v>86461</v>
      </c>
      <c r="DJ20" s="9"/>
      <c r="DK20" s="9"/>
      <c r="DL20" s="9"/>
      <c r="DM20" s="9"/>
      <c r="DN20" s="9"/>
      <c r="DO20" s="9"/>
      <c r="DP20" s="9"/>
      <c r="DQ20" s="9"/>
      <c r="DR20" s="61"/>
      <c r="DS20" s="61"/>
      <c r="DT20" s="61"/>
      <c r="DU20" s="61"/>
      <c r="DV20" s="61"/>
      <c r="DW20" s="61"/>
      <c r="DX20" s="61"/>
      <c r="DY20" s="61"/>
      <c r="DZ20" s="61"/>
      <c r="EA20" s="61"/>
      <c r="EB20" s="61"/>
      <c r="EC20" s="61"/>
      <c r="ED20" s="61"/>
      <c r="EE20" s="61"/>
      <c r="EF20" s="61"/>
      <c r="EG20" s="61"/>
      <c r="EH20" s="61"/>
      <c r="EI20" s="61"/>
      <c r="EJ20" s="61"/>
      <c r="EK20" s="61"/>
      <c r="EL20" s="61"/>
      <c r="EM20" s="61"/>
      <c r="EN20" s="61"/>
      <c r="EO20" s="61"/>
      <c r="EP20" s="61"/>
      <c r="EQ20" s="61"/>
      <c r="ER20" s="61"/>
      <c r="ES20" s="61"/>
      <c r="ET20" s="61"/>
      <c r="EU20" s="61"/>
      <c r="EV20" s="61"/>
      <c r="EW20" s="61"/>
      <c r="EX20" s="61"/>
      <c r="EY20" s="61"/>
      <c r="EZ20" s="61"/>
      <c r="FA20" s="61"/>
      <c r="FB20" s="61"/>
      <c r="FC20" s="61"/>
      <c r="FD20" s="61"/>
      <c r="FE20" s="61"/>
      <c r="FF20" s="61"/>
      <c r="FG20" s="61"/>
      <c r="FH20" s="61"/>
      <c r="FI20" s="61"/>
      <c r="FJ20" s="61"/>
      <c r="FK20" s="61"/>
      <c r="FL20" s="61"/>
      <c r="FM20" s="61"/>
      <c r="FN20" s="61"/>
      <c r="FO20" s="61"/>
      <c r="FP20" s="61"/>
      <c r="FQ20" s="61"/>
      <c r="FR20" s="61"/>
      <c r="FS20" s="61"/>
      <c r="FT20" s="61"/>
      <c r="FU20" s="61"/>
      <c r="FV20" s="61"/>
      <c r="FW20" s="61"/>
      <c r="FX20" s="61"/>
      <c r="FY20" s="61"/>
      <c r="FZ20" s="61"/>
      <c r="GA20" s="61"/>
      <c r="GB20" s="61"/>
      <c r="GC20" s="61"/>
      <c r="GD20" s="61"/>
      <c r="GE20" s="61"/>
      <c r="GF20" s="61"/>
      <c r="GG20" s="61"/>
      <c r="GH20" s="61"/>
      <c r="GI20" s="61"/>
      <c r="GJ20" s="61"/>
      <c r="GK20" s="61"/>
      <c r="GL20" s="61"/>
      <c r="GM20" s="61"/>
      <c r="GN20" s="61"/>
      <c r="GO20" s="61"/>
      <c r="GP20" s="61"/>
      <c r="GQ20" s="61"/>
      <c r="GR20" s="61"/>
      <c r="GS20" s="61"/>
      <c r="GT20" s="61"/>
      <c r="GU20" s="61"/>
      <c r="GV20" s="61"/>
      <c r="GW20" s="61"/>
      <c r="GX20" s="61"/>
      <c r="GY20" s="61">
        <f t="shared" ref="GY20:HM27" si="39">(CR20-CQ20)/CQ20</f>
        <v>2.6604068857589983E-2</v>
      </c>
      <c r="GZ20" s="61">
        <f t="shared" si="39"/>
        <v>4.878048780487805E-2</v>
      </c>
      <c r="HA20" s="61">
        <f t="shared" si="39"/>
        <v>-0.14970930232558138</v>
      </c>
      <c r="HB20" s="61">
        <f t="shared" si="39"/>
        <v>-0.12649572649572649</v>
      </c>
      <c r="HC20" s="61">
        <f t="shared" si="39"/>
        <v>8.4246575342465757</v>
      </c>
      <c r="HD20" s="61">
        <f t="shared" si="39"/>
        <v>21.244601328903656</v>
      </c>
      <c r="HE20" s="61">
        <f t="shared" si="39"/>
        <v>-0.39441799682628581</v>
      </c>
      <c r="HF20" s="61">
        <f t="shared" si="39"/>
        <v>-1.2870707195264813E-2</v>
      </c>
      <c r="HG20" s="61">
        <f t="shared" si="39"/>
        <v>0.12668446776283943</v>
      </c>
      <c r="HH20" s="61">
        <f t="shared" si="39"/>
        <v>-8.0439060897524742E-2</v>
      </c>
      <c r="HI20" s="61">
        <f t="shared" si="39"/>
        <v>-0.1294800301431801</v>
      </c>
      <c r="HJ20" s="61">
        <f t="shared" si="39"/>
        <v>0.21446008414273102</v>
      </c>
      <c r="HK20" s="61">
        <f t="shared" si="39"/>
        <v>-9.1238274456134343E-3</v>
      </c>
      <c r="HL20" s="61">
        <f t="shared" si="39"/>
        <v>0.36376715679221938</v>
      </c>
      <c r="HM20" s="61">
        <f t="shared" si="39"/>
        <v>-0.30127650596054434</v>
      </c>
      <c r="HN20" s="61">
        <f>(DG20-DF20)/DF20</f>
        <v>0.26983935257881386</v>
      </c>
      <c r="HP20" s="61">
        <f t="shared" si="4"/>
        <v>1.8447238327374738</v>
      </c>
      <c r="HQ20" s="61">
        <f t="shared" si="5"/>
        <v>1.8447238327374738</v>
      </c>
      <c r="HR20" s="61">
        <f t="shared" si="6"/>
        <v>2.1037921909262791</v>
      </c>
      <c r="HS20" s="167">
        <f t="shared" si="7"/>
        <v>8.7401207059882736E-3</v>
      </c>
      <c r="HT20" s="89">
        <f t="shared" si="8"/>
        <v>8.7401207059882736E-3</v>
      </c>
      <c r="HU20" s="89">
        <f t="shared" si="9"/>
        <v>8.7401207059882736E-3</v>
      </c>
      <c r="HW20" s="168" t="s">
        <v>61</v>
      </c>
      <c r="HX20" s="35">
        <v>8.7401207059882701E-3</v>
      </c>
      <c r="HY20" s="30" t="s">
        <v>134</v>
      </c>
    </row>
    <row r="21" spans="1:233" ht="15" customHeight="1" x14ac:dyDescent="0.2">
      <c r="A21" s="9" t="s">
        <v>132</v>
      </c>
      <c r="B21" s="58" t="s">
        <v>286</v>
      </c>
      <c r="C21" s="166"/>
      <c r="D21" s="166"/>
      <c r="E21" s="166"/>
      <c r="F21" s="166"/>
      <c r="G21" s="166"/>
      <c r="H21" s="166"/>
      <c r="I21" s="166"/>
      <c r="J21" s="166"/>
      <c r="K21" s="166"/>
      <c r="L21" s="166"/>
      <c r="M21" s="166"/>
      <c r="N21" s="166"/>
      <c r="O21" s="166"/>
      <c r="P21" s="166"/>
      <c r="Q21" s="166"/>
      <c r="R21" s="166"/>
      <c r="S21" s="166"/>
      <c r="T21" s="166"/>
      <c r="U21" s="166"/>
      <c r="V21" s="166"/>
      <c r="W21" s="166"/>
      <c r="X21" s="166"/>
      <c r="Y21" s="166"/>
      <c r="Z21" s="166"/>
      <c r="AA21" s="9"/>
      <c r="AB21" s="166"/>
      <c r="AC21" s="166"/>
      <c r="AD21" s="166"/>
      <c r="AE21" s="166"/>
      <c r="AF21" s="166"/>
      <c r="AG21" s="166"/>
      <c r="AH21" s="166"/>
      <c r="AI21" s="166"/>
      <c r="AJ21" s="166"/>
      <c r="AK21" s="166"/>
      <c r="AL21" s="166"/>
      <c r="AM21" s="166"/>
      <c r="AN21" s="166"/>
      <c r="AO21" s="166"/>
      <c r="AP21" s="166"/>
      <c r="AQ21" s="166"/>
      <c r="AR21" s="166"/>
      <c r="AS21" s="166"/>
      <c r="AT21" s="166"/>
      <c r="AU21" s="166"/>
      <c r="AV21" s="166"/>
      <c r="AW21" s="166"/>
      <c r="AX21" s="166"/>
      <c r="AY21" s="166"/>
      <c r="AZ21" s="166"/>
      <c r="BA21" s="166"/>
      <c r="BB21" s="166"/>
      <c r="BC21" s="166"/>
      <c r="BD21" s="166"/>
      <c r="BE21" s="166"/>
      <c r="BF21" s="166"/>
      <c r="BG21" s="166"/>
      <c r="BH21" s="166"/>
      <c r="BI21" s="166"/>
      <c r="BJ21" s="166"/>
      <c r="BK21" s="166"/>
      <c r="BL21" s="166"/>
      <c r="BM21" s="166">
        <v>1023.87919048421</v>
      </c>
      <c r="BN21" s="166">
        <v>979.90395534350398</v>
      </c>
      <c r="BO21" s="166">
        <v>1274.30049727409</v>
      </c>
      <c r="BP21" s="166">
        <v>1439.8141266509899</v>
      </c>
      <c r="BQ21" s="166">
        <v>1603.44308180956</v>
      </c>
      <c r="BR21" s="166">
        <v>1448.80957654332</v>
      </c>
      <c r="BS21" s="166">
        <v>1459.5475016944999</v>
      </c>
      <c r="BT21" s="166">
        <v>1327.6726170879299</v>
      </c>
      <c r="BU21" s="166">
        <v>1719.44498687297</v>
      </c>
      <c r="BV21" s="166">
        <v>2181.2239405476798</v>
      </c>
      <c r="BW21" s="166">
        <v>2355.4244530410601</v>
      </c>
      <c r="BX21" s="166">
        <v>2215.66108529648</v>
      </c>
      <c r="BY21" s="166">
        <v>2326.2440346693302</v>
      </c>
      <c r="BZ21" s="166">
        <v>2214.6161960855802</v>
      </c>
      <c r="CA21" s="166">
        <v>2732.0846656551398</v>
      </c>
      <c r="CB21" s="166">
        <v>2884.8646182448201</v>
      </c>
      <c r="CC21" s="166">
        <v>2287.8289609379599</v>
      </c>
      <c r="CD21" s="166">
        <v>2227.3300080589001</v>
      </c>
      <c r="CE21" s="166">
        <v>2513.88259714264</v>
      </c>
      <c r="CF21" s="166">
        <v>2412.1082028713799</v>
      </c>
      <c r="CG21" s="166">
        <v>3238.6347713472901</v>
      </c>
      <c r="CH21" s="166">
        <v>3443.4037560833399</v>
      </c>
      <c r="CI21" s="166">
        <v>2992.98052327198</v>
      </c>
      <c r="CJ21" s="166">
        <v>3329.0012996187402</v>
      </c>
      <c r="CK21" s="166">
        <v>3352.0825579641</v>
      </c>
      <c r="CL21" s="166">
        <v>3537.4019034151102</v>
      </c>
      <c r="CM21" s="166">
        <v>3906.7417665686098</v>
      </c>
      <c r="CN21" s="166">
        <v>4253.48540391602</v>
      </c>
      <c r="CO21" s="166">
        <v>4275.2787601604896</v>
      </c>
      <c r="CP21" s="166">
        <v>4601.9473476654002</v>
      </c>
      <c r="CQ21" s="166">
        <v>5444.1062003561101</v>
      </c>
      <c r="CR21" s="166">
        <v>6119.9063413787799</v>
      </c>
      <c r="CS21" s="166">
        <v>5564.89171814566</v>
      </c>
      <c r="CT21" s="166">
        <v>5697.6656511211204</v>
      </c>
      <c r="CU21" s="166">
        <v>5872.4230405640401</v>
      </c>
      <c r="CV21" s="166">
        <v>5403.5093078985501</v>
      </c>
      <c r="CW21" s="166">
        <v>4875.9096177022002</v>
      </c>
      <c r="CX21" s="166">
        <v>4742.6206894264997</v>
      </c>
      <c r="CY21" s="166">
        <v>4495.1762905389696</v>
      </c>
      <c r="CZ21" s="166">
        <v>6692.6183617712404</v>
      </c>
      <c r="DA21" s="166">
        <v>6895.2353250019496</v>
      </c>
      <c r="DB21" s="166">
        <v>7290.1423624196996</v>
      </c>
      <c r="DC21" s="166">
        <v>8079.3889657382497</v>
      </c>
      <c r="DD21" s="166">
        <v>11081.4058273112</v>
      </c>
      <c r="DE21" s="166">
        <v>11068.2731988449</v>
      </c>
      <c r="DF21" s="166">
        <v>10438.959702059599</v>
      </c>
      <c r="DG21" s="166"/>
      <c r="DH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61">
        <f t="shared" ref="FU21:GD23" si="40">(BN21-BM21)/BM21</f>
        <v>-4.2949632680696785E-2</v>
      </c>
      <c r="FV21" s="61">
        <f t="shared" si="40"/>
        <v>0.30043407859026938</v>
      </c>
      <c r="FW21" s="61">
        <f t="shared" si="40"/>
        <v>0.12988587050774683</v>
      </c>
      <c r="FX21" s="61">
        <f t="shared" si="40"/>
        <v>0.1136458881252758</v>
      </c>
      <c r="FY21" s="61">
        <f t="shared" si="40"/>
        <v>-9.6438412451615649E-2</v>
      </c>
      <c r="FZ21" s="61">
        <f t="shared" si="40"/>
        <v>7.4115503686822239E-3</v>
      </c>
      <c r="GA21" s="61">
        <f t="shared" si="40"/>
        <v>-9.0353266648373176E-2</v>
      </c>
      <c r="GB21" s="61">
        <f t="shared" si="40"/>
        <v>0.29508205919343267</v>
      </c>
      <c r="GC21" s="61">
        <f t="shared" si="40"/>
        <v>0.26856279625119828</v>
      </c>
      <c r="GD21" s="61">
        <f t="shared" si="40"/>
        <v>7.9863653270576429E-2</v>
      </c>
      <c r="GE21" s="61">
        <f t="shared" ref="GE21:GN23" si="41">(BX21-BW21)/BW21</f>
        <v>-5.9336807667141833E-2</v>
      </c>
      <c r="GF21" s="61">
        <f t="shared" si="41"/>
        <v>4.990968614590844E-2</v>
      </c>
      <c r="GG21" s="61">
        <f t="shared" si="41"/>
        <v>-4.7986297619723971E-2</v>
      </c>
      <c r="GH21" s="61">
        <f t="shared" si="41"/>
        <v>0.23366056406713051</v>
      </c>
      <c r="GI21" s="61">
        <f t="shared" si="41"/>
        <v>5.5920650816670227E-2</v>
      </c>
      <c r="GJ21" s="61">
        <f t="shared" si="41"/>
        <v>-0.20695448012742537</v>
      </c>
      <c r="GK21" s="61">
        <f t="shared" si="41"/>
        <v>-2.6443826838461078E-2</v>
      </c>
      <c r="GL21" s="61">
        <f t="shared" si="41"/>
        <v>0.12865295580221092</v>
      </c>
      <c r="GM21" s="61">
        <f t="shared" si="41"/>
        <v>-4.0484943245535837E-2</v>
      </c>
      <c r="GN21" s="61">
        <f t="shared" si="41"/>
        <v>0.34265733497859291</v>
      </c>
      <c r="GO21" s="61">
        <f t="shared" ref="GO21:GX23" si="42">(CH21-CG21)/CG21</f>
        <v>6.3226945670957754E-2</v>
      </c>
      <c r="GP21" s="61">
        <f t="shared" si="42"/>
        <v>-0.13080755691678997</v>
      </c>
      <c r="GQ21" s="61">
        <f t="shared" si="42"/>
        <v>0.11226961676964614</v>
      </c>
      <c r="GR21" s="61">
        <f t="shared" si="42"/>
        <v>6.9333882050461437E-3</v>
      </c>
      <c r="GS21" s="61">
        <f t="shared" si="42"/>
        <v>5.5284839274234499E-2</v>
      </c>
      <c r="GT21" s="61">
        <f t="shared" si="42"/>
        <v>0.10440992379094054</v>
      </c>
      <c r="GU21" s="61">
        <f t="shared" si="42"/>
        <v>8.8755197570164437E-2</v>
      </c>
      <c r="GV21" s="61">
        <f t="shared" si="42"/>
        <v>5.1236466509101634E-3</v>
      </c>
      <c r="GW21" s="61">
        <f t="shared" si="42"/>
        <v>7.6408722291747791E-2</v>
      </c>
      <c r="GX21" s="61">
        <f t="shared" si="42"/>
        <v>0.18300054065545598</v>
      </c>
      <c r="GY21" s="61">
        <f t="shared" si="39"/>
        <v>0.12413426853768288</v>
      </c>
      <c r="GZ21" s="61">
        <f t="shared" si="39"/>
        <v>-9.0690051819988848E-2</v>
      </c>
      <c r="HA21" s="61">
        <f t="shared" si="39"/>
        <v>2.385921230821424E-2</v>
      </c>
      <c r="HB21" s="61">
        <f t="shared" si="39"/>
        <v>3.0671752283065779E-2</v>
      </c>
      <c r="HC21" s="61">
        <f t="shared" si="39"/>
        <v>-7.9850128205418133E-2</v>
      </c>
      <c r="HD21" s="61">
        <f t="shared" si="39"/>
        <v>-9.7640192721632574E-2</v>
      </c>
      <c r="HE21" s="61">
        <f t="shared" si="39"/>
        <v>-2.7336218003670396E-2</v>
      </c>
      <c r="HF21" s="61">
        <f t="shared" si="39"/>
        <v>-5.2174612960129478E-2</v>
      </c>
      <c r="HG21" s="61">
        <f t="shared" si="39"/>
        <v>0.48884446998380088</v>
      </c>
      <c r="HH21" s="61">
        <f t="shared" si="39"/>
        <v>3.0274692546055387E-2</v>
      </c>
      <c r="HI21" s="61">
        <f t="shared" si="39"/>
        <v>5.7272452469580987E-2</v>
      </c>
      <c r="HJ21" s="61">
        <f t="shared" si="39"/>
        <v>0.10826216609802777</v>
      </c>
      <c r="HK21" s="61">
        <f t="shared" si="39"/>
        <v>0.37156483916090838</v>
      </c>
      <c r="HL21" s="61">
        <f t="shared" si="39"/>
        <v>-1.1851049109612357E-3</v>
      </c>
      <c r="HM21" s="61">
        <f t="shared" si="39"/>
        <v>-5.6857423509475376E-2</v>
      </c>
      <c r="HN21" s="9"/>
      <c r="HP21" s="61">
        <f t="shared" si="4"/>
        <v>6.1966551245713222E-2</v>
      </c>
      <c r="HQ21" s="61">
        <f t="shared" si="5"/>
        <v>5.3132357309820161E-2</v>
      </c>
      <c r="HR21" s="61">
        <f t="shared" si="6"/>
        <v>5.8798124311202127E-2</v>
      </c>
      <c r="HS21" s="89">
        <f t="shared" si="7"/>
        <v>4.990968614590844E-2</v>
      </c>
      <c r="HT21" s="89">
        <f t="shared" si="8"/>
        <v>3.0671752283065779E-2</v>
      </c>
      <c r="HU21" s="167">
        <f t="shared" si="9"/>
        <v>5.5284839274234499E-2</v>
      </c>
      <c r="HW21" s="168" t="s">
        <v>64</v>
      </c>
      <c r="HX21" s="26">
        <v>5.5284839274235199E-2</v>
      </c>
      <c r="HY21" s="30" t="s">
        <v>134</v>
      </c>
    </row>
    <row r="22" spans="1:233" ht="15" customHeight="1" x14ac:dyDescent="0.2">
      <c r="A22" s="9" t="s">
        <v>132</v>
      </c>
      <c r="B22" s="58" t="s">
        <v>66</v>
      </c>
      <c r="C22" s="9"/>
      <c r="D22" s="9"/>
      <c r="E22" s="9"/>
      <c r="F22" s="9"/>
      <c r="G22" s="9"/>
      <c r="H22" s="9"/>
      <c r="I22" s="9"/>
      <c r="J22" s="9"/>
      <c r="K22" s="9"/>
      <c r="L22" s="9"/>
      <c r="M22" s="9"/>
      <c r="N22" s="9"/>
      <c r="O22" s="9"/>
      <c r="P22" s="9"/>
      <c r="Q22" s="9"/>
      <c r="R22" s="9"/>
      <c r="S22" s="9"/>
      <c r="T22" s="9"/>
      <c r="U22" s="9"/>
      <c r="V22" s="9"/>
      <c r="W22" s="9"/>
      <c r="X22" s="9"/>
      <c r="Y22" s="166">
        <v>272.39999999999998</v>
      </c>
      <c r="Z22" s="166">
        <v>247.43</v>
      </c>
      <c r="AA22" s="166">
        <v>222.46</v>
      </c>
      <c r="AB22" s="166">
        <v>197.49</v>
      </c>
      <c r="AC22" s="166">
        <v>172.52</v>
      </c>
      <c r="AD22" s="166">
        <v>257.87200000000001</v>
      </c>
      <c r="AE22" s="166">
        <v>343.678</v>
      </c>
      <c r="AF22" s="166">
        <v>429.48399999999998</v>
      </c>
      <c r="AG22" s="166">
        <v>515.29</v>
      </c>
      <c r="AH22" s="166">
        <v>513.47400000000005</v>
      </c>
      <c r="AI22" s="166">
        <v>512.11199999999997</v>
      </c>
      <c r="AJ22" s="166">
        <v>511.20400000000001</v>
      </c>
      <c r="AK22" s="166">
        <v>509.38799999999998</v>
      </c>
      <c r="AL22" s="166">
        <v>499.4</v>
      </c>
      <c r="AM22" s="166">
        <v>454</v>
      </c>
      <c r="AN22" s="166">
        <v>452.3202</v>
      </c>
      <c r="AO22" s="166">
        <v>477.154</v>
      </c>
      <c r="AP22" s="166">
        <v>528.18359999999996</v>
      </c>
      <c r="AQ22" s="166">
        <v>673.69060000000002</v>
      </c>
      <c r="AR22" s="166">
        <v>629.51639999999998</v>
      </c>
      <c r="AS22" s="166">
        <v>732.07500000000005</v>
      </c>
      <c r="AT22" s="166">
        <v>871.99779999999998</v>
      </c>
      <c r="AU22" s="166">
        <v>880.76</v>
      </c>
      <c r="AV22" s="166">
        <v>681</v>
      </c>
      <c r="AW22" s="166">
        <v>780.88</v>
      </c>
      <c r="AX22" s="166">
        <v>812.66</v>
      </c>
      <c r="AY22" s="166">
        <v>953.4</v>
      </c>
      <c r="AZ22" s="166">
        <v>948.86</v>
      </c>
      <c r="BA22" s="166">
        <v>921.62</v>
      </c>
      <c r="BB22" s="166">
        <v>953.4</v>
      </c>
      <c r="BC22" s="166">
        <v>771.8</v>
      </c>
      <c r="BD22" s="166">
        <v>862.6</v>
      </c>
      <c r="BE22" s="166">
        <v>953.4</v>
      </c>
      <c r="BF22" s="166">
        <v>953.4</v>
      </c>
      <c r="BG22" s="166">
        <v>1225.8</v>
      </c>
      <c r="BH22" s="166">
        <v>1149</v>
      </c>
      <c r="BI22" s="166">
        <v>1073</v>
      </c>
      <c r="BJ22" s="166">
        <v>1094</v>
      </c>
      <c r="BK22" s="166">
        <v>1115</v>
      </c>
      <c r="BL22" s="166">
        <v>1136</v>
      </c>
      <c r="BM22" s="166">
        <v>1156</v>
      </c>
      <c r="BN22" s="166">
        <v>1204</v>
      </c>
      <c r="BO22" s="166">
        <v>1252</v>
      </c>
      <c r="BP22" s="166">
        <v>1300</v>
      </c>
      <c r="BQ22" s="166">
        <v>1348</v>
      </c>
      <c r="BR22" s="166">
        <v>1361</v>
      </c>
      <c r="BS22" s="166">
        <v>1374</v>
      </c>
      <c r="BT22" s="166">
        <v>1387</v>
      </c>
      <c r="BU22" s="166">
        <v>1400</v>
      </c>
      <c r="BV22" s="166">
        <v>1424</v>
      </c>
      <c r="BW22" s="166">
        <v>1447</v>
      </c>
      <c r="BX22" s="166">
        <v>1470</v>
      </c>
      <c r="BY22" s="166">
        <v>1493</v>
      </c>
      <c r="BZ22" s="166">
        <v>1568</v>
      </c>
      <c r="CA22" s="166">
        <v>1642</v>
      </c>
      <c r="CB22" s="166">
        <v>1790</v>
      </c>
      <c r="CC22" s="166">
        <v>1630</v>
      </c>
      <c r="CD22" s="166">
        <v>1730</v>
      </c>
      <c r="CE22" s="166">
        <v>1760</v>
      </c>
      <c r="CF22" s="166">
        <v>1880</v>
      </c>
      <c r="CG22" s="166">
        <v>2070</v>
      </c>
      <c r="CH22" s="166">
        <v>2150</v>
      </c>
      <c r="CI22" s="166">
        <v>1640</v>
      </c>
      <c r="CJ22" s="45">
        <v>1450</v>
      </c>
      <c r="CK22" s="45">
        <v>1430</v>
      </c>
      <c r="CL22" s="45">
        <v>1410</v>
      </c>
      <c r="CM22" s="45">
        <v>1580</v>
      </c>
      <c r="CN22" s="45">
        <v>1510</v>
      </c>
      <c r="CO22" s="166">
        <v>1430</v>
      </c>
      <c r="CP22" s="166">
        <v>1330</v>
      </c>
      <c r="CQ22" s="166">
        <v>1390</v>
      </c>
      <c r="CR22" s="166">
        <v>1540</v>
      </c>
      <c r="CS22" s="166">
        <v>1560</v>
      </c>
      <c r="CT22" s="166">
        <v>1510</v>
      </c>
      <c r="CU22" s="166">
        <v>2280</v>
      </c>
      <c r="CV22" s="166">
        <v>2150</v>
      </c>
      <c r="CW22" s="166">
        <v>1980</v>
      </c>
      <c r="CX22" s="166">
        <v>2237</v>
      </c>
      <c r="CY22" s="166">
        <v>2170</v>
      </c>
      <c r="CZ22" s="166">
        <v>2250</v>
      </c>
      <c r="DA22" s="166">
        <v>2190</v>
      </c>
      <c r="DB22" s="166">
        <v>2250</v>
      </c>
      <c r="DC22" s="166">
        <v>2710</v>
      </c>
      <c r="DD22" s="166">
        <v>2810</v>
      </c>
      <c r="DE22" s="166">
        <v>2880</v>
      </c>
      <c r="DF22" s="45">
        <v>3120</v>
      </c>
      <c r="DG22" s="166">
        <v>3000</v>
      </c>
      <c r="DH22" s="36"/>
      <c r="DJ22" s="9"/>
      <c r="DK22" s="9"/>
      <c r="DL22" s="9"/>
      <c r="DM22" s="9"/>
      <c r="DN22" s="9"/>
      <c r="DO22" s="9"/>
      <c r="DP22" s="9"/>
      <c r="DQ22" s="9"/>
      <c r="DR22" s="9"/>
      <c r="DS22" s="9"/>
      <c r="DT22" s="9"/>
      <c r="DU22" s="9"/>
      <c r="DV22" s="9"/>
      <c r="DW22" s="9"/>
      <c r="DX22" s="9"/>
      <c r="DY22" s="9"/>
      <c r="DZ22" s="9"/>
      <c r="EA22" s="9"/>
      <c r="EB22" s="9"/>
      <c r="EC22" s="9"/>
      <c r="ED22" s="9"/>
      <c r="EE22" s="9"/>
      <c r="EF22" s="61"/>
      <c r="EG22" s="61">
        <f t="shared" ref="EG22:EP23" si="43">(Z22-Y22)/Y22</f>
        <v>-9.1666666666666563E-2</v>
      </c>
      <c r="EH22" s="61">
        <f t="shared" si="43"/>
        <v>-0.10091743119266054</v>
      </c>
      <c r="EI22" s="61">
        <f t="shared" si="43"/>
        <v>-0.11224489795918366</v>
      </c>
      <c r="EJ22" s="61">
        <f t="shared" si="43"/>
        <v>-0.12643678160919539</v>
      </c>
      <c r="EK22" s="61">
        <f t="shared" si="43"/>
        <v>0.49473684210526314</v>
      </c>
      <c r="EL22" s="61">
        <f t="shared" si="43"/>
        <v>0.33274647887323933</v>
      </c>
      <c r="EM22" s="61">
        <f t="shared" si="43"/>
        <v>0.24966974900924699</v>
      </c>
      <c r="EN22" s="61">
        <f t="shared" si="43"/>
        <v>0.1997885835095137</v>
      </c>
      <c r="EO22" s="61">
        <f t="shared" si="43"/>
        <v>-3.5242290748897075E-3</v>
      </c>
      <c r="EP22" s="61">
        <f t="shared" si="43"/>
        <v>-2.6525198938993598E-3</v>
      </c>
      <c r="EQ22" s="61">
        <f t="shared" ref="EQ22:EZ23" si="44">(AJ22-AI22)/AI22</f>
        <v>-1.7730496453899902E-3</v>
      </c>
      <c r="ER22" s="61">
        <f t="shared" si="44"/>
        <v>-3.5523978685613393E-3</v>
      </c>
      <c r="ES22" s="61">
        <f t="shared" si="44"/>
        <v>-1.9607843137254902E-2</v>
      </c>
      <c r="ET22" s="61">
        <f t="shared" si="44"/>
        <v>-9.090909090909087E-2</v>
      </c>
      <c r="EU22" s="61">
        <f t="shared" si="44"/>
        <v>-3.7000000000000006E-3</v>
      </c>
      <c r="EV22" s="61">
        <f t="shared" si="44"/>
        <v>5.4903141624008826E-2</v>
      </c>
      <c r="EW22" s="61">
        <f t="shared" si="44"/>
        <v>0.10694576593720258</v>
      </c>
      <c r="EX22" s="61">
        <f t="shared" si="44"/>
        <v>0.27548564552174676</v>
      </c>
      <c r="EY22" s="61">
        <f t="shared" si="44"/>
        <v>-6.5570456230204258E-2</v>
      </c>
      <c r="EZ22" s="61">
        <f t="shared" si="44"/>
        <v>0.16291648636953712</v>
      </c>
      <c r="FA22" s="61">
        <f t="shared" ref="FA22:FJ23" si="45">(AT22-AS22)/AS22</f>
        <v>0.19113178294573635</v>
      </c>
      <c r="FB22" s="61">
        <f t="shared" si="45"/>
        <v>1.0048419846930815E-2</v>
      </c>
      <c r="FC22" s="61">
        <f t="shared" si="45"/>
        <v>-0.22680412371134021</v>
      </c>
      <c r="FD22" s="61">
        <f t="shared" si="45"/>
        <v>0.14666666666666667</v>
      </c>
      <c r="FE22" s="61">
        <f t="shared" si="45"/>
        <v>4.0697674418604619E-2</v>
      </c>
      <c r="FF22" s="61">
        <f t="shared" si="45"/>
        <v>0.17318435754189945</v>
      </c>
      <c r="FG22" s="61">
        <f t="shared" si="45"/>
        <v>-4.7619047619047242E-3</v>
      </c>
      <c r="FH22" s="61">
        <f t="shared" si="45"/>
        <v>-2.8708133971291874E-2</v>
      </c>
      <c r="FI22" s="61">
        <f t="shared" si="45"/>
        <v>3.4482758620689627E-2</v>
      </c>
      <c r="FJ22" s="61">
        <f t="shared" si="45"/>
        <v>-0.19047619047619049</v>
      </c>
      <c r="FK22" s="61">
        <f t="shared" ref="FK22:FT23" si="46">(BD22-BC22)/BC22</f>
        <v>0.11764705882352951</v>
      </c>
      <c r="FL22" s="61">
        <f t="shared" si="46"/>
        <v>0.10526315789473678</v>
      </c>
      <c r="FM22" s="61">
        <f t="shared" si="46"/>
        <v>0</v>
      </c>
      <c r="FN22" s="61">
        <f t="shared" si="46"/>
        <v>0.2857142857142857</v>
      </c>
      <c r="FO22" s="61">
        <f t="shared" si="46"/>
        <v>-6.2652961331375392E-2</v>
      </c>
      <c r="FP22" s="61">
        <f t="shared" si="46"/>
        <v>-6.6144473455178418E-2</v>
      </c>
      <c r="FQ22" s="61">
        <f t="shared" si="46"/>
        <v>1.9571295433364399E-2</v>
      </c>
      <c r="FR22" s="61">
        <f t="shared" si="46"/>
        <v>1.9195612431444242E-2</v>
      </c>
      <c r="FS22" s="61">
        <f t="shared" si="46"/>
        <v>1.883408071748879E-2</v>
      </c>
      <c r="FT22" s="61">
        <f t="shared" si="46"/>
        <v>1.7605633802816902E-2</v>
      </c>
      <c r="FU22" s="61">
        <f t="shared" si="40"/>
        <v>4.1522491349480967E-2</v>
      </c>
      <c r="FV22" s="61">
        <f t="shared" si="40"/>
        <v>3.9867109634551492E-2</v>
      </c>
      <c r="FW22" s="61">
        <f t="shared" si="40"/>
        <v>3.8338658146964855E-2</v>
      </c>
      <c r="FX22" s="61">
        <f t="shared" si="40"/>
        <v>3.6923076923076927E-2</v>
      </c>
      <c r="FY22" s="61">
        <f t="shared" si="40"/>
        <v>9.6439169139465875E-3</v>
      </c>
      <c r="FZ22" s="61">
        <f t="shared" si="40"/>
        <v>9.5518001469507719E-3</v>
      </c>
      <c r="GA22" s="61">
        <f t="shared" si="40"/>
        <v>9.4614264919941782E-3</v>
      </c>
      <c r="GB22" s="61">
        <f t="shared" si="40"/>
        <v>9.372746935832732E-3</v>
      </c>
      <c r="GC22" s="61">
        <f t="shared" si="40"/>
        <v>1.7142857142857144E-2</v>
      </c>
      <c r="GD22" s="61">
        <f t="shared" si="40"/>
        <v>1.6151685393258428E-2</v>
      </c>
      <c r="GE22" s="61">
        <f t="shared" si="41"/>
        <v>1.5894955079474776E-2</v>
      </c>
      <c r="GF22" s="61">
        <f t="shared" si="41"/>
        <v>1.5646258503401362E-2</v>
      </c>
      <c r="GG22" s="61">
        <f t="shared" si="41"/>
        <v>5.0234427327528468E-2</v>
      </c>
      <c r="GH22" s="61">
        <f t="shared" si="41"/>
        <v>4.7193877551020405E-2</v>
      </c>
      <c r="GI22" s="61">
        <f t="shared" si="41"/>
        <v>9.0133982947624841E-2</v>
      </c>
      <c r="GJ22" s="61">
        <f t="shared" si="41"/>
        <v>-8.9385474860335198E-2</v>
      </c>
      <c r="GK22" s="61">
        <f t="shared" si="41"/>
        <v>6.1349693251533742E-2</v>
      </c>
      <c r="GL22" s="61">
        <f t="shared" si="41"/>
        <v>1.7341040462427744E-2</v>
      </c>
      <c r="GM22" s="61">
        <f t="shared" si="41"/>
        <v>6.8181818181818177E-2</v>
      </c>
      <c r="GN22" s="61">
        <f t="shared" si="41"/>
        <v>0.10106382978723404</v>
      </c>
      <c r="GO22" s="61">
        <f t="shared" si="42"/>
        <v>3.864734299516908E-2</v>
      </c>
      <c r="GP22" s="61">
        <f t="shared" si="42"/>
        <v>-0.23720930232558141</v>
      </c>
      <c r="GQ22" s="61">
        <f t="shared" si="42"/>
        <v>-0.11585365853658537</v>
      </c>
      <c r="GR22" s="61">
        <f t="shared" si="42"/>
        <v>-1.3793103448275862E-2</v>
      </c>
      <c r="GS22" s="61">
        <f t="shared" si="42"/>
        <v>-1.3986013986013986E-2</v>
      </c>
      <c r="GT22" s="61">
        <f t="shared" si="42"/>
        <v>0.12056737588652482</v>
      </c>
      <c r="GU22" s="61">
        <f t="shared" si="42"/>
        <v>-4.4303797468354431E-2</v>
      </c>
      <c r="GV22" s="61">
        <f t="shared" si="42"/>
        <v>-5.2980132450331126E-2</v>
      </c>
      <c r="GW22" s="61">
        <f t="shared" si="42"/>
        <v>-6.9930069930069935E-2</v>
      </c>
      <c r="GX22" s="61">
        <f t="shared" si="42"/>
        <v>4.5112781954887216E-2</v>
      </c>
      <c r="GY22" s="61">
        <f t="shared" si="39"/>
        <v>0.1079136690647482</v>
      </c>
      <c r="GZ22" s="61">
        <f t="shared" si="39"/>
        <v>1.2987012987012988E-2</v>
      </c>
      <c r="HA22" s="61">
        <f t="shared" si="39"/>
        <v>-3.2051282051282048E-2</v>
      </c>
      <c r="HB22" s="61">
        <f t="shared" si="39"/>
        <v>0.50993377483443714</v>
      </c>
      <c r="HC22" s="61">
        <f t="shared" si="39"/>
        <v>-5.701754385964912E-2</v>
      </c>
      <c r="HD22" s="61">
        <f t="shared" si="39"/>
        <v>-7.9069767441860464E-2</v>
      </c>
      <c r="HE22" s="61">
        <f t="shared" si="39"/>
        <v>0.1297979797979798</v>
      </c>
      <c r="HF22" s="61">
        <f t="shared" si="39"/>
        <v>-2.9950827000447027E-2</v>
      </c>
      <c r="HG22" s="61">
        <f t="shared" si="39"/>
        <v>3.6866359447004608E-2</v>
      </c>
      <c r="HH22" s="61">
        <f t="shared" si="39"/>
        <v>-2.6666666666666668E-2</v>
      </c>
      <c r="HI22" s="61">
        <f t="shared" si="39"/>
        <v>2.7397260273972601E-2</v>
      </c>
      <c r="HJ22" s="61">
        <f t="shared" si="39"/>
        <v>0.20444444444444446</v>
      </c>
      <c r="HK22" s="61">
        <f t="shared" si="39"/>
        <v>3.6900369003690037E-2</v>
      </c>
      <c r="HL22" s="61">
        <f t="shared" si="39"/>
        <v>2.491103202846975E-2</v>
      </c>
      <c r="HM22" s="61">
        <f t="shared" si="39"/>
        <v>8.3333333333333329E-2</v>
      </c>
      <c r="HN22" s="61">
        <f>(DG22-DF22)/DF22</f>
        <v>-3.8461538461538464E-2</v>
      </c>
      <c r="HP22" s="61">
        <f t="shared" si="4"/>
        <v>3.5212808554062058E-2</v>
      </c>
      <c r="HQ22" s="61">
        <f t="shared" si="5"/>
        <v>2.5506997568603793E-2</v>
      </c>
      <c r="HR22" s="61">
        <f t="shared" si="6"/>
        <v>2.3599318561117275E-2</v>
      </c>
      <c r="HS22" s="89">
        <f t="shared" si="7"/>
        <v>1.7241948802642446E-2</v>
      </c>
      <c r="HT22" s="89">
        <f t="shared" si="8"/>
        <v>2.1126036245448745E-2</v>
      </c>
      <c r="HU22" s="167">
        <f t="shared" si="9"/>
        <v>1.5164026724720366E-2</v>
      </c>
      <c r="HW22" s="168" t="s">
        <v>66</v>
      </c>
      <c r="HX22" s="37" t="s">
        <v>150</v>
      </c>
      <c r="HY22" s="34"/>
    </row>
    <row r="23" spans="1:233" ht="15" customHeight="1" x14ac:dyDescent="0.2">
      <c r="A23" s="9" t="s">
        <v>132</v>
      </c>
      <c r="B23" s="58" t="s">
        <v>68</v>
      </c>
      <c r="C23" s="9"/>
      <c r="D23" s="9"/>
      <c r="E23" s="9"/>
      <c r="F23" s="9"/>
      <c r="G23" s="9"/>
      <c r="H23" s="9"/>
      <c r="I23" s="9"/>
      <c r="J23" s="166">
        <v>5502.5</v>
      </c>
      <c r="K23" s="166">
        <v>5344.4</v>
      </c>
      <c r="L23" s="166">
        <v>6789</v>
      </c>
      <c r="M23" s="166">
        <v>7657</v>
      </c>
      <c r="N23" s="166">
        <v>7347</v>
      </c>
      <c r="O23" s="166">
        <v>7564</v>
      </c>
      <c r="P23" s="166">
        <v>7750</v>
      </c>
      <c r="Q23" s="166">
        <v>8215</v>
      </c>
      <c r="R23" s="166">
        <v>8091</v>
      </c>
      <c r="S23" s="166">
        <v>8184</v>
      </c>
      <c r="T23" s="166">
        <v>7657</v>
      </c>
      <c r="U23" s="166">
        <v>6076</v>
      </c>
      <c r="V23" s="166">
        <v>5332</v>
      </c>
      <c r="W23" s="166">
        <v>5952</v>
      </c>
      <c r="X23" s="166">
        <v>6882</v>
      </c>
      <c r="Y23" s="166">
        <v>6913</v>
      </c>
      <c r="Z23" s="166">
        <v>7719</v>
      </c>
      <c r="AA23" s="166">
        <v>8401</v>
      </c>
      <c r="AB23" s="166">
        <v>8308</v>
      </c>
      <c r="AC23" s="166">
        <v>8246</v>
      </c>
      <c r="AD23" s="166">
        <v>8680</v>
      </c>
      <c r="AE23" s="166">
        <v>8153</v>
      </c>
      <c r="AF23" s="166">
        <v>7750</v>
      </c>
      <c r="AG23" s="166">
        <v>6851</v>
      </c>
      <c r="AH23" s="166">
        <v>5952</v>
      </c>
      <c r="AI23" s="166">
        <v>4774</v>
      </c>
      <c r="AJ23" s="166">
        <v>4092</v>
      </c>
      <c r="AK23" s="166">
        <v>5115</v>
      </c>
      <c r="AL23" s="166">
        <v>5332</v>
      </c>
      <c r="AM23" s="166">
        <v>4991</v>
      </c>
      <c r="AN23" s="166">
        <v>5301</v>
      </c>
      <c r="AO23" s="166">
        <v>5363</v>
      </c>
      <c r="AP23" s="166">
        <v>5828</v>
      </c>
      <c r="AQ23" s="166">
        <v>5921</v>
      </c>
      <c r="AR23" s="166">
        <v>5859</v>
      </c>
      <c r="AS23" s="166">
        <v>6169</v>
      </c>
      <c r="AT23" s="166">
        <v>6231</v>
      </c>
      <c r="AU23" s="166">
        <v>6355</v>
      </c>
      <c r="AV23" s="166">
        <v>6510</v>
      </c>
      <c r="AW23" s="166">
        <v>6324</v>
      </c>
      <c r="AX23" s="166">
        <v>6510</v>
      </c>
      <c r="AY23" s="166">
        <v>6510</v>
      </c>
      <c r="AZ23" s="166">
        <v>6758</v>
      </c>
      <c r="BA23" s="166">
        <v>6944</v>
      </c>
      <c r="BB23" s="166">
        <v>6758</v>
      </c>
      <c r="BC23" s="166">
        <v>6975</v>
      </c>
      <c r="BD23" s="166">
        <v>7192</v>
      </c>
      <c r="BE23" s="166">
        <v>6944</v>
      </c>
      <c r="BF23" s="166">
        <v>7440</v>
      </c>
      <c r="BG23" s="166">
        <v>7812</v>
      </c>
      <c r="BH23" s="166">
        <v>9336</v>
      </c>
      <c r="BI23" s="166">
        <v>9183</v>
      </c>
      <c r="BJ23" s="166">
        <v>9095</v>
      </c>
      <c r="BK23" s="166">
        <v>9338</v>
      </c>
      <c r="BL23" s="166">
        <v>9064</v>
      </c>
      <c r="BM23" s="166">
        <v>9242</v>
      </c>
      <c r="BN23" s="166">
        <v>9755</v>
      </c>
      <c r="BO23" s="166">
        <v>10505</v>
      </c>
      <c r="BP23" s="166">
        <v>10640</v>
      </c>
      <c r="BQ23" s="166">
        <v>10536</v>
      </c>
      <c r="BR23" s="166">
        <v>10764</v>
      </c>
      <c r="BS23" s="166">
        <v>11408</v>
      </c>
      <c r="BT23" s="166">
        <v>11752</v>
      </c>
      <c r="BU23" s="166">
        <v>12573</v>
      </c>
      <c r="BV23" s="166">
        <v>12779</v>
      </c>
      <c r="BW23" s="166">
        <v>13611</v>
      </c>
      <c r="BX23" s="166">
        <v>13464</v>
      </c>
      <c r="BY23" s="166">
        <v>14421</v>
      </c>
      <c r="BZ23" s="166">
        <v>14781</v>
      </c>
      <c r="CA23" s="166">
        <v>14966</v>
      </c>
      <c r="CB23" s="166">
        <v>16500</v>
      </c>
      <c r="CC23" s="166">
        <v>15700</v>
      </c>
      <c r="CD23" s="166">
        <v>14700</v>
      </c>
      <c r="CE23" s="166">
        <v>14300</v>
      </c>
      <c r="CF23" s="166">
        <v>13900</v>
      </c>
      <c r="CG23" s="166">
        <v>14600</v>
      </c>
      <c r="CH23" s="166">
        <v>15200</v>
      </c>
      <c r="CI23" s="166">
        <v>16400</v>
      </c>
      <c r="CJ23" s="45">
        <v>16400</v>
      </c>
      <c r="CK23" s="45">
        <v>17700</v>
      </c>
      <c r="CL23" s="45">
        <v>17700</v>
      </c>
      <c r="CM23" s="45">
        <v>18700</v>
      </c>
      <c r="CN23" s="45">
        <v>20000</v>
      </c>
      <c r="CO23" s="166">
        <v>18800</v>
      </c>
      <c r="CP23" s="166">
        <v>19700</v>
      </c>
      <c r="CQ23" s="166">
        <v>19300</v>
      </c>
      <c r="CR23" s="166">
        <v>20200</v>
      </c>
      <c r="CS23" s="166">
        <v>20800</v>
      </c>
      <c r="CT23" s="166">
        <v>21300</v>
      </c>
      <c r="CU23" s="166">
        <v>21800</v>
      </c>
      <c r="CV23" s="166">
        <v>23100</v>
      </c>
      <c r="CW23" s="166">
        <v>23300</v>
      </c>
      <c r="CX23" s="166">
        <v>25500</v>
      </c>
      <c r="CY23" s="166">
        <v>26000</v>
      </c>
      <c r="CZ23" s="166">
        <v>26800</v>
      </c>
      <c r="DA23" s="166">
        <v>25100</v>
      </c>
      <c r="DB23" s="166">
        <v>25700</v>
      </c>
      <c r="DC23" s="166">
        <v>26800</v>
      </c>
      <c r="DD23" s="166">
        <v>26900</v>
      </c>
      <c r="DE23" s="166">
        <v>26500</v>
      </c>
      <c r="DF23" s="45">
        <v>23500</v>
      </c>
      <c r="DG23" s="166">
        <v>24000</v>
      </c>
      <c r="DH23" s="36"/>
      <c r="DJ23" s="9"/>
      <c r="DK23" s="9"/>
      <c r="DL23" s="9"/>
      <c r="DM23" s="9"/>
      <c r="DN23" s="9"/>
      <c r="DO23" s="9"/>
      <c r="DP23" s="9"/>
      <c r="DQ23" s="61"/>
      <c r="DR23" s="61">
        <f t="shared" ref="DR23:EF23" si="47">(K23-J23)/J23</f>
        <v>-2.8732394366197248E-2</v>
      </c>
      <c r="DS23" s="61">
        <f t="shared" si="47"/>
        <v>0.27030162412993047</v>
      </c>
      <c r="DT23" s="61">
        <f t="shared" si="47"/>
        <v>0.12785388127853881</v>
      </c>
      <c r="DU23" s="61">
        <f t="shared" si="47"/>
        <v>-4.048582995951417E-2</v>
      </c>
      <c r="DV23" s="61">
        <f t="shared" si="47"/>
        <v>2.9535864978902954E-2</v>
      </c>
      <c r="DW23" s="61">
        <f t="shared" si="47"/>
        <v>2.4590163934426229E-2</v>
      </c>
      <c r="DX23" s="61">
        <f t="shared" si="47"/>
        <v>0.06</v>
      </c>
      <c r="DY23" s="61">
        <f t="shared" si="47"/>
        <v>-1.509433962264151E-2</v>
      </c>
      <c r="DZ23" s="61">
        <f t="shared" si="47"/>
        <v>1.1494252873563218E-2</v>
      </c>
      <c r="EA23" s="61">
        <f t="shared" si="47"/>
        <v>-6.4393939393939392E-2</v>
      </c>
      <c r="EB23" s="61">
        <f t="shared" si="47"/>
        <v>-0.20647773279352227</v>
      </c>
      <c r="EC23" s="61">
        <f t="shared" si="47"/>
        <v>-0.12244897959183673</v>
      </c>
      <c r="ED23" s="61">
        <f t="shared" si="47"/>
        <v>0.11627906976744186</v>
      </c>
      <c r="EE23" s="61">
        <f t="shared" si="47"/>
        <v>0.15625</v>
      </c>
      <c r="EF23" s="61">
        <f t="shared" si="47"/>
        <v>4.5045045045045045E-3</v>
      </c>
      <c r="EG23" s="61">
        <f t="shared" si="43"/>
        <v>0.11659192825112108</v>
      </c>
      <c r="EH23" s="61">
        <f t="shared" si="43"/>
        <v>8.8353413654618476E-2</v>
      </c>
      <c r="EI23" s="61">
        <f t="shared" si="43"/>
        <v>-1.107011070110701E-2</v>
      </c>
      <c r="EJ23" s="61">
        <f t="shared" si="43"/>
        <v>-7.462686567164179E-3</v>
      </c>
      <c r="EK23" s="61">
        <f t="shared" si="43"/>
        <v>5.2631578947368418E-2</v>
      </c>
      <c r="EL23" s="61">
        <f t="shared" si="43"/>
        <v>-6.0714285714285714E-2</v>
      </c>
      <c r="EM23" s="61">
        <f t="shared" si="43"/>
        <v>-4.9429657794676805E-2</v>
      </c>
      <c r="EN23" s="61">
        <f t="shared" si="43"/>
        <v>-0.11600000000000001</v>
      </c>
      <c r="EO23" s="61">
        <f t="shared" si="43"/>
        <v>-0.13122171945701358</v>
      </c>
      <c r="EP23" s="61">
        <f t="shared" si="43"/>
        <v>-0.19791666666666666</v>
      </c>
      <c r="EQ23" s="61">
        <f t="shared" si="44"/>
        <v>-0.14285714285714285</v>
      </c>
      <c r="ER23" s="61">
        <f t="shared" si="44"/>
        <v>0.25</v>
      </c>
      <c r="ES23" s="61">
        <f t="shared" si="44"/>
        <v>4.2424242424242427E-2</v>
      </c>
      <c r="ET23" s="61">
        <f t="shared" si="44"/>
        <v>-6.3953488372093026E-2</v>
      </c>
      <c r="EU23" s="61">
        <f t="shared" si="44"/>
        <v>6.2111801242236024E-2</v>
      </c>
      <c r="EV23" s="61">
        <f t="shared" si="44"/>
        <v>1.1695906432748537E-2</v>
      </c>
      <c r="EW23" s="61">
        <f t="shared" si="44"/>
        <v>8.6705202312138727E-2</v>
      </c>
      <c r="EX23" s="61">
        <f t="shared" si="44"/>
        <v>1.5957446808510637E-2</v>
      </c>
      <c r="EY23" s="61">
        <f t="shared" si="44"/>
        <v>-1.0471204188481676E-2</v>
      </c>
      <c r="EZ23" s="61">
        <f t="shared" si="44"/>
        <v>5.2910052910052907E-2</v>
      </c>
      <c r="FA23" s="61">
        <f t="shared" si="45"/>
        <v>1.0050251256281407E-2</v>
      </c>
      <c r="FB23" s="61">
        <f t="shared" si="45"/>
        <v>1.9900497512437811E-2</v>
      </c>
      <c r="FC23" s="61">
        <f t="shared" si="45"/>
        <v>2.4390243902439025E-2</v>
      </c>
      <c r="FD23" s="61">
        <f t="shared" si="45"/>
        <v>-2.8571428571428571E-2</v>
      </c>
      <c r="FE23" s="61">
        <f t="shared" si="45"/>
        <v>2.9411764705882353E-2</v>
      </c>
      <c r="FF23" s="61">
        <f t="shared" si="45"/>
        <v>0</v>
      </c>
      <c r="FG23" s="61">
        <f t="shared" si="45"/>
        <v>3.8095238095238099E-2</v>
      </c>
      <c r="FH23" s="61">
        <f t="shared" si="45"/>
        <v>2.7522935779816515E-2</v>
      </c>
      <c r="FI23" s="61">
        <f t="shared" si="45"/>
        <v>-2.6785714285714284E-2</v>
      </c>
      <c r="FJ23" s="61">
        <f t="shared" si="45"/>
        <v>3.2110091743119268E-2</v>
      </c>
      <c r="FK23" s="61">
        <f t="shared" si="46"/>
        <v>3.111111111111111E-2</v>
      </c>
      <c r="FL23" s="61">
        <f t="shared" si="46"/>
        <v>-3.4482758620689655E-2</v>
      </c>
      <c r="FM23" s="61">
        <f t="shared" si="46"/>
        <v>7.1428571428571425E-2</v>
      </c>
      <c r="FN23" s="61">
        <f t="shared" si="46"/>
        <v>0.05</v>
      </c>
      <c r="FO23" s="61">
        <f t="shared" si="46"/>
        <v>0.19508448540706605</v>
      </c>
      <c r="FP23" s="61">
        <f t="shared" si="46"/>
        <v>-1.6388174807197942E-2</v>
      </c>
      <c r="FQ23" s="61">
        <f t="shared" si="46"/>
        <v>-9.5829249700533602E-3</v>
      </c>
      <c r="FR23" s="61">
        <f t="shared" si="46"/>
        <v>2.6717976910390323E-2</v>
      </c>
      <c r="FS23" s="61">
        <f t="shared" si="46"/>
        <v>-2.9342471621332192E-2</v>
      </c>
      <c r="FT23" s="61">
        <f t="shared" si="46"/>
        <v>1.9638128861429831E-2</v>
      </c>
      <c r="FU23" s="61">
        <f t="shared" si="40"/>
        <v>5.5507465916468296E-2</v>
      </c>
      <c r="FV23" s="61">
        <f t="shared" si="40"/>
        <v>7.6883649410558683E-2</v>
      </c>
      <c r="FW23" s="61">
        <f t="shared" si="40"/>
        <v>1.285102332222751E-2</v>
      </c>
      <c r="FX23" s="61">
        <f t="shared" si="40"/>
        <v>-9.7744360902255641E-3</v>
      </c>
      <c r="FY23" s="61">
        <f t="shared" si="40"/>
        <v>2.164009111617312E-2</v>
      </c>
      <c r="FZ23" s="61">
        <f t="shared" si="40"/>
        <v>5.9829059829059832E-2</v>
      </c>
      <c r="GA23" s="61">
        <f t="shared" si="40"/>
        <v>3.0154277699859747E-2</v>
      </c>
      <c r="GB23" s="61">
        <f t="shared" si="40"/>
        <v>6.9860449285228041E-2</v>
      </c>
      <c r="GC23" s="61">
        <f t="shared" si="40"/>
        <v>1.6384315596914022E-2</v>
      </c>
      <c r="GD23" s="61">
        <f t="shared" si="40"/>
        <v>6.5106815869786366E-2</v>
      </c>
      <c r="GE23" s="61">
        <f t="shared" si="41"/>
        <v>-1.0800088163985012E-2</v>
      </c>
      <c r="GF23" s="61">
        <f t="shared" si="41"/>
        <v>7.1078431372549017E-2</v>
      </c>
      <c r="GG23" s="61">
        <f t="shared" si="41"/>
        <v>2.4963594757645102E-2</v>
      </c>
      <c r="GH23" s="61">
        <f t="shared" si="41"/>
        <v>1.2516067925038902E-2</v>
      </c>
      <c r="GI23" s="61">
        <f t="shared" si="41"/>
        <v>0.10249899772818388</v>
      </c>
      <c r="GJ23" s="61">
        <f t="shared" si="41"/>
        <v>-4.8484848484848485E-2</v>
      </c>
      <c r="GK23" s="61">
        <f t="shared" si="41"/>
        <v>-6.3694267515923567E-2</v>
      </c>
      <c r="GL23" s="61">
        <f t="shared" si="41"/>
        <v>-2.7210884353741496E-2</v>
      </c>
      <c r="GM23" s="61">
        <f t="shared" si="41"/>
        <v>-2.7972027972027972E-2</v>
      </c>
      <c r="GN23" s="61">
        <f t="shared" si="41"/>
        <v>5.0359712230215826E-2</v>
      </c>
      <c r="GO23" s="61">
        <f t="shared" si="42"/>
        <v>4.1095890410958902E-2</v>
      </c>
      <c r="GP23" s="61">
        <f t="shared" si="42"/>
        <v>7.8947368421052627E-2</v>
      </c>
      <c r="GQ23" s="61">
        <f t="shared" si="42"/>
        <v>0</v>
      </c>
      <c r="GR23" s="61">
        <f t="shared" si="42"/>
        <v>7.926829268292683E-2</v>
      </c>
      <c r="GS23" s="61">
        <f t="shared" si="42"/>
        <v>0</v>
      </c>
      <c r="GT23" s="61">
        <f t="shared" si="42"/>
        <v>5.6497175141242938E-2</v>
      </c>
      <c r="GU23" s="61">
        <f t="shared" si="42"/>
        <v>6.9518716577540107E-2</v>
      </c>
      <c r="GV23" s="61">
        <f t="shared" si="42"/>
        <v>-0.06</v>
      </c>
      <c r="GW23" s="61">
        <f t="shared" si="42"/>
        <v>4.7872340425531915E-2</v>
      </c>
      <c r="GX23" s="61">
        <f t="shared" si="42"/>
        <v>-2.030456852791878E-2</v>
      </c>
      <c r="GY23" s="61">
        <f t="shared" si="39"/>
        <v>4.6632124352331605E-2</v>
      </c>
      <c r="GZ23" s="61">
        <f t="shared" si="39"/>
        <v>2.9702970297029702E-2</v>
      </c>
      <c r="HA23" s="61">
        <f t="shared" si="39"/>
        <v>2.403846153846154E-2</v>
      </c>
      <c r="HB23" s="61">
        <f t="shared" si="39"/>
        <v>2.3474178403755867E-2</v>
      </c>
      <c r="HC23" s="61">
        <f t="shared" si="39"/>
        <v>5.9633027522935783E-2</v>
      </c>
      <c r="HD23" s="61">
        <f t="shared" si="39"/>
        <v>8.658008658008658E-3</v>
      </c>
      <c r="HE23" s="61">
        <f t="shared" si="39"/>
        <v>9.4420600858369105E-2</v>
      </c>
      <c r="HF23" s="61">
        <f t="shared" si="39"/>
        <v>1.9607843137254902E-2</v>
      </c>
      <c r="HG23" s="61">
        <f t="shared" si="39"/>
        <v>3.0769230769230771E-2</v>
      </c>
      <c r="HH23" s="61">
        <f t="shared" si="39"/>
        <v>-6.3432835820895525E-2</v>
      </c>
      <c r="HI23" s="61">
        <f t="shared" si="39"/>
        <v>2.3904382470119521E-2</v>
      </c>
      <c r="HJ23" s="61">
        <f t="shared" si="39"/>
        <v>4.2801556420233464E-2</v>
      </c>
      <c r="HK23" s="61">
        <f t="shared" si="39"/>
        <v>3.7313432835820895E-3</v>
      </c>
      <c r="HL23" s="61">
        <f t="shared" si="39"/>
        <v>-1.4869888475836431E-2</v>
      </c>
      <c r="HM23" s="61">
        <f t="shared" si="39"/>
        <v>-0.11320754716981132</v>
      </c>
      <c r="HN23" s="61">
        <f>(DG23-DF23)/DF23</f>
        <v>2.1276595744680851E-2</v>
      </c>
      <c r="HP23" s="61">
        <f t="shared" si="4"/>
        <v>1.7361398483577928E-2</v>
      </c>
      <c r="HQ23" s="61">
        <f t="shared" si="5"/>
        <v>1.61103733985201E-2</v>
      </c>
      <c r="HR23" s="61">
        <f t="shared" si="6"/>
        <v>2.14536461466097E-2</v>
      </c>
      <c r="HS23" s="89">
        <f t="shared" si="7"/>
        <v>2.164009111617312E-2</v>
      </c>
      <c r="HT23" s="89">
        <f t="shared" si="8"/>
        <v>2.3689280436937694E-2</v>
      </c>
      <c r="HU23" s="167">
        <f t="shared" si="9"/>
        <v>2.3971422004290532E-2</v>
      </c>
      <c r="HW23" s="168" t="s">
        <v>68</v>
      </c>
      <c r="HX23" s="26">
        <v>2.3971422004290501E-2</v>
      </c>
      <c r="HY23" s="30" t="s">
        <v>134</v>
      </c>
    </row>
    <row r="24" spans="1:233" ht="15" customHeight="1" x14ac:dyDescent="0.2">
      <c r="A24" s="9" t="s">
        <v>146</v>
      </c>
      <c r="B24" s="58" t="s">
        <v>69</v>
      </c>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v>0</v>
      </c>
      <c r="CQ24" s="9">
        <v>35</v>
      </c>
      <c r="CR24" s="9">
        <v>38</v>
      </c>
      <c r="CS24" s="9">
        <v>48</v>
      </c>
      <c r="CT24" s="9">
        <v>39</v>
      </c>
      <c r="CU24" s="9">
        <v>35</v>
      </c>
      <c r="CV24" s="9">
        <v>31</v>
      </c>
      <c r="CW24" s="9">
        <v>27</v>
      </c>
      <c r="CX24" s="36">
        <v>902</v>
      </c>
      <c r="CY24" s="36">
        <v>1469</v>
      </c>
      <c r="CZ24" s="36">
        <v>1187</v>
      </c>
      <c r="DA24" s="36">
        <v>1418</v>
      </c>
      <c r="DB24" s="36">
        <v>1283</v>
      </c>
      <c r="DC24" s="36">
        <v>1554</v>
      </c>
      <c r="DD24" s="36">
        <v>1661</v>
      </c>
      <c r="DE24" s="36">
        <v>1303</v>
      </c>
      <c r="DF24" s="36">
        <v>1406</v>
      </c>
      <c r="DG24" s="36">
        <v>1563</v>
      </c>
      <c r="DH24" s="36">
        <v>1440</v>
      </c>
      <c r="DJ24" s="9"/>
      <c r="DK24" s="9"/>
      <c r="DL24" s="9"/>
      <c r="DM24" s="9"/>
      <c r="DN24" s="9"/>
      <c r="DO24" s="9"/>
      <c r="DP24" s="9"/>
      <c r="DQ24" s="9"/>
      <c r="DR24" s="9"/>
      <c r="DS24" s="9"/>
      <c r="DT24" s="9"/>
      <c r="DU24" s="9"/>
      <c r="DV24" s="9"/>
      <c r="DW24" s="9"/>
      <c r="DX24" s="9"/>
      <c r="DY24" s="9"/>
      <c r="DZ24" s="9"/>
      <c r="EA24" s="9"/>
      <c r="EB24" s="9"/>
      <c r="EC24" s="9"/>
      <c r="ED24" s="9"/>
      <c r="EE24" s="9"/>
      <c r="EF24" s="9"/>
      <c r="EG24" s="9"/>
      <c r="EH24" s="9"/>
      <c r="EI24" s="9"/>
      <c r="EJ24" s="9"/>
      <c r="EK24" s="9"/>
      <c r="EL24" s="9"/>
      <c r="EM24" s="9"/>
      <c r="EN24" s="9"/>
      <c r="EO24" s="9"/>
      <c r="EP24" s="9"/>
      <c r="EQ24" s="9"/>
      <c r="ER24" s="9"/>
      <c r="ES24" s="9"/>
      <c r="ET24" s="9"/>
      <c r="EU24" s="9"/>
      <c r="EV24" s="9"/>
      <c r="EW24" s="9"/>
      <c r="EX24" s="9"/>
      <c r="EY24" s="9"/>
      <c r="EZ24" s="9"/>
      <c r="FA24" s="9"/>
      <c r="FB24" s="9"/>
      <c r="FC24" s="9"/>
      <c r="FD24" s="9"/>
      <c r="FE24" s="9"/>
      <c r="FF24" s="9"/>
      <c r="FG24" s="9"/>
      <c r="FH24" s="9"/>
      <c r="FI24" s="9"/>
      <c r="FJ24" s="9"/>
      <c r="FK24" s="9"/>
      <c r="FL24" s="9"/>
      <c r="FM24" s="9"/>
      <c r="FN24" s="9"/>
      <c r="FO24" s="9"/>
      <c r="FP24" s="9"/>
      <c r="FQ24" s="9"/>
      <c r="FR24" s="9"/>
      <c r="FS24" s="9"/>
      <c r="FT24" s="9"/>
      <c r="FU24" s="9"/>
      <c r="FV24" s="9"/>
      <c r="FW24" s="9"/>
      <c r="FX24" s="9"/>
      <c r="FY24" s="9"/>
      <c r="FZ24" s="9"/>
      <c r="GA24" s="9"/>
      <c r="GB24" s="9"/>
      <c r="GC24" s="9"/>
      <c r="GD24" s="9"/>
      <c r="GE24" s="9"/>
      <c r="GF24" s="9"/>
      <c r="GG24" s="9"/>
      <c r="GH24" s="9"/>
      <c r="GI24" s="9"/>
      <c r="GJ24" s="9"/>
      <c r="GK24" s="9"/>
      <c r="GL24" s="9"/>
      <c r="GM24" s="9"/>
      <c r="GN24" s="9"/>
      <c r="GO24" s="9"/>
      <c r="GP24" s="9"/>
      <c r="GQ24" s="9"/>
      <c r="GR24" s="9"/>
      <c r="GS24" s="9"/>
      <c r="GT24" s="9"/>
      <c r="GU24" s="9"/>
      <c r="GV24" s="9"/>
      <c r="GW24" s="9"/>
      <c r="GX24" s="9"/>
      <c r="GY24" s="61">
        <f t="shared" si="39"/>
        <v>8.5714285714285715E-2</v>
      </c>
      <c r="GZ24" s="61">
        <f t="shared" si="39"/>
        <v>0.26315789473684209</v>
      </c>
      <c r="HA24" s="61">
        <f t="shared" si="39"/>
        <v>-0.1875</v>
      </c>
      <c r="HB24" s="61">
        <f t="shared" si="39"/>
        <v>-0.10256410256410256</v>
      </c>
      <c r="HC24" s="61">
        <f t="shared" si="39"/>
        <v>-0.11428571428571428</v>
      </c>
      <c r="HD24" s="61">
        <f t="shared" si="39"/>
        <v>-0.12903225806451613</v>
      </c>
      <c r="HE24" s="61">
        <f t="shared" si="39"/>
        <v>32.407407407407405</v>
      </c>
      <c r="HF24" s="61">
        <f t="shared" si="39"/>
        <v>0.62860310421286036</v>
      </c>
      <c r="HG24" s="61">
        <f t="shared" si="39"/>
        <v>-0.19196732471068753</v>
      </c>
      <c r="HH24" s="61">
        <f t="shared" si="39"/>
        <v>0.19460825610783489</v>
      </c>
      <c r="HI24" s="61">
        <f t="shared" si="39"/>
        <v>-9.5204513399153742E-2</v>
      </c>
      <c r="HJ24" s="61">
        <f t="shared" si="39"/>
        <v>0.2112236944660951</v>
      </c>
      <c r="HK24" s="61">
        <f t="shared" si="39"/>
        <v>6.8854568854568851E-2</v>
      </c>
      <c r="HL24" s="61">
        <f t="shared" si="39"/>
        <v>-0.21553281155930162</v>
      </c>
      <c r="HM24" s="61">
        <f t="shared" si="39"/>
        <v>7.9048349961627018E-2</v>
      </c>
      <c r="HN24" s="61">
        <f>(DG24-DF24)/DF24</f>
        <v>0.1116642958748222</v>
      </c>
      <c r="HP24" s="61">
        <f t="shared" si="4"/>
        <v>2.0633871957970538</v>
      </c>
      <c r="HQ24" s="61">
        <f t="shared" si="5"/>
        <v>2.0633871957970538</v>
      </c>
      <c r="HR24" s="61">
        <f t="shared" si="6"/>
        <v>2.3679056853107525</v>
      </c>
      <c r="HS24" s="89">
        <f t="shared" si="7"/>
        <v>7.3951459408097941E-2</v>
      </c>
      <c r="HT24" s="89">
        <f t="shared" si="8"/>
        <v>7.3951459408097941E-2</v>
      </c>
      <c r="HU24" s="167">
        <f t="shared" si="9"/>
        <v>7.7284427284427276E-2</v>
      </c>
      <c r="HW24" s="168" t="s">
        <v>69</v>
      </c>
      <c r="HX24" s="26">
        <v>7.7284427284427304E-2</v>
      </c>
      <c r="HY24" s="30" t="s">
        <v>134</v>
      </c>
    </row>
    <row r="25" spans="1:233" ht="15" customHeight="1" x14ac:dyDescent="0.2">
      <c r="A25" s="9" t="s">
        <v>148</v>
      </c>
      <c r="B25" s="58" t="s">
        <v>70</v>
      </c>
      <c r="C25" s="9"/>
      <c r="D25" s="166"/>
      <c r="E25" s="166"/>
      <c r="F25" s="166"/>
      <c r="G25" s="166"/>
      <c r="H25" s="166"/>
      <c r="I25" s="166"/>
      <c r="J25" s="166"/>
      <c r="K25" s="166"/>
      <c r="L25" s="166"/>
      <c r="M25" s="166"/>
      <c r="N25" s="166"/>
      <c r="O25" s="166"/>
      <c r="P25" s="166"/>
      <c r="Q25" s="166"/>
      <c r="R25" s="166"/>
      <c r="S25" s="166"/>
      <c r="T25" s="166"/>
      <c r="U25" s="166"/>
      <c r="V25" s="166"/>
      <c r="W25" s="166"/>
      <c r="X25" s="166"/>
      <c r="Y25" s="166">
        <v>17.706</v>
      </c>
      <c r="Z25" s="166">
        <v>16.344000000000001</v>
      </c>
      <c r="AA25" s="166">
        <v>14.981999999999999</v>
      </c>
      <c r="AB25" s="166">
        <v>14.074</v>
      </c>
      <c r="AC25" s="166">
        <v>12.712</v>
      </c>
      <c r="AD25" s="166">
        <v>16.797999999999998</v>
      </c>
      <c r="AE25" s="166">
        <v>20.884</v>
      </c>
      <c r="AF25" s="166">
        <v>24.97</v>
      </c>
      <c r="AG25" s="166">
        <v>29.51</v>
      </c>
      <c r="AH25" s="166">
        <v>28.602</v>
      </c>
      <c r="AI25" s="166">
        <v>27.24</v>
      </c>
      <c r="AJ25" s="166">
        <v>26.332000000000001</v>
      </c>
      <c r="AK25" s="166">
        <v>24.97</v>
      </c>
      <c r="AL25" s="166">
        <v>41.314</v>
      </c>
      <c r="AM25" s="166">
        <v>57.204000000000001</v>
      </c>
      <c r="AN25" s="166">
        <v>73.093999999999994</v>
      </c>
      <c r="AO25" s="166">
        <v>88.983999999999995</v>
      </c>
      <c r="AP25" s="166">
        <v>84.444000000000003</v>
      </c>
      <c r="AQ25" s="166">
        <v>79.45</v>
      </c>
      <c r="AR25" s="166">
        <v>74.91</v>
      </c>
      <c r="AS25" s="166">
        <v>69.915999999999997</v>
      </c>
      <c r="AT25" s="166">
        <v>83.99</v>
      </c>
      <c r="AU25" s="166">
        <v>97.61</v>
      </c>
      <c r="AV25" s="166">
        <v>111.23</v>
      </c>
      <c r="AW25" s="166">
        <v>124.85</v>
      </c>
      <c r="AX25" s="166">
        <v>129.84399999999999</v>
      </c>
      <c r="AY25" s="166">
        <v>134.83799999999999</v>
      </c>
      <c r="AZ25" s="166">
        <v>139.83199999999999</v>
      </c>
      <c r="BA25" s="166">
        <v>144.37200000000001</v>
      </c>
      <c r="BB25" s="166">
        <v>138.92400000000001</v>
      </c>
      <c r="BC25" s="166">
        <v>133.476</v>
      </c>
      <c r="BD25" s="166">
        <v>128.482</v>
      </c>
      <c r="BE25" s="166">
        <v>123.03400000000001</v>
      </c>
      <c r="BF25" s="166">
        <v>129</v>
      </c>
      <c r="BG25" s="166">
        <v>134</v>
      </c>
      <c r="BH25" s="166">
        <v>140</v>
      </c>
      <c r="BI25" s="166">
        <v>145</v>
      </c>
      <c r="BJ25" s="166">
        <v>148</v>
      </c>
      <c r="BK25" s="166">
        <v>150</v>
      </c>
      <c r="BL25" s="166">
        <v>152</v>
      </c>
      <c r="BM25" s="166">
        <v>155</v>
      </c>
      <c r="BN25" s="166">
        <v>165</v>
      </c>
      <c r="BO25" s="166">
        <v>175</v>
      </c>
      <c r="BP25" s="166">
        <v>185</v>
      </c>
      <c r="BQ25" s="166">
        <v>194</v>
      </c>
      <c r="BR25" s="191">
        <v>170</v>
      </c>
      <c r="BS25" s="166">
        <v>145</v>
      </c>
      <c r="BT25" s="166">
        <v>121</v>
      </c>
      <c r="BU25" s="166">
        <v>96</v>
      </c>
      <c r="BV25" s="166">
        <v>110</v>
      </c>
      <c r="BW25" s="166">
        <v>123</v>
      </c>
      <c r="BX25" s="166">
        <v>137</v>
      </c>
      <c r="BY25" s="166">
        <v>150</v>
      </c>
      <c r="BZ25" s="166">
        <v>109</v>
      </c>
      <c r="CA25" s="166">
        <v>88</v>
      </c>
      <c r="CB25" s="166">
        <v>67</v>
      </c>
      <c r="CC25" s="166">
        <v>83</v>
      </c>
      <c r="CD25" s="166">
        <v>98</v>
      </c>
      <c r="CE25" s="166">
        <v>89</v>
      </c>
      <c r="CF25" s="166">
        <v>94</v>
      </c>
      <c r="CG25" s="166">
        <v>109</v>
      </c>
      <c r="CH25" s="166">
        <v>129</v>
      </c>
      <c r="CI25" s="166">
        <v>89</v>
      </c>
      <c r="CJ25" s="166">
        <v>115</v>
      </c>
      <c r="CK25" s="166">
        <v>124</v>
      </c>
      <c r="CL25" s="166">
        <v>125</v>
      </c>
      <c r="CM25" s="166">
        <v>141</v>
      </c>
      <c r="CN25" s="166">
        <v>94</v>
      </c>
      <c r="CO25" s="166">
        <v>93</v>
      </c>
      <c r="CP25" s="166">
        <v>93</v>
      </c>
      <c r="CQ25" s="166">
        <v>119</v>
      </c>
      <c r="CR25" s="166">
        <v>132</v>
      </c>
      <c r="CS25" s="166">
        <v>41</v>
      </c>
      <c r="CT25" s="166">
        <v>89</v>
      </c>
      <c r="CU25" s="166">
        <v>118</v>
      </c>
      <c r="CV25" s="166">
        <v>123</v>
      </c>
      <c r="CW25" s="166">
        <v>80</v>
      </c>
      <c r="CX25" s="166">
        <v>91</v>
      </c>
      <c r="CY25" s="166">
        <v>104</v>
      </c>
      <c r="CZ25" s="166">
        <v>115</v>
      </c>
      <c r="DA25" s="166">
        <v>119</v>
      </c>
      <c r="DB25" s="166">
        <v>410</v>
      </c>
      <c r="DC25" s="166">
        <v>470</v>
      </c>
      <c r="DD25" s="166">
        <v>460</v>
      </c>
      <c r="DE25" s="166">
        <v>520</v>
      </c>
      <c r="DF25" s="45">
        <v>562</v>
      </c>
      <c r="DG25" s="166">
        <v>580</v>
      </c>
      <c r="DH25" s="9"/>
      <c r="DJ25" s="9"/>
      <c r="DK25" s="9"/>
      <c r="DL25" s="9"/>
      <c r="DM25" s="9"/>
      <c r="DN25" s="9"/>
      <c r="DO25" s="9"/>
      <c r="DP25" s="9"/>
      <c r="DQ25" s="9"/>
      <c r="DR25" s="9"/>
      <c r="DS25" s="9"/>
      <c r="DT25" s="9"/>
      <c r="DU25" s="9"/>
      <c r="DV25" s="9"/>
      <c r="DW25" s="9"/>
      <c r="DX25" s="9"/>
      <c r="DY25" s="9"/>
      <c r="DZ25" s="9"/>
      <c r="EA25" s="9"/>
      <c r="EB25" s="9"/>
      <c r="EC25" s="9"/>
      <c r="ED25" s="9"/>
      <c r="EE25" s="9"/>
      <c r="EF25" s="9"/>
      <c r="EG25" s="61">
        <f t="shared" ref="EG25:FL25" si="48">(Z25-Y25)/Y25</f>
        <v>-7.692307692307683E-2</v>
      </c>
      <c r="EH25" s="61">
        <f t="shared" si="48"/>
        <v>-8.333333333333344E-2</v>
      </c>
      <c r="EI25" s="61">
        <f t="shared" si="48"/>
        <v>-6.0606060606060573E-2</v>
      </c>
      <c r="EJ25" s="61">
        <f t="shared" si="48"/>
        <v>-9.6774193548387108E-2</v>
      </c>
      <c r="EK25" s="61">
        <f t="shared" si="48"/>
        <v>0.32142857142857134</v>
      </c>
      <c r="EL25" s="61">
        <f t="shared" si="48"/>
        <v>0.2432432432432434</v>
      </c>
      <c r="EM25" s="61">
        <f t="shared" si="48"/>
        <v>0.1956521739130434</v>
      </c>
      <c r="EN25" s="61">
        <f t="shared" si="48"/>
        <v>0.18181818181818193</v>
      </c>
      <c r="EO25" s="61">
        <f t="shared" si="48"/>
        <v>-3.0769230769230809E-2</v>
      </c>
      <c r="EP25" s="61">
        <f t="shared" si="48"/>
        <v>-4.7619047619047686E-2</v>
      </c>
      <c r="EQ25" s="61">
        <f t="shared" si="48"/>
        <v>-3.333333333333325E-2</v>
      </c>
      <c r="ER25" s="61">
        <f t="shared" si="48"/>
        <v>-5.1724137931034551E-2</v>
      </c>
      <c r="ES25" s="61">
        <f t="shared" si="48"/>
        <v>0.65454545454545465</v>
      </c>
      <c r="ET25" s="61">
        <f t="shared" si="48"/>
        <v>0.38461538461538464</v>
      </c>
      <c r="EU25" s="61">
        <f t="shared" si="48"/>
        <v>0.27777777777777768</v>
      </c>
      <c r="EV25" s="61">
        <f t="shared" si="48"/>
        <v>0.21739130434782611</v>
      </c>
      <c r="EW25" s="61">
        <f t="shared" si="48"/>
        <v>-5.1020408163265217E-2</v>
      </c>
      <c r="EX25" s="61">
        <f t="shared" si="48"/>
        <v>-5.9139784946236555E-2</v>
      </c>
      <c r="EY25" s="61">
        <f t="shared" si="48"/>
        <v>-5.7142857142857217E-2</v>
      </c>
      <c r="EZ25" s="61">
        <f t="shared" si="48"/>
        <v>-6.6666666666666666E-2</v>
      </c>
      <c r="FA25" s="61">
        <f t="shared" si="48"/>
        <v>0.20129870129870128</v>
      </c>
      <c r="FB25" s="61">
        <f t="shared" si="48"/>
        <v>0.16216216216216223</v>
      </c>
      <c r="FC25" s="61">
        <f t="shared" si="48"/>
        <v>0.13953488372093029</v>
      </c>
      <c r="FD25" s="61">
        <f t="shared" si="48"/>
        <v>0.12244897959183665</v>
      </c>
      <c r="FE25" s="61">
        <f t="shared" si="48"/>
        <v>0.04</v>
      </c>
      <c r="FF25" s="61">
        <f t="shared" si="48"/>
        <v>3.8461538461538464E-2</v>
      </c>
      <c r="FG25" s="61">
        <f t="shared" si="48"/>
        <v>3.7037037037037035E-2</v>
      </c>
      <c r="FH25" s="61">
        <f t="shared" si="48"/>
        <v>3.2467532467532617E-2</v>
      </c>
      <c r="FI25" s="61">
        <f t="shared" si="48"/>
        <v>-3.7735849056603821E-2</v>
      </c>
      <c r="FJ25" s="61">
        <f t="shared" si="48"/>
        <v>-3.9215686274509859E-2</v>
      </c>
      <c r="FK25" s="61">
        <f t="shared" si="48"/>
        <v>-3.7414965986394558E-2</v>
      </c>
      <c r="FL25" s="61">
        <f t="shared" si="48"/>
        <v>-4.2402826855123622E-2</v>
      </c>
      <c r="FM25" s="61">
        <f t="shared" ref="FM25:GR25" si="49">(BF25-BE25)/BE25</f>
        <v>4.8490661118064875E-2</v>
      </c>
      <c r="FN25" s="61">
        <f t="shared" si="49"/>
        <v>3.875968992248062E-2</v>
      </c>
      <c r="FO25" s="61">
        <f t="shared" si="49"/>
        <v>4.4776119402985072E-2</v>
      </c>
      <c r="FP25" s="61">
        <f t="shared" si="49"/>
        <v>3.5714285714285712E-2</v>
      </c>
      <c r="FQ25" s="61">
        <f t="shared" si="49"/>
        <v>2.0689655172413793E-2</v>
      </c>
      <c r="FR25" s="61">
        <f t="shared" si="49"/>
        <v>1.3513513513513514E-2</v>
      </c>
      <c r="FS25" s="61">
        <f t="shared" si="49"/>
        <v>1.3333333333333334E-2</v>
      </c>
      <c r="FT25" s="61">
        <f t="shared" si="49"/>
        <v>1.9736842105263157E-2</v>
      </c>
      <c r="FU25" s="61">
        <f t="shared" si="49"/>
        <v>6.4516129032258063E-2</v>
      </c>
      <c r="FV25" s="61">
        <f t="shared" si="49"/>
        <v>6.0606060606060608E-2</v>
      </c>
      <c r="FW25" s="61">
        <f t="shared" si="49"/>
        <v>5.7142857142857141E-2</v>
      </c>
      <c r="FX25" s="61">
        <f t="shared" si="49"/>
        <v>4.8648648648648651E-2</v>
      </c>
      <c r="FY25" s="61">
        <f t="shared" si="49"/>
        <v>-0.12371134020618557</v>
      </c>
      <c r="FZ25" s="61">
        <f t="shared" si="49"/>
        <v>-0.14705882352941177</v>
      </c>
      <c r="GA25" s="61">
        <f t="shared" si="49"/>
        <v>-0.16551724137931034</v>
      </c>
      <c r="GB25" s="61">
        <f t="shared" si="49"/>
        <v>-0.20661157024793389</v>
      </c>
      <c r="GC25" s="61">
        <f t="shared" si="49"/>
        <v>0.14583333333333334</v>
      </c>
      <c r="GD25" s="61">
        <f t="shared" si="49"/>
        <v>0.11818181818181818</v>
      </c>
      <c r="GE25" s="61">
        <f t="shared" si="49"/>
        <v>0.11382113821138211</v>
      </c>
      <c r="GF25" s="61">
        <f t="shared" si="49"/>
        <v>9.4890510948905105E-2</v>
      </c>
      <c r="GG25" s="61">
        <f t="shared" si="49"/>
        <v>-0.27333333333333332</v>
      </c>
      <c r="GH25" s="61">
        <f t="shared" si="49"/>
        <v>-0.19266055045871561</v>
      </c>
      <c r="GI25" s="61">
        <f t="shared" si="49"/>
        <v>-0.23863636363636365</v>
      </c>
      <c r="GJ25" s="61">
        <f t="shared" si="49"/>
        <v>0.23880597014925373</v>
      </c>
      <c r="GK25" s="61">
        <f t="shared" si="49"/>
        <v>0.18072289156626506</v>
      </c>
      <c r="GL25" s="61">
        <f t="shared" si="49"/>
        <v>-9.1836734693877556E-2</v>
      </c>
      <c r="GM25" s="61">
        <f t="shared" si="49"/>
        <v>5.6179775280898875E-2</v>
      </c>
      <c r="GN25" s="61">
        <f t="shared" si="49"/>
        <v>0.15957446808510639</v>
      </c>
      <c r="GO25" s="61">
        <f t="shared" si="49"/>
        <v>0.1834862385321101</v>
      </c>
      <c r="GP25" s="61">
        <f t="shared" si="49"/>
        <v>-0.31007751937984496</v>
      </c>
      <c r="GQ25" s="61">
        <f t="shared" si="49"/>
        <v>0.29213483146067415</v>
      </c>
      <c r="GR25" s="61">
        <f t="shared" si="49"/>
        <v>7.8260869565217397E-2</v>
      </c>
      <c r="GS25" s="61">
        <f t="shared" ref="GS25:GX25" si="50">(CL25-CK25)/CK25</f>
        <v>8.0645161290322578E-3</v>
      </c>
      <c r="GT25" s="61">
        <f t="shared" si="50"/>
        <v>0.128</v>
      </c>
      <c r="GU25" s="61">
        <f t="shared" si="50"/>
        <v>-0.33333333333333331</v>
      </c>
      <c r="GV25" s="61">
        <f t="shared" si="50"/>
        <v>-1.0638297872340425E-2</v>
      </c>
      <c r="GW25" s="61">
        <f t="shared" si="50"/>
        <v>0</v>
      </c>
      <c r="GX25" s="61">
        <f t="shared" si="50"/>
        <v>0.27956989247311825</v>
      </c>
      <c r="GY25" s="61">
        <f t="shared" si="39"/>
        <v>0.1092436974789916</v>
      </c>
      <c r="GZ25" s="61">
        <f t="shared" si="39"/>
        <v>-0.68939393939393945</v>
      </c>
      <c r="HA25" s="61">
        <f t="shared" si="39"/>
        <v>1.1707317073170731</v>
      </c>
      <c r="HB25" s="61">
        <f t="shared" si="39"/>
        <v>0.3258426966292135</v>
      </c>
      <c r="HC25" s="61">
        <f t="shared" si="39"/>
        <v>4.2372881355932202E-2</v>
      </c>
      <c r="HD25" s="61">
        <f t="shared" si="39"/>
        <v>-0.34959349593495936</v>
      </c>
      <c r="HE25" s="61">
        <f t="shared" si="39"/>
        <v>0.13750000000000001</v>
      </c>
      <c r="HF25" s="61">
        <f t="shared" si="39"/>
        <v>0.14285714285714285</v>
      </c>
      <c r="HG25" s="61">
        <f t="shared" si="39"/>
        <v>0.10576923076923077</v>
      </c>
      <c r="HH25" s="61">
        <f t="shared" si="39"/>
        <v>3.4782608695652174E-2</v>
      </c>
      <c r="HI25" s="61">
        <f t="shared" si="39"/>
        <v>2.4453781512605044</v>
      </c>
      <c r="HJ25" s="61">
        <f t="shared" si="39"/>
        <v>0.14634146341463414</v>
      </c>
      <c r="HK25" s="61">
        <f t="shared" si="39"/>
        <v>-2.1276595744680851E-2</v>
      </c>
      <c r="HL25" s="61">
        <f t="shared" si="39"/>
        <v>0.13043478260869565</v>
      </c>
      <c r="HM25" s="61">
        <f t="shared" si="39"/>
        <v>8.0769230769230774E-2</v>
      </c>
      <c r="HN25" s="61">
        <f>(DG25-DF25)/DF25</f>
        <v>3.2028469750889681E-2</v>
      </c>
      <c r="HP25" s="61">
        <f t="shared" si="4"/>
        <v>7.7580098147282547E-2</v>
      </c>
      <c r="HQ25" s="61">
        <f t="shared" si="5"/>
        <v>0.1395020386299852</v>
      </c>
      <c r="HR25" s="61">
        <f t="shared" si="6"/>
        <v>0.14176204075938667</v>
      </c>
      <c r="HS25" s="89">
        <f t="shared" si="7"/>
        <v>3.9379844961240307E-2</v>
      </c>
      <c r="HT25" s="89">
        <f t="shared" si="8"/>
        <v>9.3269230769230771E-2</v>
      </c>
      <c r="HU25" s="89">
        <f t="shared" si="9"/>
        <v>9.2015050167224083E-2</v>
      </c>
      <c r="HW25" s="168" t="s">
        <v>70</v>
      </c>
      <c r="HX25" s="37" t="s">
        <v>150</v>
      </c>
      <c r="HY25" s="34"/>
    </row>
    <row r="26" spans="1:233" ht="15" customHeight="1" x14ac:dyDescent="0.2">
      <c r="A26" s="9" t="s">
        <v>132</v>
      </c>
      <c r="B26" s="58" t="s">
        <v>71</v>
      </c>
      <c r="C26" s="166"/>
      <c r="D26" s="166"/>
      <c r="E26" s="166"/>
      <c r="F26" s="166"/>
      <c r="G26" s="166"/>
      <c r="H26" s="166"/>
      <c r="I26" s="166"/>
      <c r="J26" s="166"/>
      <c r="K26" s="166"/>
      <c r="L26" s="166"/>
      <c r="M26" s="166"/>
      <c r="N26" s="166"/>
      <c r="O26" s="166"/>
      <c r="P26" s="166"/>
      <c r="Q26" s="166"/>
      <c r="R26" s="166"/>
      <c r="S26" s="166"/>
      <c r="T26" s="166"/>
      <c r="U26" s="166"/>
      <c r="V26" s="166"/>
      <c r="W26" s="166"/>
      <c r="X26" s="166"/>
      <c r="Y26" s="166"/>
      <c r="Z26" s="166"/>
      <c r="AA26" s="166"/>
      <c r="AB26" s="166"/>
      <c r="AC26" s="166"/>
      <c r="AD26" s="166"/>
      <c r="AE26" s="166"/>
      <c r="AF26" s="166"/>
      <c r="AG26" s="166"/>
      <c r="AH26" s="166"/>
      <c r="AI26" s="166"/>
      <c r="AJ26" s="166"/>
      <c r="AK26" s="166"/>
      <c r="AL26" s="166"/>
      <c r="AM26" s="166"/>
      <c r="AN26" s="166"/>
      <c r="AO26" s="166"/>
      <c r="AP26" s="166"/>
      <c r="AQ26" s="166"/>
      <c r="AR26" s="166"/>
      <c r="AS26" s="166"/>
      <c r="AT26" s="166"/>
      <c r="AU26" s="166"/>
      <c r="AV26" s="166"/>
      <c r="AW26" s="166"/>
      <c r="AX26" s="166"/>
      <c r="AY26" s="166"/>
      <c r="AZ26" s="166"/>
      <c r="BA26" s="166"/>
      <c r="BB26" s="166"/>
      <c r="BC26" s="166"/>
      <c r="BD26" s="166"/>
      <c r="BE26" s="166"/>
      <c r="BF26" s="166"/>
      <c r="BG26" s="166"/>
      <c r="BH26" s="166"/>
      <c r="BI26" s="166"/>
      <c r="BJ26" s="166"/>
      <c r="BK26" s="166"/>
      <c r="BL26" s="166"/>
      <c r="BM26" s="166">
        <v>8.1609333673845494</v>
      </c>
      <c r="BN26" s="166">
        <v>8.6113758750200002</v>
      </c>
      <c r="BO26" s="166">
        <v>12.4562912247364</v>
      </c>
      <c r="BP26" s="166">
        <v>16.068928558058001</v>
      </c>
      <c r="BQ26" s="166">
        <v>17.511143782108601</v>
      </c>
      <c r="BR26" s="166">
        <v>14.9291338699944</v>
      </c>
      <c r="BS26" s="166">
        <v>14.3521797633855</v>
      </c>
      <c r="BT26" s="166">
        <v>11.638301914438101</v>
      </c>
      <c r="BU26" s="166">
        <v>18.8831314653312</v>
      </c>
      <c r="BV26" s="166">
        <v>21.994398570731601</v>
      </c>
      <c r="BW26" s="166">
        <v>41.516889729799701</v>
      </c>
      <c r="BX26" s="166">
        <v>42.134654029625899</v>
      </c>
      <c r="BY26" s="166">
        <v>43.5625006648146</v>
      </c>
      <c r="BZ26" s="166">
        <v>47.991511904953001</v>
      </c>
      <c r="CA26" s="166">
        <v>52.694971694477402</v>
      </c>
      <c r="CB26" s="166">
        <v>50.850180918585799</v>
      </c>
      <c r="CC26" s="166">
        <v>43.918569600635102</v>
      </c>
      <c r="CD26" s="166">
        <v>42.184476473845301</v>
      </c>
      <c r="CE26" s="166">
        <v>52.3848142260263</v>
      </c>
      <c r="CF26" s="166">
        <v>49.567380511790098</v>
      </c>
      <c r="CG26" s="166">
        <v>88.710477336119496</v>
      </c>
      <c r="CH26" s="166">
        <v>97.269140044900496</v>
      </c>
      <c r="CI26" s="166">
        <v>93.765499935963405</v>
      </c>
      <c r="CJ26" s="166">
        <v>113.473847516642</v>
      </c>
      <c r="CK26" s="166">
        <v>119.90740443487</v>
      </c>
      <c r="CL26" s="166">
        <v>125.01097416039499</v>
      </c>
      <c r="CM26" s="166">
        <v>138.12805043030801</v>
      </c>
      <c r="CN26" s="166">
        <v>150.752003532179</v>
      </c>
      <c r="CO26" s="166">
        <v>157.668481070144</v>
      </c>
      <c r="CP26" s="166">
        <v>169.082581985595</v>
      </c>
      <c r="CQ26" s="166">
        <v>203.047885545486</v>
      </c>
      <c r="CR26" s="166">
        <v>227.09767249335701</v>
      </c>
      <c r="CS26" s="166">
        <v>206.347389667101</v>
      </c>
      <c r="CT26" s="166">
        <v>212.24208199238899</v>
      </c>
      <c r="CU26" s="166">
        <v>220.21146251536101</v>
      </c>
      <c r="CV26" s="166">
        <v>202.663334495649</v>
      </c>
      <c r="CW26" s="166">
        <v>180.74375461248201</v>
      </c>
      <c r="CX26" s="166">
        <v>172.23091834983501</v>
      </c>
      <c r="CY26" s="166">
        <v>162.867104537372</v>
      </c>
      <c r="CZ26" s="166">
        <v>241.063175676009</v>
      </c>
      <c r="DA26" s="166">
        <v>244.73039664275899</v>
      </c>
      <c r="DB26" s="166">
        <v>257.63457973805401</v>
      </c>
      <c r="DC26" s="166">
        <v>286.00591108392501</v>
      </c>
      <c r="DD26" s="166">
        <v>381.10462901955498</v>
      </c>
      <c r="DE26" s="166">
        <v>373.37687884892398</v>
      </c>
      <c r="DF26" s="166">
        <v>313.813381593511</v>
      </c>
      <c r="DG26" s="166"/>
      <c r="DH26" s="9"/>
      <c r="DJ26" s="9"/>
      <c r="DK26" s="9"/>
      <c r="DL26" s="9"/>
      <c r="DM26" s="9"/>
      <c r="DN26" s="9"/>
      <c r="DO26" s="9"/>
      <c r="DP26" s="9"/>
      <c r="DQ26" s="9"/>
      <c r="DR26" s="9"/>
      <c r="DS26" s="9"/>
      <c r="DT26" s="9"/>
      <c r="DU26" s="9"/>
      <c r="DV26" s="9"/>
      <c r="DW26" s="9"/>
      <c r="DX26" s="9"/>
      <c r="DY26" s="9"/>
      <c r="DZ26" s="9"/>
      <c r="EA26" s="9"/>
      <c r="EB26" s="9"/>
      <c r="EC26" s="9"/>
      <c r="ED26" s="9"/>
      <c r="EE26" s="9"/>
      <c r="EF26" s="9"/>
      <c r="EG26" s="9"/>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61">
        <f t="shared" ref="FU26:GX26" si="51">(BN26-BM26)/BM26</f>
        <v>5.5194974319439948E-2</v>
      </c>
      <c r="FV26" s="61">
        <f t="shared" si="51"/>
        <v>0.44649257046946289</v>
      </c>
      <c r="FW26" s="61">
        <f t="shared" si="51"/>
        <v>0.2900251180822927</v>
      </c>
      <c r="FX26" s="61">
        <f t="shared" si="51"/>
        <v>8.9751797628559338E-2</v>
      </c>
      <c r="FY26" s="61">
        <f t="shared" si="51"/>
        <v>-0.14744952952486626</v>
      </c>
      <c r="FZ26" s="61">
        <f t="shared" si="51"/>
        <v>-3.8646187490387646E-2</v>
      </c>
      <c r="GA26" s="61">
        <f t="shared" si="51"/>
        <v>-0.18909168458653905</v>
      </c>
      <c r="GB26" s="61">
        <f t="shared" si="51"/>
        <v>0.62249884941594424</v>
      </c>
      <c r="GC26" s="61">
        <f t="shared" si="51"/>
        <v>0.16476436183863805</v>
      </c>
      <c r="GD26" s="61">
        <f t="shared" si="51"/>
        <v>0.88761195703014495</v>
      </c>
      <c r="GE26" s="61">
        <f t="shared" si="51"/>
        <v>1.4879830927767795E-2</v>
      </c>
      <c r="GF26" s="61">
        <f t="shared" si="51"/>
        <v>3.3887702843952316E-2</v>
      </c>
      <c r="GG26" s="61">
        <f t="shared" si="51"/>
        <v>0.10167027081885843</v>
      </c>
      <c r="GH26" s="61">
        <f t="shared" si="51"/>
        <v>9.8006076550361351E-2</v>
      </c>
      <c r="GI26" s="61">
        <f t="shared" si="51"/>
        <v>-3.5008857896111995E-2</v>
      </c>
      <c r="GJ26" s="61">
        <f t="shared" si="51"/>
        <v>-0.1363143885180787</v>
      </c>
      <c r="GK26" s="61">
        <f t="shared" si="51"/>
        <v>-3.9484280625676951E-2</v>
      </c>
      <c r="GL26" s="61">
        <f t="shared" si="51"/>
        <v>0.24180311348667055</v>
      </c>
      <c r="GM26" s="61">
        <f t="shared" si="51"/>
        <v>-5.3783405665614042E-2</v>
      </c>
      <c r="GN26" s="61">
        <f t="shared" si="51"/>
        <v>0.78969468267581377</v>
      </c>
      <c r="GO26" s="61">
        <f t="shared" si="51"/>
        <v>9.6478600564312844E-2</v>
      </c>
      <c r="GP26" s="61">
        <f t="shared" si="51"/>
        <v>-3.6020058441143539E-2</v>
      </c>
      <c r="GQ26" s="61">
        <f t="shared" si="51"/>
        <v>0.21018762331708668</v>
      </c>
      <c r="GR26" s="61">
        <f t="shared" si="51"/>
        <v>5.6696384753186994E-2</v>
      </c>
      <c r="GS26" s="61">
        <f t="shared" si="51"/>
        <v>4.2562590271871766E-2</v>
      </c>
      <c r="GT26" s="61">
        <f t="shared" si="51"/>
        <v>0.10492739823851932</v>
      </c>
      <c r="GU26" s="61">
        <f t="shared" si="51"/>
        <v>9.1393117202073035E-2</v>
      </c>
      <c r="GV26" s="61">
        <f t="shared" si="51"/>
        <v>4.587983825029978E-2</v>
      </c>
      <c r="GW26" s="61">
        <f t="shared" si="51"/>
        <v>7.2393041640155489E-2</v>
      </c>
      <c r="GX26" s="61">
        <f t="shared" si="51"/>
        <v>0.20087996741606817</v>
      </c>
      <c r="GY26" s="61">
        <f t="shared" si="39"/>
        <v>0.11844391722308023</v>
      </c>
      <c r="GZ26" s="61">
        <f t="shared" si="39"/>
        <v>-9.1371622608166503E-2</v>
      </c>
      <c r="HA26" s="61">
        <f t="shared" si="39"/>
        <v>2.856683738426671E-2</v>
      </c>
      <c r="HB26" s="61">
        <f t="shared" si="39"/>
        <v>3.7548541025232682E-2</v>
      </c>
      <c r="HC26" s="61">
        <f t="shared" si="39"/>
        <v>-7.9687623065887989E-2</v>
      </c>
      <c r="HD26" s="61">
        <f t="shared" si="39"/>
        <v>-0.10815760007954267</v>
      </c>
      <c r="HE26" s="61">
        <f t="shared" si="39"/>
        <v>-4.7098923450487565E-2</v>
      </c>
      <c r="HF26" s="61">
        <f t="shared" si="39"/>
        <v>-5.4367786586629309E-2</v>
      </c>
      <c r="HG26" s="61">
        <f t="shared" si="39"/>
        <v>0.48012194580823947</v>
      </c>
      <c r="HH26" s="61">
        <f t="shared" si="39"/>
        <v>1.5212696657073709E-2</v>
      </c>
      <c r="HI26" s="61">
        <f t="shared" si="39"/>
        <v>5.2728158301200673E-2</v>
      </c>
      <c r="HJ26" s="61">
        <f t="shared" si="39"/>
        <v>0.11012237322612947</v>
      </c>
      <c r="HK26" s="61">
        <f t="shared" si="39"/>
        <v>0.33250612749652009</v>
      </c>
      <c r="HL26" s="61">
        <f t="shared" si="39"/>
        <v>-2.0277240374937763E-2</v>
      </c>
      <c r="HM26" s="61">
        <f t="shared" si="39"/>
        <v>-0.15952647480218937</v>
      </c>
      <c r="HN26" s="9"/>
      <c r="HP26" s="61">
        <f t="shared" si="4"/>
        <v>0.10436988446993258</v>
      </c>
      <c r="HQ26" s="61">
        <f t="shared" si="5"/>
        <v>7.3130602994301144E-2</v>
      </c>
      <c r="HR26" s="61">
        <f t="shared" si="6"/>
        <v>8.4374220965533195E-2</v>
      </c>
      <c r="HS26" s="89">
        <f t="shared" si="7"/>
        <v>5.2728158301200673E-2</v>
      </c>
      <c r="HT26" s="89">
        <f t="shared" si="8"/>
        <v>4.2562590271871766E-2</v>
      </c>
      <c r="HU26" s="167">
        <f t="shared" si="9"/>
        <v>4.587983825029978E-2</v>
      </c>
      <c r="HW26" s="168" t="s">
        <v>71</v>
      </c>
      <c r="HX26" s="26">
        <v>4.5879838250305997E-2</v>
      </c>
      <c r="HY26" s="30" t="s">
        <v>134</v>
      </c>
    </row>
    <row r="27" spans="1:233" ht="15" customHeight="1" x14ac:dyDescent="0.2">
      <c r="A27" s="9" t="s">
        <v>148</v>
      </c>
      <c r="B27" s="58" t="s">
        <v>287</v>
      </c>
      <c r="C27" s="166"/>
      <c r="D27" s="166"/>
      <c r="E27" s="166"/>
      <c r="F27" s="166"/>
      <c r="G27" s="166"/>
      <c r="H27" s="166"/>
      <c r="I27" s="166"/>
      <c r="J27" s="166"/>
      <c r="K27" s="166"/>
      <c r="L27" s="166"/>
      <c r="M27" s="166"/>
      <c r="N27" s="166"/>
      <c r="O27" s="166"/>
      <c r="P27" s="166"/>
      <c r="Q27" s="166"/>
      <c r="R27" s="166"/>
      <c r="S27" s="166"/>
      <c r="T27" s="166"/>
      <c r="U27" s="166"/>
      <c r="V27" s="166"/>
      <c r="W27" s="166"/>
      <c r="X27" s="166"/>
      <c r="Y27" s="166"/>
      <c r="Z27" s="166"/>
      <c r="AA27" s="166"/>
      <c r="AB27" s="166"/>
      <c r="AC27" s="166"/>
      <c r="AD27" s="166"/>
      <c r="AE27" s="166"/>
      <c r="AF27" s="166"/>
      <c r="AG27" s="166"/>
      <c r="AH27" s="166"/>
      <c r="AI27" s="166"/>
      <c r="AJ27" s="166"/>
      <c r="AK27" s="166"/>
      <c r="AL27" s="166"/>
      <c r="AM27" s="166"/>
      <c r="AN27" s="166"/>
      <c r="AO27" s="166"/>
      <c r="AP27" s="166"/>
      <c r="AQ27" s="166"/>
      <c r="AR27" s="166"/>
      <c r="AS27" s="166"/>
      <c r="AT27" s="166"/>
      <c r="AU27" s="166"/>
      <c r="AV27" s="166"/>
      <c r="AW27" s="166"/>
      <c r="AX27" s="166"/>
      <c r="AY27" s="166"/>
      <c r="AZ27" s="166"/>
      <c r="BA27" s="166"/>
      <c r="BB27" s="166"/>
      <c r="BC27" s="166"/>
      <c r="BD27" s="166"/>
      <c r="BE27" s="166"/>
      <c r="BF27" s="166"/>
      <c r="BG27" s="166"/>
      <c r="BH27" s="166"/>
      <c r="BI27" s="166"/>
      <c r="BJ27" s="166"/>
      <c r="BK27" s="166"/>
      <c r="BL27" s="166"/>
      <c r="BM27" s="166"/>
      <c r="BN27" s="166"/>
      <c r="BO27" s="166"/>
      <c r="BP27" s="166"/>
      <c r="BQ27" s="166"/>
      <c r="BR27" s="166"/>
      <c r="BS27" s="166"/>
      <c r="BT27">
        <v>47831</v>
      </c>
      <c r="BU27">
        <v>43150</v>
      </c>
      <c r="BV27">
        <v>47459</v>
      </c>
      <c r="BW27">
        <v>49480</v>
      </c>
      <c r="BX27">
        <v>47768</v>
      </c>
      <c r="BY27">
        <v>40716</v>
      </c>
      <c r="BZ27">
        <v>46407</v>
      </c>
      <c r="CA27">
        <v>51900</v>
      </c>
      <c r="CB27">
        <v>52184</v>
      </c>
      <c r="CC27">
        <v>48268</v>
      </c>
      <c r="CD27">
        <v>41004</v>
      </c>
      <c r="CE27">
        <v>34395</v>
      </c>
      <c r="CF27">
        <v>33677</v>
      </c>
      <c r="CG27">
        <v>37589</v>
      </c>
      <c r="CH27">
        <v>36262</v>
      </c>
      <c r="CI27">
        <v>34526</v>
      </c>
      <c r="CJ27">
        <v>30823</v>
      </c>
      <c r="CK27">
        <v>26696</v>
      </c>
      <c r="CL27">
        <v>30644</v>
      </c>
      <c r="CM27">
        <v>35143</v>
      </c>
      <c r="CN27">
        <v>45419</v>
      </c>
      <c r="CO27">
        <v>48031</v>
      </c>
      <c r="CP27" s="192">
        <v>66912</v>
      </c>
      <c r="CQ27" s="192">
        <v>60619</v>
      </c>
      <c r="CR27" s="192">
        <v>60347</v>
      </c>
      <c r="CS27" s="192">
        <v>58360</v>
      </c>
      <c r="CT27" s="192">
        <v>66737</v>
      </c>
      <c r="CU27" s="192">
        <v>63310</v>
      </c>
      <c r="CV27" s="192">
        <v>63419</v>
      </c>
      <c r="CW27" s="192">
        <v>73025</v>
      </c>
      <c r="CX27" s="192">
        <v>74018</v>
      </c>
      <c r="CY27" s="192">
        <v>76651</v>
      </c>
      <c r="CZ27" s="192">
        <v>80634</v>
      </c>
      <c r="DA27" s="9">
        <v>83011</v>
      </c>
      <c r="DB27" s="9">
        <v>80393</v>
      </c>
      <c r="DC27" s="9">
        <v>83573</v>
      </c>
      <c r="DD27" s="9">
        <v>81133</v>
      </c>
      <c r="DE27" s="9">
        <v>89822</v>
      </c>
      <c r="DF27" s="9">
        <v>92572</v>
      </c>
      <c r="DG27" s="9">
        <v>99651</v>
      </c>
      <c r="DH27" s="9">
        <v>99276</v>
      </c>
      <c r="DJ27" s="9"/>
      <c r="DK27" s="9"/>
      <c r="DL27" s="9"/>
      <c r="DM27" s="9"/>
      <c r="DN27" s="9"/>
      <c r="DO27" s="9"/>
      <c r="DP27" s="9"/>
      <c r="DQ27" s="9"/>
      <c r="DR27" s="9"/>
      <c r="DS27" s="9"/>
      <c r="DT27" s="9"/>
      <c r="DU27" s="9"/>
      <c r="DV27" s="9"/>
      <c r="DW27" s="9"/>
      <c r="DX27" s="9"/>
      <c r="DY27" s="9"/>
      <c r="DZ27" s="9"/>
      <c r="EA27" s="9"/>
      <c r="EB27" s="9"/>
      <c r="EC27" s="9"/>
      <c r="ED27" s="9"/>
      <c r="EE27" s="9"/>
      <c r="EF27" s="9"/>
      <c r="EG27" s="9"/>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61"/>
      <c r="FV27" s="61"/>
      <c r="FW27" s="61"/>
      <c r="FX27" s="61"/>
      <c r="FY27" s="61"/>
      <c r="FZ27" s="61"/>
      <c r="GA27" s="61"/>
      <c r="GB27" s="61">
        <f t="shared" ref="GB27:GX27" si="52">(BU27-BT27)/BT27</f>
        <v>-9.7865401099705207E-2</v>
      </c>
      <c r="GC27" s="61">
        <f t="shared" si="52"/>
        <v>9.9860950173812288E-2</v>
      </c>
      <c r="GD27" s="61">
        <f t="shared" si="52"/>
        <v>4.258412524494827E-2</v>
      </c>
      <c r="GE27" s="61">
        <f t="shared" si="52"/>
        <v>-3.459983831851253E-2</v>
      </c>
      <c r="GF27" s="61">
        <f t="shared" si="52"/>
        <v>-0.14763021269469101</v>
      </c>
      <c r="GG27" s="61">
        <f t="shared" si="52"/>
        <v>0.13977306218685528</v>
      </c>
      <c r="GH27" s="61">
        <f t="shared" si="52"/>
        <v>0.11836576378563579</v>
      </c>
      <c r="GI27" s="61">
        <f t="shared" si="52"/>
        <v>5.4720616570327549E-3</v>
      </c>
      <c r="GJ27" s="61">
        <f t="shared" si="52"/>
        <v>-7.5042158516020238E-2</v>
      </c>
      <c r="GK27" s="61">
        <f t="shared" si="52"/>
        <v>-0.15049308030164912</v>
      </c>
      <c r="GL27" s="61">
        <f t="shared" si="52"/>
        <v>-0.16117939713198712</v>
      </c>
      <c r="GM27" s="61">
        <f t="shared" si="52"/>
        <v>-2.0875127198720745E-2</v>
      </c>
      <c r="GN27" s="61">
        <f t="shared" si="52"/>
        <v>0.11616236600647326</v>
      </c>
      <c r="GO27" s="61">
        <f t="shared" si="52"/>
        <v>-3.5302881162042089E-2</v>
      </c>
      <c r="GP27" s="61">
        <f t="shared" si="52"/>
        <v>-4.7873807291379404E-2</v>
      </c>
      <c r="GQ27" s="61">
        <f t="shared" si="52"/>
        <v>-0.10725250535828072</v>
      </c>
      <c r="GR27" s="61">
        <f t="shared" si="52"/>
        <v>-0.13389352107192681</v>
      </c>
      <c r="GS27" s="61">
        <f t="shared" si="52"/>
        <v>0.14788732394366197</v>
      </c>
      <c r="GT27" s="61">
        <f t="shared" si="52"/>
        <v>0.14681503720140973</v>
      </c>
      <c r="GU27" s="61">
        <f t="shared" si="52"/>
        <v>0.29240531542554704</v>
      </c>
      <c r="GV27" s="61">
        <f t="shared" si="52"/>
        <v>5.7508972016116607E-2</v>
      </c>
      <c r="GW27" s="61">
        <f t="shared" si="52"/>
        <v>0.39310028939643149</v>
      </c>
      <c r="GX27" s="61">
        <f t="shared" si="52"/>
        <v>-9.4048900047824013E-2</v>
      </c>
      <c r="GY27" s="61">
        <f t="shared" si="39"/>
        <v>-4.4870420165294706E-3</v>
      </c>
      <c r="GZ27" s="61">
        <f t="shared" si="39"/>
        <v>-3.2926243226672411E-2</v>
      </c>
      <c r="HA27" s="61">
        <f t="shared" si="39"/>
        <v>0.14354009595613434</v>
      </c>
      <c r="HB27" s="61">
        <f t="shared" si="39"/>
        <v>-5.1350824879751865E-2</v>
      </c>
      <c r="HC27" s="61">
        <f t="shared" si="39"/>
        <v>1.7216869372926869E-3</v>
      </c>
      <c r="HD27" s="61">
        <f t="shared" si="39"/>
        <v>0.15146880272473548</v>
      </c>
      <c r="HE27" s="61">
        <f t="shared" si="39"/>
        <v>1.359808284833961E-2</v>
      </c>
      <c r="HF27" s="61">
        <f t="shared" si="39"/>
        <v>3.5572428328244483E-2</v>
      </c>
      <c r="HG27" s="61">
        <f t="shared" si="39"/>
        <v>5.1962792396707154E-2</v>
      </c>
      <c r="HH27" s="61">
        <f t="shared" si="39"/>
        <v>2.9478879876974975E-2</v>
      </c>
      <c r="HI27" s="61">
        <f t="shared" si="39"/>
        <v>-3.1537988941224657E-2</v>
      </c>
      <c r="HJ27" s="61">
        <f t="shared" si="39"/>
        <v>3.9555682708693543E-2</v>
      </c>
      <c r="HK27" s="61">
        <f t="shared" si="39"/>
        <v>-2.9196032211360128E-2</v>
      </c>
      <c r="HL27" s="61">
        <f t="shared" si="39"/>
        <v>0.10709575635068344</v>
      </c>
      <c r="HM27" s="61">
        <f t="shared" si="39"/>
        <v>3.0616107412437931E-2</v>
      </c>
      <c r="HN27" s="61">
        <f>(DG27-DF27)/DF27</f>
        <v>7.6470206974031021E-2</v>
      </c>
      <c r="HO27" s="61"/>
      <c r="HP27" s="61">
        <f t="shared" si="4"/>
        <v>2.52682263611262E-2</v>
      </c>
      <c r="HQ27" s="89">
        <f t="shared" si="5"/>
        <v>2.703038683767434E-2</v>
      </c>
      <c r="HR27" s="61">
        <f t="shared" si="6"/>
        <v>2.4242017168081918E-2</v>
      </c>
      <c r="HS27" s="89">
        <f t="shared" si="7"/>
        <v>1.359808284833961E-2</v>
      </c>
      <c r="HT27" s="167">
        <f t="shared" si="8"/>
        <v>9.5350722526861831E-3</v>
      </c>
      <c r="HU27" s="89">
        <f t="shared" si="9"/>
        <v>3.5968742971627206E-3</v>
      </c>
      <c r="HW27" s="168" t="s">
        <v>74</v>
      </c>
      <c r="HX27" s="26">
        <f>MEDIAN($GI27:$HN27)</f>
        <v>9.5350722526861831E-3</v>
      </c>
      <c r="HY27" s="30" t="s">
        <v>147</v>
      </c>
    </row>
    <row r="28" spans="1:233" ht="15" customHeight="1" x14ac:dyDescent="0.2">
      <c r="A28" s="9" t="s">
        <v>240</v>
      </c>
      <c r="B28" s="58" t="s">
        <v>73</v>
      </c>
      <c r="C28" s="9"/>
      <c r="D28" s="166"/>
      <c r="E28" s="166"/>
      <c r="F28" s="166"/>
      <c r="G28" s="166"/>
      <c r="H28" s="166"/>
      <c r="I28" s="166"/>
      <c r="J28" s="9">
        <v>82392.026578072997</v>
      </c>
      <c r="K28" s="166"/>
      <c r="L28" s="166"/>
      <c r="M28" s="166"/>
      <c r="N28" s="166"/>
      <c r="O28" s="166"/>
      <c r="P28" s="166"/>
      <c r="Q28" s="166"/>
      <c r="R28" s="166"/>
      <c r="S28" s="166"/>
      <c r="T28" s="9">
        <v>159468.43853820601</v>
      </c>
      <c r="U28" s="166"/>
      <c r="V28" s="166"/>
      <c r="W28" s="166"/>
      <c r="X28" s="166"/>
      <c r="Y28" s="166"/>
      <c r="Z28" s="166"/>
      <c r="AA28" s="166"/>
      <c r="AB28" s="166"/>
      <c r="AC28" s="166"/>
      <c r="AD28" s="9">
        <v>111627.90697674399</v>
      </c>
      <c r="AE28" s="166"/>
      <c r="AF28" s="166"/>
      <c r="AG28" s="166"/>
      <c r="AH28" s="166"/>
      <c r="AI28" s="166"/>
      <c r="AJ28" s="166"/>
      <c r="AK28" s="166"/>
      <c r="AL28" s="166"/>
      <c r="AM28" s="166"/>
      <c r="AN28" s="9">
        <v>164784.05315614599</v>
      </c>
      <c r="AO28" s="166"/>
      <c r="AP28" s="166"/>
      <c r="AQ28" s="166"/>
      <c r="AR28" s="166"/>
      <c r="AS28" s="166"/>
      <c r="AT28" s="166"/>
      <c r="AU28" s="166"/>
      <c r="AV28" s="166"/>
      <c r="AW28" s="166"/>
      <c r="AX28" s="9">
        <v>198449.61240310001</v>
      </c>
      <c r="AY28" s="166"/>
      <c r="AZ28" s="166"/>
      <c r="BA28" s="166"/>
      <c r="BB28" s="166"/>
      <c r="BC28" s="166"/>
      <c r="BD28" s="166"/>
      <c r="BE28" s="166"/>
      <c r="BF28" s="166"/>
      <c r="BG28" s="166"/>
      <c r="BH28" s="9">
        <v>223698.781838316</v>
      </c>
      <c r="BI28" s="166"/>
      <c r="BJ28" s="166"/>
      <c r="BK28" s="166"/>
      <c r="BL28" s="166"/>
      <c r="BM28" s="166"/>
      <c r="BN28" s="166"/>
      <c r="BO28" s="166"/>
      <c r="BP28" s="166"/>
      <c r="BQ28" s="166"/>
      <c r="BR28" s="9">
        <v>220598.006644518</v>
      </c>
      <c r="BS28" s="166"/>
      <c r="BT28" s="166"/>
      <c r="BU28" s="166"/>
      <c r="BV28" s="166"/>
      <c r="BW28" s="166"/>
      <c r="BX28" s="166"/>
      <c r="BY28" s="166"/>
      <c r="BZ28" s="166"/>
      <c r="CA28" s="166"/>
      <c r="CB28" s="9">
        <v>228571.428571428</v>
      </c>
      <c r="CC28" s="166"/>
      <c r="CD28" s="166"/>
      <c r="CE28" s="166"/>
      <c r="CF28" s="166"/>
      <c r="CG28" s="166"/>
      <c r="CH28" s="166"/>
      <c r="CI28" s="166"/>
      <c r="CJ28" s="166"/>
      <c r="CK28" s="166"/>
      <c r="CL28" s="9">
        <v>276411.96013288997</v>
      </c>
      <c r="CM28" s="166"/>
      <c r="CN28" s="166"/>
      <c r="CO28" s="166"/>
      <c r="CP28" s="166"/>
      <c r="CQ28" s="166"/>
      <c r="CR28" s="166"/>
      <c r="CS28" s="166"/>
      <c r="CT28" s="166"/>
      <c r="CU28" s="166"/>
      <c r="CV28" s="9">
        <v>349944.62901439599</v>
      </c>
      <c r="CW28" s="166"/>
      <c r="CX28" s="166"/>
      <c r="CY28" s="166"/>
      <c r="CZ28" s="166"/>
      <c r="DA28" s="166"/>
      <c r="DB28" s="166"/>
      <c r="DC28" s="166"/>
      <c r="DD28" s="166"/>
      <c r="DE28" s="166"/>
      <c r="DF28" s="9">
        <v>341528.23920265702</v>
      </c>
      <c r="DG28" s="166"/>
      <c r="DH28" s="9"/>
      <c r="DJ28" s="9"/>
      <c r="DK28" s="9"/>
      <c r="DL28" s="9"/>
      <c r="DM28" s="9"/>
      <c r="DN28" s="9"/>
      <c r="DO28" s="9"/>
      <c r="DP28" s="9"/>
      <c r="DQ28" s="61">
        <f>(T28-J28)/(10*J28)</f>
        <v>9.354838709677446E-2</v>
      </c>
      <c r="DR28" s="9"/>
      <c r="DS28" s="9"/>
      <c r="DT28" s="9"/>
      <c r="DU28" s="9"/>
      <c r="DV28" s="9"/>
      <c r="DW28" s="9"/>
      <c r="DX28" s="9"/>
      <c r="DY28" s="9"/>
      <c r="DZ28" s="9"/>
      <c r="EA28" s="61">
        <f>(AD28-T28)/(10*T28)</f>
        <v>-3.0000000000000134E-2</v>
      </c>
      <c r="EB28" s="61"/>
      <c r="EC28" s="61"/>
      <c r="ED28" s="61"/>
      <c r="EE28" s="61"/>
      <c r="EF28" s="61"/>
      <c r="EG28" s="61"/>
      <c r="EH28" s="61"/>
      <c r="EI28" s="61"/>
      <c r="EJ28" s="61"/>
      <c r="EK28" s="61">
        <f>(AN28-AD28)/(10*AD28)</f>
        <v>4.7619047619047707E-2</v>
      </c>
      <c r="EL28" s="61"/>
      <c r="EM28" s="61"/>
      <c r="EN28" s="61"/>
      <c r="EO28" s="61"/>
      <c r="EP28" s="61"/>
      <c r="EQ28" s="61"/>
      <c r="ER28" s="61"/>
      <c r="ES28" s="61"/>
      <c r="ET28" s="61"/>
      <c r="EU28" s="61">
        <f>(AX28-AN28)/(10*AN28)</f>
        <v>2.0430107526881392E-2</v>
      </c>
      <c r="EV28" s="61"/>
      <c r="EW28" s="61"/>
      <c r="EX28" s="61"/>
      <c r="EY28" s="61"/>
      <c r="EZ28" s="61"/>
      <c r="FA28" s="61"/>
      <c r="FB28" s="61"/>
      <c r="FC28" s="61"/>
      <c r="FD28" s="61"/>
      <c r="FE28" s="61">
        <f>(BH28-AX28)/(10*AX28)</f>
        <v>1.272321428571436E-2</v>
      </c>
      <c r="FF28" s="61"/>
      <c r="FG28" s="61"/>
      <c r="FH28" s="61"/>
      <c r="FI28" s="61"/>
      <c r="FJ28" s="61"/>
      <c r="FK28" s="61"/>
      <c r="FL28" s="61"/>
      <c r="FM28" s="61"/>
      <c r="FN28" s="61"/>
      <c r="FO28" s="61">
        <f>(BR28-BH28)/(10*BH28)</f>
        <v>-1.3861386138611924E-3</v>
      </c>
      <c r="FP28" s="61"/>
      <c r="FQ28" s="61"/>
      <c r="FR28" s="61"/>
      <c r="FS28" s="61"/>
      <c r="FT28" s="61"/>
      <c r="FU28" s="61"/>
      <c r="FV28" s="61"/>
      <c r="FW28" s="61"/>
      <c r="FX28" s="61"/>
      <c r="FY28" s="61">
        <f>(CB28-BR28)/(10*BR28)</f>
        <v>3.6144578313251695E-3</v>
      </c>
      <c r="FZ28" s="61"/>
      <c r="GA28" s="61"/>
      <c r="GB28" s="61"/>
      <c r="GC28" s="61"/>
      <c r="GD28" s="61"/>
      <c r="GE28" s="61"/>
      <c r="GF28" s="61"/>
      <c r="GG28" s="61"/>
      <c r="GH28" s="61"/>
      <c r="GI28" s="61">
        <f>(CL28-CB28)/(10*CB28)</f>
        <v>2.0930232558139666E-2</v>
      </c>
      <c r="GJ28" s="61"/>
      <c r="GK28" s="61"/>
      <c r="GL28" s="61"/>
      <c r="GM28" s="61"/>
      <c r="GN28" s="61"/>
      <c r="GO28" s="61"/>
      <c r="GP28" s="61"/>
      <c r="GQ28" s="61"/>
      <c r="GR28" s="61"/>
      <c r="GS28" s="61">
        <f>(CV28-CL28)/(10*CL28)</f>
        <v>2.6602564102564116E-2</v>
      </c>
      <c r="GT28" s="61"/>
      <c r="GU28" s="61"/>
      <c r="GV28" s="61"/>
      <c r="GW28" s="61"/>
      <c r="GX28" s="61"/>
      <c r="GY28" s="61"/>
      <c r="GZ28" s="61"/>
      <c r="HA28" s="61"/>
      <c r="HB28" s="61"/>
      <c r="HC28" s="61">
        <f>(DF28-CV28)/(10*CV28)</f>
        <v>-2.4050632911393373E-3</v>
      </c>
      <c r="HD28" s="61"/>
      <c r="HE28" s="61"/>
      <c r="HF28" s="61"/>
      <c r="HG28" s="61"/>
      <c r="HH28" s="61"/>
      <c r="HI28" s="61"/>
      <c r="HJ28" s="61"/>
      <c r="HK28" s="61"/>
      <c r="HL28" s="61"/>
      <c r="HM28" s="61">
        <f>(DP28-DF28)/(10*DF28)</f>
        <v>-0.1</v>
      </c>
      <c r="HN28" s="61"/>
      <c r="HP28" s="61">
        <f t="shared" si="4"/>
        <v>8.3342553741314711E-3</v>
      </c>
      <c r="HQ28" s="61">
        <f t="shared" si="5"/>
        <v>-1.3718066657608888E-2</v>
      </c>
      <c r="HR28" s="61">
        <f t="shared" si="6"/>
        <v>1.5042577789854817E-2</v>
      </c>
      <c r="HS28" s="89">
        <f t="shared" si="7"/>
        <v>1.272321428571436E-2</v>
      </c>
      <c r="HT28" s="89">
        <f t="shared" si="8"/>
        <v>9.2625846335001646E-3</v>
      </c>
      <c r="HU28" s="167">
        <f t="shared" si="9"/>
        <v>2.0930232558139666E-2</v>
      </c>
      <c r="HW28" s="168" t="s">
        <v>73</v>
      </c>
      <c r="HX28" s="46">
        <v>2.0930232558139701E-2</v>
      </c>
      <c r="HY28" s="30" t="s">
        <v>134</v>
      </c>
    </row>
    <row r="29" spans="1:233" ht="15" customHeight="1" x14ac:dyDescent="0.2">
      <c r="A29" s="9" t="s">
        <v>132</v>
      </c>
      <c r="B29" s="58" t="s">
        <v>75</v>
      </c>
      <c r="C29" s="166"/>
      <c r="D29" s="166"/>
      <c r="E29" s="166"/>
      <c r="F29" s="166"/>
      <c r="G29" s="166"/>
      <c r="H29" s="166"/>
      <c r="I29" s="166"/>
      <c r="J29" s="166">
        <v>2352</v>
      </c>
      <c r="K29" s="166">
        <v>2352</v>
      </c>
      <c r="L29" s="166">
        <v>2352</v>
      </c>
      <c r="M29" s="166">
        <v>3304</v>
      </c>
      <c r="N29" s="166">
        <v>4256</v>
      </c>
      <c r="O29" s="166">
        <v>5208</v>
      </c>
      <c r="P29" s="166">
        <v>6160</v>
      </c>
      <c r="Q29" s="166">
        <v>6036.8</v>
      </c>
      <c r="R29" s="166">
        <v>5913.6</v>
      </c>
      <c r="S29" s="166">
        <v>5791.52</v>
      </c>
      <c r="T29" s="166">
        <v>5668.32</v>
      </c>
      <c r="U29" s="166">
        <v>4368</v>
      </c>
      <c r="V29" s="166">
        <v>3024</v>
      </c>
      <c r="W29" s="166">
        <v>1680</v>
      </c>
      <c r="X29" s="166">
        <v>366.24</v>
      </c>
      <c r="Y29" s="166">
        <v>1008</v>
      </c>
      <c r="Z29" s="166">
        <v>1680</v>
      </c>
      <c r="AA29" s="166">
        <v>2352</v>
      </c>
      <c r="AB29" s="166">
        <v>2942.24</v>
      </c>
      <c r="AC29" s="166">
        <v>3248</v>
      </c>
      <c r="AD29" s="166">
        <v>3584</v>
      </c>
      <c r="AE29" s="166">
        <v>3886.4</v>
      </c>
      <c r="AF29" s="166">
        <v>4180.96</v>
      </c>
      <c r="AG29" s="166">
        <v>3584</v>
      </c>
      <c r="AH29" s="166">
        <v>2912</v>
      </c>
      <c r="AI29" s="166">
        <v>2240</v>
      </c>
      <c r="AJ29" s="166">
        <v>1584.8</v>
      </c>
      <c r="AK29" s="166">
        <v>1960</v>
      </c>
      <c r="AL29" s="166">
        <v>2352</v>
      </c>
      <c r="AM29" s="166">
        <v>2727.2</v>
      </c>
      <c r="AN29" s="166">
        <v>3101.28</v>
      </c>
      <c r="AO29" s="166">
        <v>4490.08</v>
      </c>
      <c r="AP29" s="166">
        <v>3541.44</v>
      </c>
      <c r="AQ29" s="166">
        <v>5556.32</v>
      </c>
      <c r="AR29" s="166">
        <v>5712</v>
      </c>
      <c r="AS29" s="166">
        <v>5729.92</v>
      </c>
      <c r="AT29" s="166">
        <v>5997.6</v>
      </c>
      <c r="AU29" s="166">
        <v>7817.6</v>
      </c>
      <c r="AV29" s="166">
        <v>8500.7999999999993</v>
      </c>
      <c r="AW29" s="166">
        <v>8998.08</v>
      </c>
      <c r="AX29" s="166">
        <v>10416</v>
      </c>
      <c r="AY29" s="166">
        <v>9856</v>
      </c>
      <c r="AZ29" s="166">
        <v>10640</v>
      </c>
      <c r="BA29" s="166">
        <v>9408</v>
      </c>
      <c r="BB29" s="166">
        <v>8624</v>
      </c>
      <c r="BC29" s="166">
        <v>9632</v>
      </c>
      <c r="BD29" s="166">
        <v>9856</v>
      </c>
      <c r="BE29" s="166">
        <v>9632</v>
      </c>
      <c r="BF29" s="166">
        <v>10976</v>
      </c>
      <c r="BG29" s="166">
        <v>10640</v>
      </c>
      <c r="BH29" s="166">
        <v>18800</v>
      </c>
      <c r="BI29" s="166">
        <v>17100</v>
      </c>
      <c r="BJ29" s="166">
        <v>18500</v>
      </c>
      <c r="BK29" s="166">
        <v>19600</v>
      </c>
      <c r="BL29" s="166">
        <v>19900</v>
      </c>
      <c r="BM29" s="166">
        <v>26000</v>
      </c>
      <c r="BN29" s="166">
        <v>29400</v>
      </c>
      <c r="BO29" s="166">
        <v>30300</v>
      </c>
      <c r="BP29" s="166">
        <v>28700</v>
      </c>
      <c r="BQ29" s="166">
        <v>30600</v>
      </c>
      <c r="BR29" s="166">
        <v>38000</v>
      </c>
      <c r="BS29" s="166">
        <v>35000</v>
      </c>
      <c r="BT29" s="166">
        <v>32800</v>
      </c>
      <c r="BU29" s="166">
        <v>28200</v>
      </c>
      <c r="BV29" s="166">
        <v>31100</v>
      </c>
      <c r="BW29" s="166">
        <v>31700</v>
      </c>
      <c r="BX29" s="166">
        <v>32500</v>
      </c>
      <c r="BY29" s="166">
        <v>31900</v>
      </c>
      <c r="BZ29" s="166">
        <v>33600</v>
      </c>
      <c r="CA29" s="166">
        <v>35900</v>
      </c>
      <c r="CB29" s="166">
        <v>33900</v>
      </c>
      <c r="CC29" s="166">
        <v>31300</v>
      </c>
      <c r="CD29" s="166">
        <v>28200</v>
      </c>
      <c r="CE29" s="166">
        <v>33400</v>
      </c>
      <c r="CF29" s="166">
        <v>33900</v>
      </c>
      <c r="CG29" s="166">
        <v>33700</v>
      </c>
      <c r="CH29" s="166">
        <v>35100</v>
      </c>
      <c r="CI29" s="166">
        <v>37100</v>
      </c>
      <c r="CJ29" s="166">
        <v>41800</v>
      </c>
      <c r="CK29" s="166">
        <v>42800</v>
      </c>
      <c r="CL29" s="166">
        <v>43000</v>
      </c>
      <c r="CM29" s="166">
        <v>58000</v>
      </c>
      <c r="CN29" s="166">
        <v>60000</v>
      </c>
      <c r="CO29" s="166">
        <v>41000</v>
      </c>
      <c r="CP29" s="166">
        <v>40200</v>
      </c>
      <c r="CQ29" s="166">
        <v>58200</v>
      </c>
      <c r="CR29" s="166">
        <v>55700</v>
      </c>
      <c r="CS29" s="166">
        <v>58500</v>
      </c>
      <c r="CT29" s="166">
        <v>55500</v>
      </c>
      <c r="CU29" s="166">
        <v>53500</v>
      </c>
      <c r="CV29" s="166">
        <v>57600</v>
      </c>
      <c r="CW29" s="166">
        <v>62400</v>
      </c>
      <c r="CX29" s="166">
        <v>74000</v>
      </c>
      <c r="CY29" s="166">
        <v>79000</v>
      </c>
      <c r="CZ29" s="166">
        <v>82700</v>
      </c>
      <c r="DA29" s="166">
        <v>77800</v>
      </c>
      <c r="DB29" s="166">
        <v>79000</v>
      </c>
      <c r="DC29" s="166">
        <v>71200</v>
      </c>
      <c r="DD29" s="166">
        <v>71200</v>
      </c>
      <c r="DE29" s="166">
        <v>86800</v>
      </c>
      <c r="DF29" s="45">
        <v>105000</v>
      </c>
      <c r="DG29" s="166">
        <v>110000</v>
      </c>
      <c r="DH29" s="9"/>
      <c r="DJ29" s="9"/>
      <c r="DK29" s="9"/>
      <c r="DL29" s="9"/>
      <c r="DM29" s="9"/>
      <c r="DN29" s="9"/>
      <c r="DO29" s="9"/>
      <c r="DP29" s="9"/>
      <c r="DQ29" s="9"/>
      <c r="DR29" s="61">
        <f t="shared" ref="DR29:EW29" si="53">(K29-J29)/J29</f>
        <v>0</v>
      </c>
      <c r="DS29" s="61">
        <f t="shared" si="53"/>
        <v>0</v>
      </c>
      <c r="DT29" s="61">
        <f t="shared" si="53"/>
        <v>0.40476190476190477</v>
      </c>
      <c r="DU29" s="61">
        <f t="shared" si="53"/>
        <v>0.28813559322033899</v>
      </c>
      <c r="DV29" s="61">
        <f t="shared" si="53"/>
        <v>0.22368421052631579</v>
      </c>
      <c r="DW29" s="61">
        <f t="shared" si="53"/>
        <v>0.18279569892473119</v>
      </c>
      <c r="DX29" s="61">
        <f t="shared" si="53"/>
        <v>-1.9999999999999969E-2</v>
      </c>
      <c r="DY29" s="61">
        <f t="shared" si="53"/>
        <v>-2.0408163265306093E-2</v>
      </c>
      <c r="DZ29" s="61">
        <f t="shared" si="53"/>
        <v>-2.0643939393939381E-2</v>
      </c>
      <c r="EA29" s="61">
        <f t="shared" si="53"/>
        <v>-2.1272481144846381E-2</v>
      </c>
      <c r="EB29" s="61">
        <f t="shared" si="53"/>
        <v>-0.22940130409010073</v>
      </c>
      <c r="EC29" s="61">
        <f t="shared" si="53"/>
        <v>-0.30769230769230771</v>
      </c>
      <c r="ED29" s="61">
        <f t="shared" si="53"/>
        <v>-0.44444444444444442</v>
      </c>
      <c r="EE29" s="61">
        <f t="shared" si="53"/>
        <v>-0.78200000000000003</v>
      </c>
      <c r="EF29" s="61">
        <f t="shared" si="53"/>
        <v>1.7522935779816513</v>
      </c>
      <c r="EG29" s="61">
        <f t="shared" si="53"/>
        <v>0.66666666666666663</v>
      </c>
      <c r="EH29" s="61">
        <f t="shared" si="53"/>
        <v>0.4</v>
      </c>
      <c r="EI29" s="61">
        <f t="shared" si="53"/>
        <v>0.25095238095238087</v>
      </c>
      <c r="EJ29" s="61">
        <f t="shared" si="53"/>
        <v>0.10392082223068147</v>
      </c>
      <c r="EK29" s="61">
        <f t="shared" si="53"/>
        <v>0.10344827586206896</v>
      </c>
      <c r="EL29" s="61">
        <f t="shared" si="53"/>
        <v>8.4375000000000019E-2</v>
      </c>
      <c r="EM29" s="61">
        <f t="shared" si="53"/>
        <v>7.5792507204610934E-2</v>
      </c>
      <c r="EN29" s="61">
        <f t="shared" si="53"/>
        <v>-0.14278060541119744</v>
      </c>
      <c r="EO29" s="61">
        <f t="shared" si="53"/>
        <v>-0.1875</v>
      </c>
      <c r="EP29" s="61">
        <f t="shared" si="53"/>
        <v>-0.23076923076923078</v>
      </c>
      <c r="EQ29" s="61">
        <f t="shared" si="53"/>
        <v>-0.29250000000000004</v>
      </c>
      <c r="ER29" s="61">
        <f t="shared" si="53"/>
        <v>0.2367491166077739</v>
      </c>
      <c r="ES29" s="61">
        <f t="shared" si="53"/>
        <v>0.2</v>
      </c>
      <c r="ET29" s="61">
        <f t="shared" si="53"/>
        <v>0.15952380952380946</v>
      </c>
      <c r="EU29" s="61">
        <f t="shared" si="53"/>
        <v>0.13716632443531843</v>
      </c>
      <c r="EV29" s="61">
        <f t="shared" si="53"/>
        <v>0.44781509570241951</v>
      </c>
      <c r="EW29" s="61">
        <f t="shared" si="53"/>
        <v>-0.21127463207782488</v>
      </c>
      <c r="EX29" s="61">
        <f t="shared" ref="EX29:GC29" si="54">(AQ29-AP29)/AP29</f>
        <v>0.56894370651486392</v>
      </c>
      <c r="EY29" s="61">
        <f t="shared" si="54"/>
        <v>2.8018544648256455E-2</v>
      </c>
      <c r="EZ29" s="61">
        <f t="shared" si="54"/>
        <v>3.1372549019607972E-3</v>
      </c>
      <c r="FA29" s="61">
        <f t="shared" si="54"/>
        <v>4.6716184519155643E-2</v>
      </c>
      <c r="FB29" s="61">
        <f t="shared" si="54"/>
        <v>0.30345471521942108</v>
      </c>
      <c r="FC29" s="61">
        <f t="shared" si="54"/>
        <v>8.7392550143266329E-2</v>
      </c>
      <c r="FD29" s="61">
        <f t="shared" si="54"/>
        <v>5.8498023715415098E-2</v>
      </c>
      <c r="FE29" s="61">
        <f t="shared" si="54"/>
        <v>0.15758028379387604</v>
      </c>
      <c r="FF29" s="61">
        <f t="shared" si="54"/>
        <v>-5.3763440860215055E-2</v>
      </c>
      <c r="FG29" s="61">
        <f t="shared" si="54"/>
        <v>7.9545454545454544E-2</v>
      </c>
      <c r="FH29" s="61">
        <f t="shared" si="54"/>
        <v>-0.11578947368421053</v>
      </c>
      <c r="FI29" s="61">
        <f t="shared" si="54"/>
        <v>-8.3333333333333329E-2</v>
      </c>
      <c r="FJ29" s="61">
        <f t="shared" si="54"/>
        <v>0.11688311688311688</v>
      </c>
      <c r="FK29" s="61">
        <f t="shared" si="54"/>
        <v>2.3255813953488372E-2</v>
      </c>
      <c r="FL29" s="61">
        <f t="shared" si="54"/>
        <v>-2.2727272727272728E-2</v>
      </c>
      <c r="FM29" s="61">
        <f t="shared" si="54"/>
        <v>0.13953488372093023</v>
      </c>
      <c r="FN29" s="61">
        <f t="shared" si="54"/>
        <v>-3.0612244897959183E-2</v>
      </c>
      <c r="FO29" s="61">
        <f t="shared" si="54"/>
        <v>0.76691729323308266</v>
      </c>
      <c r="FP29" s="61">
        <f t="shared" si="54"/>
        <v>-9.0425531914893623E-2</v>
      </c>
      <c r="FQ29" s="61">
        <f t="shared" si="54"/>
        <v>8.1871345029239762E-2</v>
      </c>
      <c r="FR29" s="61">
        <f t="shared" si="54"/>
        <v>5.9459459459459463E-2</v>
      </c>
      <c r="FS29" s="61">
        <f t="shared" si="54"/>
        <v>1.5306122448979591E-2</v>
      </c>
      <c r="FT29" s="61">
        <f t="shared" si="54"/>
        <v>0.30653266331658291</v>
      </c>
      <c r="FU29" s="61">
        <f t="shared" si="54"/>
        <v>0.13076923076923078</v>
      </c>
      <c r="FV29" s="61">
        <f t="shared" si="54"/>
        <v>3.0612244897959183E-2</v>
      </c>
      <c r="FW29" s="61">
        <f t="shared" si="54"/>
        <v>-5.2805280528052806E-2</v>
      </c>
      <c r="FX29" s="61">
        <f t="shared" si="54"/>
        <v>6.6202090592334492E-2</v>
      </c>
      <c r="FY29" s="61">
        <f t="shared" si="54"/>
        <v>0.24183006535947713</v>
      </c>
      <c r="FZ29" s="61">
        <f t="shared" si="54"/>
        <v>-7.8947368421052627E-2</v>
      </c>
      <c r="GA29" s="61">
        <f t="shared" si="54"/>
        <v>-6.2857142857142861E-2</v>
      </c>
      <c r="GB29" s="61">
        <f t="shared" si="54"/>
        <v>-0.1402439024390244</v>
      </c>
      <c r="GC29" s="61">
        <f t="shared" si="54"/>
        <v>0.10283687943262411</v>
      </c>
      <c r="GD29" s="61">
        <f t="shared" ref="GD29:HI29" si="55">(BW29-BV29)/BV29</f>
        <v>1.9292604501607719E-2</v>
      </c>
      <c r="GE29" s="61">
        <f t="shared" si="55"/>
        <v>2.5236593059936908E-2</v>
      </c>
      <c r="GF29" s="61">
        <f t="shared" si="55"/>
        <v>-1.8461538461538463E-2</v>
      </c>
      <c r="GG29" s="61">
        <f t="shared" si="55"/>
        <v>5.329153605015674E-2</v>
      </c>
      <c r="GH29" s="61">
        <f t="shared" si="55"/>
        <v>6.8452380952380959E-2</v>
      </c>
      <c r="GI29" s="61">
        <f t="shared" si="55"/>
        <v>-5.5710306406685235E-2</v>
      </c>
      <c r="GJ29" s="61">
        <f t="shared" si="55"/>
        <v>-7.6696165191740412E-2</v>
      </c>
      <c r="GK29" s="61">
        <f t="shared" si="55"/>
        <v>-9.9041533546325874E-2</v>
      </c>
      <c r="GL29" s="61">
        <f t="shared" si="55"/>
        <v>0.18439716312056736</v>
      </c>
      <c r="GM29" s="61">
        <f t="shared" si="55"/>
        <v>1.4970059880239521E-2</v>
      </c>
      <c r="GN29" s="61">
        <f t="shared" si="55"/>
        <v>-5.8997050147492625E-3</v>
      </c>
      <c r="GO29" s="61">
        <f t="shared" si="55"/>
        <v>4.1543026706231452E-2</v>
      </c>
      <c r="GP29" s="61">
        <f t="shared" si="55"/>
        <v>5.6980056980056981E-2</v>
      </c>
      <c r="GQ29" s="61">
        <f t="shared" si="55"/>
        <v>0.12668463611859837</v>
      </c>
      <c r="GR29" s="61">
        <f t="shared" si="55"/>
        <v>2.3923444976076555E-2</v>
      </c>
      <c r="GS29" s="61">
        <f t="shared" si="55"/>
        <v>4.6728971962616819E-3</v>
      </c>
      <c r="GT29" s="61">
        <f t="shared" si="55"/>
        <v>0.34883720930232559</v>
      </c>
      <c r="GU29" s="61">
        <f t="shared" si="55"/>
        <v>3.4482758620689655E-2</v>
      </c>
      <c r="GV29" s="61">
        <f t="shared" si="55"/>
        <v>-0.31666666666666665</v>
      </c>
      <c r="GW29" s="61">
        <f t="shared" si="55"/>
        <v>-1.9512195121951219E-2</v>
      </c>
      <c r="GX29" s="61">
        <f t="shared" si="55"/>
        <v>0.44776119402985076</v>
      </c>
      <c r="GY29" s="61">
        <f t="shared" si="55"/>
        <v>-4.29553264604811E-2</v>
      </c>
      <c r="GZ29" s="61">
        <f t="shared" si="55"/>
        <v>5.0269299820466788E-2</v>
      </c>
      <c r="HA29" s="61">
        <f t="shared" si="55"/>
        <v>-5.128205128205128E-2</v>
      </c>
      <c r="HB29" s="61">
        <f t="shared" si="55"/>
        <v>-3.6036036036036036E-2</v>
      </c>
      <c r="HC29" s="61">
        <f t="shared" si="55"/>
        <v>7.6635514018691592E-2</v>
      </c>
      <c r="HD29" s="61">
        <f t="shared" si="55"/>
        <v>8.3333333333333329E-2</v>
      </c>
      <c r="HE29" s="61">
        <f t="shared" si="55"/>
        <v>0.1858974358974359</v>
      </c>
      <c r="HF29" s="61">
        <f t="shared" si="55"/>
        <v>6.7567567567567571E-2</v>
      </c>
      <c r="HG29" s="61">
        <f t="shared" si="55"/>
        <v>4.6835443037974683E-2</v>
      </c>
      <c r="HH29" s="61">
        <f t="shared" si="55"/>
        <v>-5.92503022974607E-2</v>
      </c>
      <c r="HI29" s="61">
        <f t="shared" si="55"/>
        <v>1.5424164524421594E-2</v>
      </c>
      <c r="HJ29" s="61">
        <f t="shared" ref="HJ29:HN29" si="56">(DC29-DB29)/DB29</f>
        <v>-9.8734177215189872E-2</v>
      </c>
      <c r="HK29" s="61">
        <f t="shared" si="56"/>
        <v>0</v>
      </c>
      <c r="HL29" s="61">
        <f t="shared" si="56"/>
        <v>0.21910112359550563</v>
      </c>
      <c r="HM29" s="61">
        <f t="shared" si="56"/>
        <v>0.20967741935483872</v>
      </c>
      <c r="HN29" s="61">
        <f t="shared" si="56"/>
        <v>4.7619047619047616E-2</v>
      </c>
      <c r="HP29" s="61">
        <f t="shared" si="4"/>
        <v>6.9938878399107743E-2</v>
      </c>
      <c r="HQ29" s="61">
        <f t="shared" si="5"/>
        <v>4.4525885326901375E-2</v>
      </c>
      <c r="HR29" s="61">
        <f t="shared" si="6"/>
        <v>3.3201659583683311E-2</v>
      </c>
      <c r="HS29" s="167">
        <f t="shared" si="7"/>
        <v>4.1543026706231452E-2</v>
      </c>
      <c r="HT29" s="89">
        <f t="shared" si="8"/>
        <v>2.9203101798383105E-2</v>
      </c>
      <c r="HU29" s="89">
        <f t="shared" si="9"/>
        <v>1.9673804750249074E-2</v>
      </c>
      <c r="HW29" s="168" t="s">
        <v>75</v>
      </c>
      <c r="HX29" s="26">
        <v>4.1543026706231501E-2</v>
      </c>
      <c r="HY29" s="27" t="s">
        <v>131</v>
      </c>
    </row>
    <row r="30" spans="1:233" ht="15" customHeight="1" x14ac:dyDescent="0.2">
      <c r="A30" s="9" t="s">
        <v>132</v>
      </c>
      <c r="B30" s="58" t="s">
        <v>76</v>
      </c>
      <c r="C30" s="166"/>
      <c r="D30" s="166"/>
      <c r="E30" s="166"/>
      <c r="F30" s="166"/>
      <c r="G30" s="166"/>
      <c r="H30" s="166"/>
      <c r="I30" s="166"/>
      <c r="J30" s="166"/>
      <c r="K30" s="166"/>
      <c r="L30" s="166"/>
      <c r="M30" s="166"/>
      <c r="N30" s="166"/>
      <c r="O30" s="166"/>
      <c r="P30" s="166"/>
      <c r="Q30" s="166"/>
      <c r="R30" s="166"/>
      <c r="S30" s="166"/>
      <c r="T30" s="166"/>
      <c r="U30" s="166"/>
      <c r="V30" s="166"/>
      <c r="W30" s="166"/>
      <c r="X30" s="166"/>
      <c r="Y30" s="166"/>
      <c r="Z30" s="166"/>
      <c r="AA30" s="166"/>
      <c r="AB30" s="166"/>
      <c r="AC30" s="166"/>
      <c r="AD30" s="166"/>
      <c r="AE30" s="166"/>
      <c r="AF30" s="166"/>
      <c r="AG30" s="166"/>
      <c r="AH30" s="166"/>
      <c r="AI30" s="166"/>
      <c r="AJ30" s="166"/>
      <c r="AK30" s="166"/>
      <c r="AL30" s="166"/>
      <c r="AM30" s="166"/>
      <c r="AN30" s="166"/>
      <c r="AO30" s="166"/>
      <c r="AP30" s="166"/>
      <c r="AQ30" s="166"/>
      <c r="AR30" s="166"/>
      <c r="AS30" s="166"/>
      <c r="AT30" s="166"/>
      <c r="AU30" s="166"/>
      <c r="AV30" s="166"/>
      <c r="AW30" s="166"/>
      <c r="AX30" s="166"/>
      <c r="AY30" s="166"/>
      <c r="AZ30" s="166"/>
      <c r="BA30" s="166"/>
      <c r="BB30" s="166"/>
      <c r="BC30" s="166"/>
      <c r="BD30" s="166"/>
      <c r="BE30" s="166"/>
      <c r="BF30" s="166"/>
      <c r="BG30" s="166"/>
      <c r="BH30" s="166"/>
      <c r="BI30" s="166"/>
      <c r="BJ30" s="166"/>
      <c r="BK30" s="166"/>
      <c r="BL30" s="166"/>
      <c r="BM30" s="166">
        <v>77.232409476643895</v>
      </c>
      <c r="BN30" s="166">
        <v>80.373034330912901</v>
      </c>
      <c r="BO30" s="166">
        <v>112.94941839998999</v>
      </c>
      <c r="BP30" s="166">
        <v>137.38745476225799</v>
      </c>
      <c r="BQ30" s="166">
        <v>150.456120475674</v>
      </c>
      <c r="BR30" s="166">
        <v>129.362734616994</v>
      </c>
      <c r="BS30" s="166">
        <v>125.790041550526</v>
      </c>
      <c r="BT30" s="166">
        <v>104.836268766427</v>
      </c>
      <c r="BU30" s="166">
        <v>159.877995038482</v>
      </c>
      <c r="BV30" s="166">
        <v>190.66090624423501</v>
      </c>
      <c r="BW30" s="166">
        <v>561.48961108100195</v>
      </c>
      <c r="BX30" s="166">
        <v>606.56801919136399</v>
      </c>
      <c r="BY30" s="166">
        <v>698.36050534170602</v>
      </c>
      <c r="BZ30" s="166">
        <v>809.77977074379805</v>
      </c>
      <c r="CA30" s="166">
        <v>885.69117123049102</v>
      </c>
      <c r="CB30" s="166">
        <v>789.94069772494504</v>
      </c>
      <c r="CC30" s="166">
        <v>723.11068283631505</v>
      </c>
      <c r="CD30" s="166">
        <v>876.60632089735702</v>
      </c>
      <c r="CE30" s="166">
        <v>928.41922905877902</v>
      </c>
      <c r="CF30" s="166">
        <v>930.07411251924702</v>
      </c>
      <c r="CG30" s="166">
        <v>1884.82028850604</v>
      </c>
      <c r="CH30" s="166">
        <v>2046.8832714709099</v>
      </c>
      <c r="CI30" s="166">
        <v>1960.9442977357501</v>
      </c>
      <c r="CJ30" s="166">
        <v>2379.81816883175</v>
      </c>
      <c r="CK30" s="166">
        <v>2546.78375192266</v>
      </c>
      <c r="CL30" s="166">
        <v>2662.8615111162098</v>
      </c>
      <c r="CM30" s="166">
        <v>2942.02781485577</v>
      </c>
      <c r="CN30" s="166">
        <v>3212.8866288218501</v>
      </c>
      <c r="CO30" s="166">
        <v>3356.4605255420602</v>
      </c>
      <c r="CP30" s="166">
        <v>3590.7758337823102</v>
      </c>
      <c r="CQ30" s="166">
        <v>4336.3332752425804</v>
      </c>
      <c r="CR30" s="166">
        <v>4854.5643303094803</v>
      </c>
      <c r="CS30" s="166">
        <v>4410.3246612918701</v>
      </c>
      <c r="CT30" s="166">
        <v>4538.94232038055</v>
      </c>
      <c r="CU30" s="166">
        <v>4707.8898894202603</v>
      </c>
      <c r="CV30" s="166">
        <v>4325.7148071764796</v>
      </c>
      <c r="CW30" s="166">
        <v>3835.0995017401801</v>
      </c>
      <c r="CX30" s="166">
        <v>3662.7760208372601</v>
      </c>
      <c r="CY30" s="166">
        <v>3471.4246086420899</v>
      </c>
      <c r="CZ30" s="166">
        <v>5102.5534517409596</v>
      </c>
      <c r="DA30" s="166">
        <v>5135.9235751173001</v>
      </c>
      <c r="DB30" s="166">
        <v>5357.2539224937</v>
      </c>
      <c r="DC30" s="166">
        <v>5928.8168570749103</v>
      </c>
      <c r="DD30" s="166">
        <v>7920.4759524746696</v>
      </c>
      <c r="DE30" s="166">
        <v>7750.5118774113998</v>
      </c>
      <c r="DF30" s="166">
        <v>6423.4613344233403</v>
      </c>
      <c r="DG30" s="166"/>
      <c r="DH30" s="9"/>
      <c r="DJ30" s="9"/>
      <c r="DK30" s="9"/>
      <c r="DL30" s="9"/>
      <c r="DM30" s="9"/>
      <c r="DN30" s="9"/>
      <c r="DO30" s="9"/>
      <c r="DP30" s="9"/>
      <c r="DQ30" s="9"/>
      <c r="DR30" s="9"/>
      <c r="DS30" s="9"/>
      <c r="DT30" s="9"/>
      <c r="DU30" s="9"/>
      <c r="DV30" s="9"/>
      <c r="DW30" s="9"/>
      <c r="DX30" s="9"/>
      <c r="DY30" s="9"/>
      <c r="DZ30" s="9"/>
      <c r="EA30" s="9"/>
      <c r="EB30" s="9"/>
      <c r="EC30" s="9"/>
      <c r="ED30" s="9"/>
      <c r="EE30" s="9"/>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61">
        <f t="shared" ref="FU30:GD32" si="57">(BN30-BM30)/BM30</f>
        <v>4.0664597615833457E-2</v>
      </c>
      <c r="FV30" s="61">
        <f t="shared" si="57"/>
        <v>0.40531484645650157</v>
      </c>
      <c r="FW30" s="61">
        <f t="shared" si="57"/>
        <v>0.21636265780249611</v>
      </c>
      <c r="FX30" s="61">
        <f t="shared" si="57"/>
        <v>9.5122700511707362E-2</v>
      </c>
      <c r="FY30" s="61">
        <f t="shared" si="57"/>
        <v>-0.1401962631496298</v>
      </c>
      <c r="FZ30" s="61">
        <f t="shared" si="57"/>
        <v>-2.7617637158380472E-2</v>
      </c>
      <c r="GA30" s="61">
        <f t="shared" si="57"/>
        <v>-0.16657735799922219</v>
      </c>
      <c r="GB30" s="61">
        <f t="shared" si="57"/>
        <v>0.52502561298406003</v>
      </c>
      <c r="GC30" s="61">
        <f t="shared" si="57"/>
        <v>0.19254001276625771</v>
      </c>
      <c r="GD30" s="61">
        <f t="shared" si="57"/>
        <v>1.9449645558787942</v>
      </c>
      <c r="GE30" s="61">
        <f t="shared" ref="GE30:GN32" si="58">(BX30-BW30)/BW30</f>
        <v>8.0283601371671509E-2</v>
      </c>
      <c r="GF30" s="61">
        <f t="shared" si="58"/>
        <v>0.15133090312396233</v>
      </c>
      <c r="GG30" s="61">
        <f t="shared" si="58"/>
        <v>0.15954405289224491</v>
      </c>
      <c r="GH30" s="61">
        <f t="shared" si="58"/>
        <v>9.3743266044997525E-2</v>
      </c>
      <c r="GI30" s="61">
        <f t="shared" si="58"/>
        <v>-0.10810819461203369</v>
      </c>
      <c r="GJ30" s="61">
        <f t="shared" si="58"/>
        <v>-8.4601306251345973E-2</v>
      </c>
      <c r="GK30" s="61">
        <f t="shared" si="58"/>
        <v>0.21227129083333926</v>
      </c>
      <c r="GL30" s="61">
        <f t="shared" si="58"/>
        <v>5.9106245216647077E-2</v>
      </c>
      <c r="GM30" s="61">
        <f t="shared" si="58"/>
        <v>1.7824743485178585E-3</v>
      </c>
      <c r="GN30" s="61">
        <f t="shared" si="58"/>
        <v>1.026526986543812</v>
      </c>
      <c r="GO30" s="61">
        <f t="shared" ref="GO30:GX32" si="59">(CH30-CG30)/CG30</f>
        <v>8.5983254718318761E-2</v>
      </c>
      <c r="GP30" s="61">
        <f t="shared" si="59"/>
        <v>-4.1985283153642299E-2</v>
      </c>
      <c r="GQ30" s="61">
        <f t="shared" si="59"/>
        <v>0.21360824556804717</v>
      </c>
      <c r="GR30" s="61">
        <f t="shared" si="59"/>
        <v>7.0158966461237357E-2</v>
      </c>
      <c r="GS30" s="61">
        <f t="shared" si="59"/>
        <v>4.557817643760232E-2</v>
      </c>
      <c r="GT30" s="61">
        <f t="shared" si="59"/>
        <v>0.10483695925385925</v>
      </c>
      <c r="GU30" s="61">
        <f t="shared" si="59"/>
        <v>9.2065347784401785E-2</v>
      </c>
      <c r="GV30" s="61">
        <f t="shared" si="59"/>
        <v>4.4686885441973384E-2</v>
      </c>
      <c r="GW30" s="61">
        <f t="shared" si="59"/>
        <v>6.9810238034129321E-2</v>
      </c>
      <c r="GX30" s="61">
        <f t="shared" si="59"/>
        <v>0.20763129640285682</v>
      </c>
      <c r="GY30" s="61">
        <f t="shared" ref="GY30:HH32" si="60">(CR30-CQ30)/CQ30</f>
        <v>0.11950904650840273</v>
      </c>
      <c r="GZ30" s="61">
        <f t="shared" si="60"/>
        <v>-9.1509688365647782E-2</v>
      </c>
      <c r="HA30" s="61">
        <f t="shared" si="60"/>
        <v>2.9162855110763025E-2</v>
      </c>
      <c r="HB30" s="61">
        <f t="shared" si="60"/>
        <v>3.722179246057164E-2</v>
      </c>
      <c r="HC30" s="61">
        <f t="shared" si="60"/>
        <v>-8.1177574501608105E-2</v>
      </c>
      <c r="HD30" s="61">
        <f t="shared" si="60"/>
        <v>-0.11341831981672837</v>
      </c>
      <c r="HE30" s="61">
        <f t="shared" si="60"/>
        <v>-4.4933249013416221E-2</v>
      </c>
      <c r="HF30" s="61">
        <f t="shared" si="60"/>
        <v>-5.2242182188205429E-2</v>
      </c>
      <c r="HG30" s="61">
        <f t="shared" si="60"/>
        <v>0.46987304262295793</v>
      </c>
      <c r="HH30" s="61">
        <f t="shared" si="60"/>
        <v>6.5398870765292494E-3</v>
      </c>
      <c r="HI30" s="61">
        <f t="shared" ref="HI30:HM32" si="61">(DB30-DA30)/DA30</f>
        <v>4.30945562447052E-2</v>
      </c>
      <c r="HJ30" s="61">
        <f t="shared" si="61"/>
        <v>0.1066895358798223</v>
      </c>
      <c r="HK30" s="61">
        <f t="shared" si="61"/>
        <v>0.33592859138886955</v>
      </c>
      <c r="HL30" s="61">
        <f t="shared" si="61"/>
        <v>-2.1458820919741103E-2</v>
      </c>
      <c r="HM30" s="61">
        <f t="shared" si="61"/>
        <v>-0.17122101920206104</v>
      </c>
      <c r="HN30" s="9"/>
      <c r="HP30" s="61">
        <f t="shared" si="4"/>
        <v>0.13648701301009397</v>
      </c>
      <c r="HQ30" s="61">
        <f t="shared" si="5"/>
        <v>8.2948710848804313E-2</v>
      </c>
      <c r="HR30" s="61">
        <f t="shared" si="6"/>
        <v>9.5313444014990881E-2</v>
      </c>
      <c r="HS30" s="89">
        <f t="shared" si="7"/>
        <v>6.9810238034129321E-2</v>
      </c>
      <c r="HT30" s="89">
        <f t="shared" si="8"/>
        <v>4.4686885441973384E-2</v>
      </c>
      <c r="HU30" s="167">
        <f t="shared" si="9"/>
        <v>4.557817643760232E-2</v>
      </c>
      <c r="HW30" s="168" t="s">
        <v>76</v>
      </c>
      <c r="HX30" s="26">
        <v>4.5578176437603098E-2</v>
      </c>
      <c r="HY30" s="30" t="s">
        <v>134</v>
      </c>
    </row>
    <row r="31" spans="1:233" ht="15" customHeight="1" x14ac:dyDescent="0.2">
      <c r="A31" s="9" t="s">
        <v>132</v>
      </c>
      <c r="B31" s="58" t="s">
        <v>77</v>
      </c>
      <c r="C31" s="166"/>
      <c r="D31" s="166"/>
      <c r="E31" s="166"/>
      <c r="F31" s="166"/>
      <c r="G31" s="166"/>
      <c r="H31" s="166"/>
      <c r="I31" s="166"/>
      <c r="J31" s="166">
        <v>789600</v>
      </c>
      <c r="K31" s="166">
        <v>480480</v>
      </c>
      <c r="L31" s="166">
        <v>764960</v>
      </c>
      <c r="M31" s="166">
        <v>1043840</v>
      </c>
      <c r="N31" s="166">
        <v>1108800</v>
      </c>
      <c r="O31" s="166">
        <v>1254400</v>
      </c>
      <c r="P31" s="166">
        <v>1355200</v>
      </c>
      <c r="Q31" s="166">
        <v>1456000</v>
      </c>
      <c r="R31" s="166">
        <v>1556800</v>
      </c>
      <c r="S31" s="166">
        <v>1601600</v>
      </c>
      <c r="T31" s="166">
        <v>1534400</v>
      </c>
      <c r="U31" s="166">
        <v>1097600</v>
      </c>
      <c r="V31" s="166">
        <v>873600</v>
      </c>
      <c r="W31" s="166">
        <v>1086400</v>
      </c>
      <c r="X31" s="166">
        <v>1288000</v>
      </c>
      <c r="Y31" s="166">
        <v>1467200</v>
      </c>
      <c r="Z31" s="166">
        <v>1624000</v>
      </c>
      <c r="AA31" s="166">
        <v>1803200</v>
      </c>
      <c r="AB31" s="166">
        <v>1736000</v>
      </c>
      <c r="AC31" s="166">
        <v>1792000</v>
      </c>
      <c r="AD31" s="166">
        <v>1803200</v>
      </c>
      <c r="AE31" s="166">
        <v>1948800</v>
      </c>
      <c r="AF31" s="166">
        <v>2004800</v>
      </c>
      <c r="AG31" s="166">
        <v>2027200</v>
      </c>
      <c r="AH31" s="166">
        <v>1808800</v>
      </c>
      <c r="AI31" s="166">
        <v>1394400</v>
      </c>
      <c r="AJ31" s="166">
        <v>1540000</v>
      </c>
      <c r="AK31" s="166">
        <v>1756160</v>
      </c>
      <c r="AL31" s="166">
        <v>1914080</v>
      </c>
      <c r="AM31" s="166">
        <v>2074240</v>
      </c>
      <c r="AN31" s="166">
        <v>2172800</v>
      </c>
      <c r="AO31" s="166">
        <v>2334080</v>
      </c>
      <c r="AP31" s="166">
        <v>2460640</v>
      </c>
      <c r="AQ31" s="166">
        <v>2600640</v>
      </c>
      <c r="AR31" s="166">
        <v>2646560</v>
      </c>
      <c r="AS31" s="166">
        <v>2912000</v>
      </c>
      <c r="AT31" s="166">
        <v>3024000</v>
      </c>
      <c r="AU31" s="166">
        <v>3136000</v>
      </c>
      <c r="AV31" s="166">
        <v>3024000</v>
      </c>
      <c r="AW31" s="166">
        <v>3136000</v>
      </c>
      <c r="AX31" s="166">
        <v>3248000</v>
      </c>
      <c r="AY31" s="166">
        <v>3584000</v>
      </c>
      <c r="AZ31" s="166">
        <v>3696000</v>
      </c>
      <c r="BA31" s="166">
        <v>3920000</v>
      </c>
      <c r="BB31" s="166">
        <v>4368000</v>
      </c>
      <c r="BC31" s="166">
        <v>4592000</v>
      </c>
      <c r="BD31" s="166">
        <v>4816000</v>
      </c>
      <c r="BE31" s="166">
        <v>5152000</v>
      </c>
      <c r="BF31" s="166">
        <v>5264000</v>
      </c>
      <c r="BG31" s="166">
        <v>5712000</v>
      </c>
      <c r="BH31" s="166">
        <v>5400000</v>
      </c>
      <c r="BI31" s="166">
        <v>5400000</v>
      </c>
      <c r="BJ31" s="166">
        <v>5600000</v>
      </c>
      <c r="BK31" s="166">
        <v>5700000</v>
      </c>
      <c r="BL31" s="166">
        <v>5700000</v>
      </c>
      <c r="BM31" s="166">
        <v>6200000</v>
      </c>
      <c r="BN31" s="166">
        <v>6200000</v>
      </c>
      <c r="BO31" s="166">
        <v>6600000</v>
      </c>
      <c r="BP31" s="166">
        <v>6400000</v>
      </c>
      <c r="BQ31" s="166">
        <v>6300000</v>
      </c>
      <c r="BR31" s="166">
        <v>6200000</v>
      </c>
      <c r="BS31" s="166">
        <v>6100000</v>
      </c>
      <c r="BT31" s="166">
        <v>6400000</v>
      </c>
      <c r="BU31" s="166">
        <v>6500000</v>
      </c>
      <c r="BV31" s="166">
        <v>6800000</v>
      </c>
      <c r="BW31" s="166">
        <v>7100000</v>
      </c>
      <c r="BX31" s="166">
        <v>7000000</v>
      </c>
      <c r="BY31" s="166">
        <v>7400000</v>
      </c>
      <c r="BZ31" s="166">
        <v>7100000</v>
      </c>
      <c r="CA31" s="166">
        <v>7300000</v>
      </c>
      <c r="CB31" s="166">
        <v>7160000</v>
      </c>
      <c r="CC31" s="166">
        <v>7260000</v>
      </c>
      <c r="CD31" s="166">
        <v>7230000</v>
      </c>
      <c r="CE31" s="166">
        <v>6960000</v>
      </c>
      <c r="CF31" s="166">
        <v>6810000</v>
      </c>
      <c r="CG31" s="166">
        <v>7120000</v>
      </c>
      <c r="CH31" s="166">
        <v>7440000</v>
      </c>
      <c r="CI31" s="166">
        <v>7460000</v>
      </c>
      <c r="CJ31" s="166">
        <v>7550000</v>
      </c>
      <c r="CK31" s="166">
        <v>8040000</v>
      </c>
      <c r="CL31" s="166">
        <v>8730000</v>
      </c>
      <c r="CM31" s="166">
        <v>8850000</v>
      </c>
      <c r="CN31" s="166">
        <v>8360000</v>
      </c>
      <c r="CO31" s="166">
        <v>9010000</v>
      </c>
      <c r="CP31" s="166">
        <v>9600000</v>
      </c>
      <c r="CQ31" s="166">
        <v>9800000</v>
      </c>
      <c r="CR31" s="166">
        <v>10000000</v>
      </c>
      <c r="CS31" s="166">
        <v>10900000</v>
      </c>
      <c r="CT31" s="166">
        <v>11600000</v>
      </c>
      <c r="CU31" s="166">
        <v>11200000</v>
      </c>
      <c r="CV31" s="166">
        <v>12000000</v>
      </c>
      <c r="CW31" s="166">
        <v>12800000</v>
      </c>
      <c r="CX31" s="166">
        <v>13500000</v>
      </c>
      <c r="CY31" s="166">
        <v>13400000</v>
      </c>
      <c r="CZ31" s="166">
        <v>13300000</v>
      </c>
      <c r="DA31" s="166">
        <v>12800000</v>
      </c>
      <c r="DB31" s="166">
        <v>12600000</v>
      </c>
      <c r="DC31" s="166">
        <v>12500000</v>
      </c>
      <c r="DD31" s="166">
        <v>12500000</v>
      </c>
      <c r="DE31" s="166">
        <v>12700000</v>
      </c>
      <c r="DF31" s="45">
        <v>12000000</v>
      </c>
      <c r="DG31" s="166">
        <v>13000000</v>
      </c>
      <c r="DH31" s="9"/>
      <c r="DJ31" s="9"/>
      <c r="DK31" s="9"/>
      <c r="DL31" s="9"/>
      <c r="DM31" s="9"/>
      <c r="DN31" s="9"/>
      <c r="DO31" s="9"/>
      <c r="DP31" s="9"/>
      <c r="DQ31" s="9"/>
      <c r="DR31" s="61">
        <f t="shared" ref="DR31:EW31" si="62">(K31-J31)/J31</f>
        <v>-0.39148936170212767</v>
      </c>
      <c r="DS31" s="61">
        <f t="shared" si="62"/>
        <v>0.59207459207459212</v>
      </c>
      <c r="DT31" s="61">
        <f t="shared" si="62"/>
        <v>0.36456808199121521</v>
      </c>
      <c r="DU31" s="61">
        <f t="shared" si="62"/>
        <v>6.2231759656652362E-2</v>
      </c>
      <c r="DV31" s="61">
        <f t="shared" si="62"/>
        <v>0.13131313131313133</v>
      </c>
      <c r="DW31" s="61">
        <f t="shared" si="62"/>
        <v>8.0357142857142863E-2</v>
      </c>
      <c r="DX31" s="61">
        <f t="shared" si="62"/>
        <v>7.43801652892562E-2</v>
      </c>
      <c r="DY31" s="61">
        <f t="shared" si="62"/>
        <v>6.9230769230769235E-2</v>
      </c>
      <c r="DZ31" s="61">
        <f t="shared" si="62"/>
        <v>2.8776978417266189E-2</v>
      </c>
      <c r="EA31" s="61">
        <f t="shared" si="62"/>
        <v>-4.195804195804196E-2</v>
      </c>
      <c r="EB31" s="61">
        <f t="shared" si="62"/>
        <v>-0.28467153284671531</v>
      </c>
      <c r="EC31" s="61">
        <f t="shared" si="62"/>
        <v>-0.20408163265306123</v>
      </c>
      <c r="ED31" s="61">
        <f t="shared" si="62"/>
        <v>0.24358974358974358</v>
      </c>
      <c r="EE31" s="61">
        <f t="shared" si="62"/>
        <v>0.18556701030927836</v>
      </c>
      <c r="EF31" s="61">
        <f t="shared" si="62"/>
        <v>0.1391304347826087</v>
      </c>
      <c r="EG31" s="61">
        <f t="shared" si="62"/>
        <v>0.10687022900763359</v>
      </c>
      <c r="EH31" s="61">
        <f t="shared" si="62"/>
        <v>0.1103448275862069</v>
      </c>
      <c r="EI31" s="61">
        <f t="shared" si="62"/>
        <v>-3.7267080745341616E-2</v>
      </c>
      <c r="EJ31" s="61">
        <f t="shared" si="62"/>
        <v>3.2258064516129031E-2</v>
      </c>
      <c r="EK31" s="61">
        <f t="shared" si="62"/>
        <v>6.2500000000000003E-3</v>
      </c>
      <c r="EL31" s="61">
        <f t="shared" si="62"/>
        <v>8.0745341614906832E-2</v>
      </c>
      <c r="EM31" s="61">
        <f t="shared" si="62"/>
        <v>2.8735632183908046E-2</v>
      </c>
      <c r="EN31" s="61">
        <f t="shared" si="62"/>
        <v>1.11731843575419E-2</v>
      </c>
      <c r="EO31" s="61">
        <f t="shared" si="62"/>
        <v>-0.10773480662983426</v>
      </c>
      <c r="EP31" s="61">
        <f t="shared" si="62"/>
        <v>-0.22910216718266255</v>
      </c>
      <c r="EQ31" s="61">
        <f t="shared" si="62"/>
        <v>0.10441767068273092</v>
      </c>
      <c r="ER31" s="61">
        <f t="shared" si="62"/>
        <v>0.14036363636363636</v>
      </c>
      <c r="ES31" s="61">
        <f t="shared" si="62"/>
        <v>8.9923469387755098E-2</v>
      </c>
      <c r="ET31" s="61">
        <f t="shared" si="62"/>
        <v>8.3674663545933295E-2</v>
      </c>
      <c r="EU31" s="61">
        <f t="shared" si="62"/>
        <v>4.7516198704103674E-2</v>
      </c>
      <c r="EV31" s="61">
        <f t="shared" si="62"/>
        <v>7.422680412371134E-2</v>
      </c>
      <c r="EW31" s="61">
        <f t="shared" si="62"/>
        <v>5.4222648752399231E-2</v>
      </c>
      <c r="EX31" s="61">
        <f t="shared" ref="EX31:FT31" si="63">(AQ31-AP31)/AP31</f>
        <v>5.6895766954938552E-2</v>
      </c>
      <c r="EY31" s="61">
        <f t="shared" si="63"/>
        <v>1.7657192075796729E-2</v>
      </c>
      <c r="EZ31" s="61">
        <f t="shared" si="63"/>
        <v>0.10029623360135421</v>
      </c>
      <c r="FA31" s="61">
        <f t="shared" si="63"/>
        <v>3.8461538461538464E-2</v>
      </c>
      <c r="FB31" s="61">
        <f t="shared" si="63"/>
        <v>3.7037037037037035E-2</v>
      </c>
      <c r="FC31" s="61">
        <f t="shared" si="63"/>
        <v>-3.5714285714285712E-2</v>
      </c>
      <c r="FD31" s="61">
        <f t="shared" si="63"/>
        <v>3.7037037037037035E-2</v>
      </c>
      <c r="FE31" s="61">
        <f t="shared" si="63"/>
        <v>3.5714285714285712E-2</v>
      </c>
      <c r="FF31" s="61">
        <f t="shared" si="63"/>
        <v>0.10344827586206896</v>
      </c>
      <c r="FG31" s="61">
        <f t="shared" si="63"/>
        <v>3.125E-2</v>
      </c>
      <c r="FH31" s="61">
        <f t="shared" si="63"/>
        <v>6.0606060606060608E-2</v>
      </c>
      <c r="FI31" s="61">
        <f t="shared" si="63"/>
        <v>0.11428571428571428</v>
      </c>
      <c r="FJ31" s="61">
        <f t="shared" si="63"/>
        <v>5.128205128205128E-2</v>
      </c>
      <c r="FK31" s="61">
        <f t="shared" si="63"/>
        <v>4.878048780487805E-2</v>
      </c>
      <c r="FL31" s="61">
        <f t="shared" si="63"/>
        <v>6.9767441860465115E-2</v>
      </c>
      <c r="FM31" s="61">
        <f t="shared" si="63"/>
        <v>2.1739130434782608E-2</v>
      </c>
      <c r="FN31" s="61">
        <f t="shared" si="63"/>
        <v>8.5106382978723402E-2</v>
      </c>
      <c r="FO31" s="61">
        <f t="shared" si="63"/>
        <v>-5.4621848739495799E-2</v>
      </c>
      <c r="FP31" s="61">
        <f t="shared" si="63"/>
        <v>0</v>
      </c>
      <c r="FQ31" s="61">
        <f t="shared" si="63"/>
        <v>3.7037037037037035E-2</v>
      </c>
      <c r="FR31" s="61">
        <f t="shared" si="63"/>
        <v>1.7857142857142856E-2</v>
      </c>
      <c r="FS31" s="61">
        <f t="shared" si="63"/>
        <v>0</v>
      </c>
      <c r="FT31" s="61">
        <f t="shared" si="63"/>
        <v>8.771929824561403E-2</v>
      </c>
      <c r="FU31" s="61">
        <f t="shared" si="57"/>
        <v>0</v>
      </c>
      <c r="FV31" s="61">
        <f t="shared" si="57"/>
        <v>6.4516129032258063E-2</v>
      </c>
      <c r="FW31" s="61">
        <f t="shared" si="57"/>
        <v>-3.0303030303030304E-2</v>
      </c>
      <c r="FX31" s="61">
        <f t="shared" si="57"/>
        <v>-1.5625E-2</v>
      </c>
      <c r="FY31" s="61">
        <f t="shared" si="57"/>
        <v>-1.5873015873015872E-2</v>
      </c>
      <c r="FZ31" s="61">
        <f t="shared" si="57"/>
        <v>-1.6129032258064516E-2</v>
      </c>
      <c r="GA31" s="61">
        <f t="shared" si="57"/>
        <v>4.9180327868852458E-2</v>
      </c>
      <c r="GB31" s="61">
        <f t="shared" si="57"/>
        <v>1.5625E-2</v>
      </c>
      <c r="GC31" s="61">
        <f t="shared" si="57"/>
        <v>4.6153846153846156E-2</v>
      </c>
      <c r="GD31" s="61">
        <f t="shared" si="57"/>
        <v>4.4117647058823532E-2</v>
      </c>
      <c r="GE31" s="61">
        <f t="shared" si="58"/>
        <v>-1.4084507042253521E-2</v>
      </c>
      <c r="GF31" s="61">
        <f t="shared" si="58"/>
        <v>5.7142857142857141E-2</v>
      </c>
      <c r="GG31" s="61">
        <f t="shared" si="58"/>
        <v>-4.0540540540540543E-2</v>
      </c>
      <c r="GH31" s="61">
        <f t="shared" si="58"/>
        <v>2.8169014084507043E-2</v>
      </c>
      <c r="GI31" s="61">
        <f t="shared" si="58"/>
        <v>-1.9178082191780823E-2</v>
      </c>
      <c r="GJ31" s="61">
        <f t="shared" si="58"/>
        <v>1.3966480446927373E-2</v>
      </c>
      <c r="GK31" s="61">
        <f t="shared" si="58"/>
        <v>-4.1322314049586778E-3</v>
      </c>
      <c r="GL31" s="61">
        <f t="shared" si="58"/>
        <v>-3.7344398340248962E-2</v>
      </c>
      <c r="GM31" s="61">
        <f t="shared" si="58"/>
        <v>-2.1551724137931036E-2</v>
      </c>
      <c r="GN31" s="61">
        <f t="shared" si="58"/>
        <v>4.552129221732746E-2</v>
      </c>
      <c r="GO31" s="61">
        <f t="shared" si="59"/>
        <v>4.49438202247191E-2</v>
      </c>
      <c r="GP31" s="61">
        <f t="shared" si="59"/>
        <v>2.6881720430107529E-3</v>
      </c>
      <c r="GQ31" s="61">
        <f t="shared" si="59"/>
        <v>1.2064343163538873E-2</v>
      </c>
      <c r="GR31" s="61">
        <f t="shared" si="59"/>
        <v>6.4900662251655625E-2</v>
      </c>
      <c r="GS31" s="61">
        <f t="shared" si="59"/>
        <v>8.5820895522388058E-2</v>
      </c>
      <c r="GT31" s="61">
        <f t="shared" si="59"/>
        <v>1.3745704467353952E-2</v>
      </c>
      <c r="GU31" s="61">
        <f t="shared" si="59"/>
        <v>-5.5367231638418078E-2</v>
      </c>
      <c r="GV31" s="61">
        <f t="shared" si="59"/>
        <v>7.7751196172248807E-2</v>
      </c>
      <c r="GW31" s="61">
        <f t="shared" si="59"/>
        <v>6.5482796892341849E-2</v>
      </c>
      <c r="GX31" s="61">
        <f t="shared" si="59"/>
        <v>2.0833333333333332E-2</v>
      </c>
      <c r="GY31" s="61">
        <f t="shared" si="60"/>
        <v>2.0408163265306121E-2</v>
      </c>
      <c r="GZ31" s="61">
        <f t="shared" si="60"/>
        <v>0.09</v>
      </c>
      <c r="HA31" s="61">
        <f t="shared" si="60"/>
        <v>6.4220183486238536E-2</v>
      </c>
      <c r="HB31" s="61">
        <f t="shared" si="60"/>
        <v>-3.4482758620689655E-2</v>
      </c>
      <c r="HC31" s="61">
        <f t="shared" si="60"/>
        <v>7.1428571428571425E-2</v>
      </c>
      <c r="HD31" s="61">
        <f t="shared" si="60"/>
        <v>6.6666666666666666E-2</v>
      </c>
      <c r="HE31" s="61">
        <f t="shared" si="60"/>
        <v>5.46875E-2</v>
      </c>
      <c r="HF31" s="61">
        <f t="shared" si="60"/>
        <v>-7.4074074074074077E-3</v>
      </c>
      <c r="HG31" s="61">
        <f t="shared" si="60"/>
        <v>-7.462686567164179E-3</v>
      </c>
      <c r="HH31" s="61">
        <f t="shared" si="60"/>
        <v>-3.7593984962406013E-2</v>
      </c>
      <c r="HI31" s="61">
        <f t="shared" si="61"/>
        <v>-1.5625E-2</v>
      </c>
      <c r="HJ31" s="61">
        <f t="shared" si="61"/>
        <v>-7.9365079365079361E-3</v>
      </c>
      <c r="HK31" s="61">
        <f t="shared" si="61"/>
        <v>0</v>
      </c>
      <c r="HL31" s="61">
        <f t="shared" si="61"/>
        <v>1.6E-2</v>
      </c>
      <c r="HM31" s="61">
        <f t="shared" si="61"/>
        <v>-5.5118110236220472E-2</v>
      </c>
      <c r="HN31" s="61">
        <f>(DG31-DF31)/DF31</f>
        <v>8.3333333333333329E-2</v>
      </c>
      <c r="HP31" s="61">
        <f t="shared" si="4"/>
        <v>3.3573190327709709E-2</v>
      </c>
      <c r="HQ31" s="61">
        <f t="shared" si="5"/>
        <v>1.9101968483475874E-2</v>
      </c>
      <c r="HR31" s="61">
        <f t="shared" si="6"/>
        <v>2.1679370056914948E-2</v>
      </c>
      <c r="HS31" s="167">
        <f t="shared" si="7"/>
        <v>3.7037037037037035E-2</v>
      </c>
      <c r="HT31" s="89">
        <f t="shared" si="8"/>
        <v>1.3856092457140663E-2</v>
      </c>
      <c r="HU31" s="89">
        <f t="shared" si="9"/>
        <v>1.3856092457140663E-2</v>
      </c>
      <c r="HW31" s="168" t="s">
        <v>77</v>
      </c>
      <c r="HX31" s="26">
        <v>3.7037037037037E-2</v>
      </c>
      <c r="HY31" s="27" t="s">
        <v>131</v>
      </c>
    </row>
    <row r="32" spans="1:233" ht="15" customHeight="1" x14ac:dyDescent="0.2">
      <c r="A32" s="9" t="s">
        <v>132</v>
      </c>
      <c r="B32" s="58" t="s">
        <v>78</v>
      </c>
      <c r="C32" s="166"/>
      <c r="D32" s="166"/>
      <c r="E32" s="166"/>
      <c r="F32" s="166"/>
      <c r="G32" s="166"/>
      <c r="H32" s="166"/>
      <c r="I32" s="166"/>
      <c r="J32" s="166"/>
      <c r="K32" s="166"/>
      <c r="L32" s="166"/>
      <c r="M32" s="166"/>
      <c r="N32" s="166"/>
      <c r="O32" s="166"/>
      <c r="P32" s="166"/>
      <c r="Q32" s="166"/>
      <c r="R32" s="166"/>
      <c r="S32" s="166"/>
      <c r="T32" s="166"/>
      <c r="U32" s="166"/>
      <c r="V32" s="166"/>
      <c r="W32" s="166"/>
      <c r="X32" s="166"/>
      <c r="Y32" s="166">
        <v>988.88954120339599</v>
      </c>
      <c r="Z32" s="166">
        <v>994.44510042364004</v>
      </c>
      <c r="AA32" s="166">
        <v>997.22288003376104</v>
      </c>
      <c r="AB32" s="166">
        <v>1000.00065964388</v>
      </c>
      <c r="AC32" s="166">
        <v>2416.6682608060501</v>
      </c>
      <c r="AD32" s="166">
        <v>3833.3358619682199</v>
      </c>
      <c r="AE32" s="166">
        <v>5250.0034631303897</v>
      </c>
      <c r="AF32" s="166">
        <v>6666.67106429256</v>
      </c>
      <c r="AG32" s="166">
        <v>8472.2278108717892</v>
      </c>
      <c r="AH32" s="166">
        <v>10277.784557450999</v>
      </c>
      <c r="AI32" s="166">
        <v>12083.3413040303</v>
      </c>
      <c r="AJ32" s="166">
        <v>13888.898050609499</v>
      </c>
      <c r="AK32" s="166">
        <v>17222.233582755802</v>
      </c>
      <c r="AL32" s="166">
        <v>20000.013192877701</v>
      </c>
      <c r="AM32" s="166">
        <v>22777.7928029996</v>
      </c>
      <c r="AN32" s="166">
        <v>25555.572413121499</v>
      </c>
      <c r="AO32" s="166">
        <v>25416.683432615398</v>
      </c>
      <c r="AP32" s="166">
        <v>25277.794452109301</v>
      </c>
      <c r="AQ32" s="166">
        <v>25138.905471603201</v>
      </c>
      <c r="AR32" s="166">
        <v>25000.0164910971</v>
      </c>
      <c r="AS32" s="166">
        <v>33333.355321462797</v>
      </c>
      <c r="AT32" s="166">
        <v>41111.138229804099</v>
      </c>
      <c r="AU32" s="166">
        <v>49444.477060169796</v>
      </c>
      <c r="AV32" s="166">
        <v>57222.259968511098</v>
      </c>
      <c r="AW32" s="166">
        <v>63333.3751107793</v>
      </c>
      <c r="AX32" s="166">
        <v>69444.490253047494</v>
      </c>
      <c r="AY32" s="166">
        <v>75555.605395315593</v>
      </c>
      <c r="AZ32" s="166">
        <v>81111.164615559406</v>
      </c>
      <c r="BA32" s="166">
        <v>93888.950822120198</v>
      </c>
      <c r="BB32" s="166">
        <v>106666.737028681</v>
      </c>
      <c r="BC32" s="166">
        <v>119444.523235242</v>
      </c>
      <c r="BD32" s="166">
        <v>132222.309441802</v>
      </c>
      <c r="BE32" s="166">
        <v>165555.664763265</v>
      </c>
      <c r="BF32" s="166">
        <v>198333.46416270401</v>
      </c>
      <c r="BG32" s="166">
        <v>231111.263562142</v>
      </c>
      <c r="BH32" s="166">
        <v>236210.47327500899</v>
      </c>
      <c r="BI32" s="166">
        <v>248809.68793520401</v>
      </c>
      <c r="BJ32" s="166">
        <v>320436.71931049001</v>
      </c>
      <c r="BK32" s="166">
        <v>241418.810043987</v>
      </c>
      <c r="BL32" s="166">
        <v>255357.31130192001</v>
      </c>
      <c r="BM32" s="166">
        <v>274305.73649953702</v>
      </c>
      <c r="BN32" s="166">
        <v>291170.82698956301</v>
      </c>
      <c r="BO32" s="166">
        <v>283234.31381778599</v>
      </c>
      <c r="BP32" s="166">
        <v>290178.76284309098</v>
      </c>
      <c r="BQ32" s="166">
        <v>342262.130532877</v>
      </c>
      <c r="BR32" s="166">
        <v>377976.43980587297</v>
      </c>
      <c r="BS32" s="166">
        <v>354662.932363778</v>
      </c>
      <c r="BT32" s="166">
        <v>367063.73419467901</v>
      </c>
      <c r="BU32" s="166">
        <v>356647.06065672199</v>
      </c>
      <c r="BV32" s="166">
        <v>390377.24163677398</v>
      </c>
      <c r="BW32" s="166">
        <v>438988.38481390697</v>
      </c>
      <c r="BX32" s="166">
        <v>408234.396273272</v>
      </c>
      <c r="BY32" s="166">
        <v>418155.037737993</v>
      </c>
      <c r="BZ32" s="166">
        <v>470734.43750101398</v>
      </c>
      <c r="CA32" s="166">
        <v>475694.75823337497</v>
      </c>
      <c r="CB32" s="166">
        <v>422619.32639711699</v>
      </c>
      <c r="CC32" s="166">
        <v>394345.49822266202</v>
      </c>
      <c r="CD32" s="166">
        <v>383928.824684705</v>
      </c>
      <c r="CE32" s="166">
        <v>390377.24163677398</v>
      </c>
      <c r="CF32" s="166">
        <v>441468.54518008698</v>
      </c>
      <c r="CG32" s="166">
        <v>444940.76969274</v>
      </c>
      <c r="CH32" s="166">
        <v>425099.48676329799</v>
      </c>
      <c r="CI32" s="166">
        <v>459325.69981658499</v>
      </c>
      <c r="CJ32" s="166">
        <v>403770.10761414701</v>
      </c>
      <c r="CK32" s="166">
        <v>466270.14884188998</v>
      </c>
      <c r="CL32" s="166">
        <v>515873.356165495</v>
      </c>
      <c r="CM32" s="166">
        <v>446428.86591244797</v>
      </c>
      <c r="CN32" s="166">
        <v>411706.62078592402</v>
      </c>
      <c r="CO32" s="166">
        <v>426587.58298300602</v>
      </c>
      <c r="CP32" s="166">
        <v>421627.26225064503</v>
      </c>
      <c r="CQ32" s="166">
        <v>436508.22444772703</v>
      </c>
      <c r="CR32" s="166">
        <v>585317.84641854302</v>
      </c>
      <c r="CS32" s="166">
        <v>709325.86472755601</v>
      </c>
      <c r="CT32" s="166">
        <v>634921.05374214798</v>
      </c>
      <c r="CU32" s="166">
        <v>575397.20495382196</v>
      </c>
      <c r="CV32" s="166">
        <v>620040.09154506598</v>
      </c>
      <c r="CW32" s="166">
        <v>803571.95864240604</v>
      </c>
      <c r="CX32" s="166">
        <v>724206.82692463801</v>
      </c>
      <c r="CY32" s="166">
        <v>749008.43058644002</v>
      </c>
      <c r="CZ32" s="166">
        <v>704365.543995196</v>
      </c>
      <c r="DA32" s="166">
        <v>753968.75131880096</v>
      </c>
      <c r="DB32" s="166">
        <v>654762.33667158999</v>
      </c>
      <c r="DC32" s="166">
        <v>768849.71351588296</v>
      </c>
      <c r="DD32" s="166">
        <v>734127.46838935895</v>
      </c>
      <c r="DE32" s="166">
        <v>704365.543995196</v>
      </c>
      <c r="DF32" s="45">
        <v>595238.48788326397</v>
      </c>
      <c r="DG32" s="45">
        <v>595238.48788326397</v>
      </c>
      <c r="DH32" s="9"/>
      <c r="DJ32" s="9"/>
      <c r="DK32" s="9"/>
      <c r="DL32" s="9"/>
      <c r="DM32" s="9"/>
      <c r="DN32" s="9"/>
      <c r="DO32" s="9"/>
      <c r="DP32" s="9"/>
      <c r="DQ32" s="9"/>
      <c r="DR32" s="9"/>
      <c r="DS32" s="9"/>
      <c r="DT32" s="9"/>
      <c r="DU32" s="9"/>
      <c r="DV32" s="9"/>
      <c r="DW32" s="9"/>
      <c r="DX32" s="9"/>
      <c r="DY32" s="9"/>
      <c r="DZ32" s="9"/>
      <c r="EA32" s="9"/>
      <c r="EB32" s="9"/>
      <c r="EC32" s="9"/>
      <c r="ED32" s="9"/>
      <c r="EE32" s="9"/>
      <c r="EF32" s="9"/>
      <c r="EG32" s="61">
        <f t="shared" ref="EG32:FT32" si="64">(Z32-Y32)/Y32</f>
        <v>5.6179775280901425E-3</v>
      </c>
      <c r="EH32" s="61">
        <f t="shared" si="64"/>
        <v>2.7932960893845716E-3</v>
      </c>
      <c r="EI32" s="61">
        <f t="shared" si="64"/>
        <v>2.7855153203313115E-3</v>
      </c>
      <c r="EJ32" s="61">
        <f t="shared" si="64"/>
        <v>1.4166666666666734</v>
      </c>
      <c r="EK32" s="61">
        <f t="shared" si="64"/>
        <v>0.5862068965517252</v>
      </c>
      <c r="EL32" s="61">
        <f t="shared" si="64"/>
        <v>0.36956521739130477</v>
      </c>
      <c r="EM32" s="61">
        <f t="shared" si="64"/>
        <v>0.26984126984127016</v>
      </c>
      <c r="EN32" s="61">
        <f t="shared" si="64"/>
        <v>0.27083333333333248</v>
      </c>
      <c r="EO32" s="61">
        <f t="shared" si="64"/>
        <v>0.21311475409835787</v>
      </c>
      <c r="EP32" s="61">
        <f t="shared" si="64"/>
        <v>0.17567567567568262</v>
      </c>
      <c r="EQ32" s="61">
        <f t="shared" si="64"/>
        <v>0.14942528735631844</v>
      </c>
      <c r="ER32" s="61">
        <f t="shared" si="64"/>
        <v>0.2400000000000016</v>
      </c>
      <c r="ES32" s="61">
        <f t="shared" si="64"/>
        <v>0.16129032258064491</v>
      </c>
      <c r="ET32" s="61">
        <f t="shared" si="64"/>
        <v>0.1388888888888887</v>
      </c>
      <c r="EU32" s="61">
        <f t="shared" si="64"/>
        <v>0.12195121951219498</v>
      </c>
      <c r="EV32" s="61">
        <f t="shared" si="64"/>
        <v>-5.4347826086958741E-3</v>
      </c>
      <c r="EW32" s="61">
        <f t="shared" si="64"/>
        <v>-5.4644808743170214E-3</v>
      </c>
      <c r="EX32" s="61">
        <f t="shared" si="64"/>
        <v>-5.4945054945057204E-3</v>
      </c>
      <c r="EY32" s="61">
        <f t="shared" si="64"/>
        <v>-5.5248618784532674E-3</v>
      </c>
      <c r="EZ32" s="61">
        <f t="shared" si="64"/>
        <v>0.33333333333333326</v>
      </c>
      <c r="FA32" s="61">
        <f t="shared" si="64"/>
        <v>0.23333333333333281</v>
      </c>
      <c r="FB32" s="61">
        <f t="shared" si="64"/>
        <v>0.20270270270270274</v>
      </c>
      <c r="FC32" s="61">
        <f t="shared" si="64"/>
        <v>0.15730337078651654</v>
      </c>
      <c r="FD32" s="61">
        <f t="shared" si="64"/>
        <v>0.10679611650485482</v>
      </c>
      <c r="FE32" s="61">
        <f t="shared" si="64"/>
        <v>9.6491228070175697E-2</v>
      </c>
      <c r="FF32" s="61">
        <f t="shared" si="64"/>
        <v>8.7999999999998857E-2</v>
      </c>
      <c r="FG32" s="61">
        <f t="shared" si="64"/>
        <v>7.3529411764706135E-2</v>
      </c>
      <c r="FH32" s="61">
        <f t="shared" si="64"/>
        <v>0.15753424657534323</v>
      </c>
      <c r="FI32" s="61">
        <f t="shared" si="64"/>
        <v>0.13609467455621374</v>
      </c>
      <c r="FJ32" s="61">
        <f t="shared" si="64"/>
        <v>0.11979166666666902</v>
      </c>
      <c r="FK32" s="61">
        <f t="shared" si="64"/>
        <v>0.1069767441860401</v>
      </c>
      <c r="FL32" s="61">
        <f t="shared" si="64"/>
        <v>0.25210084033613672</v>
      </c>
      <c r="FM32" s="61">
        <f t="shared" si="64"/>
        <v>0.19798657718121193</v>
      </c>
      <c r="FN32" s="61">
        <f t="shared" si="64"/>
        <v>0.16526610644257458</v>
      </c>
      <c r="FO32" s="61">
        <f t="shared" si="64"/>
        <v>2.2063873626375165E-2</v>
      </c>
      <c r="FP32" s="61">
        <f t="shared" si="64"/>
        <v>5.3338933221332388E-2</v>
      </c>
      <c r="FQ32" s="61">
        <f t="shared" si="64"/>
        <v>0.28787878787878785</v>
      </c>
      <c r="FR32" s="61">
        <f t="shared" si="64"/>
        <v>-0.24659442724458147</v>
      </c>
      <c r="FS32" s="61">
        <f t="shared" si="64"/>
        <v>5.7735771522498112E-2</v>
      </c>
      <c r="FT32" s="61">
        <f t="shared" si="64"/>
        <v>7.4203574203573361E-2</v>
      </c>
      <c r="FU32" s="61">
        <f t="shared" si="57"/>
        <v>6.1482820976492623E-2</v>
      </c>
      <c r="FV32" s="61">
        <f t="shared" si="57"/>
        <v>-2.7257240204429878E-2</v>
      </c>
      <c r="FW32" s="61">
        <f t="shared" si="57"/>
        <v>2.4518388791594587E-2</v>
      </c>
      <c r="FX32" s="61">
        <f t="shared" si="57"/>
        <v>0.17948717948718104</v>
      </c>
      <c r="FY32" s="61">
        <f t="shared" si="57"/>
        <v>0.10434782608695686</v>
      </c>
      <c r="FZ32" s="61">
        <f t="shared" si="57"/>
        <v>-6.1679790026247884E-2</v>
      </c>
      <c r="GA32" s="61">
        <f t="shared" si="57"/>
        <v>3.4965034965034059E-2</v>
      </c>
      <c r="GB32" s="61">
        <f t="shared" si="57"/>
        <v>-2.837837837837813E-2</v>
      </c>
      <c r="GC32" s="61">
        <f t="shared" si="57"/>
        <v>9.4575799721836981E-2</v>
      </c>
      <c r="GD32" s="61">
        <f t="shared" si="57"/>
        <v>0.12452350698856357</v>
      </c>
      <c r="GE32" s="61">
        <f t="shared" si="58"/>
        <v>-7.0056497175140536E-2</v>
      </c>
      <c r="GF32" s="61">
        <f t="shared" si="58"/>
        <v>2.4301336573511384E-2</v>
      </c>
      <c r="GG32" s="61">
        <f t="shared" si="58"/>
        <v>0.12574139976275045</v>
      </c>
      <c r="GH32" s="61">
        <f t="shared" si="58"/>
        <v>1.0537407797682769E-2</v>
      </c>
      <c r="GI32" s="61">
        <f t="shared" si="58"/>
        <v>-0.1115745568300319</v>
      </c>
      <c r="GJ32" s="61">
        <f t="shared" si="58"/>
        <v>-6.6901408450704136E-2</v>
      </c>
      <c r="GK32" s="61">
        <f t="shared" si="58"/>
        <v>-2.6415094339622403E-2</v>
      </c>
      <c r="GL32" s="61">
        <f t="shared" si="58"/>
        <v>1.6795865633075682E-2</v>
      </c>
      <c r="GM32" s="61">
        <f t="shared" si="58"/>
        <v>0.13087674714104067</v>
      </c>
      <c r="GN32" s="61">
        <f t="shared" si="58"/>
        <v>7.8651685393273107E-3</v>
      </c>
      <c r="GO32" s="61">
        <f t="shared" si="59"/>
        <v>-4.4593088071348645E-2</v>
      </c>
      <c r="GP32" s="61">
        <f t="shared" si="59"/>
        <v>8.0513418903148892E-2</v>
      </c>
      <c r="GQ32" s="61">
        <f t="shared" si="59"/>
        <v>-0.1209503239740822</v>
      </c>
      <c r="GR32" s="61">
        <f t="shared" si="59"/>
        <v>0.15479115479115557</v>
      </c>
      <c r="GS32" s="61">
        <f t="shared" si="59"/>
        <v>0.10638297872340362</v>
      </c>
      <c r="GT32" s="61">
        <f t="shared" si="59"/>
        <v>-0.13461538461538389</v>
      </c>
      <c r="GU32" s="61">
        <f t="shared" si="59"/>
        <v>-7.7777777777778265E-2</v>
      </c>
      <c r="GV32" s="61">
        <f t="shared" si="59"/>
        <v>3.614457831325401E-2</v>
      </c>
      <c r="GW32" s="61">
        <f t="shared" si="59"/>
        <v>-1.1627906976745268E-2</v>
      </c>
      <c r="GX32" s="61">
        <f t="shared" si="59"/>
        <v>3.5294117647059801E-2</v>
      </c>
      <c r="GY32" s="61">
        <f t="shared" si="60"/>
        <v>0.34090909090909083</v>
      </c>
      <c r="GZ32" s="61">
        <f t="shared" si="60"/>
        <v>0.2118644067796604</v>
      </c>
      <c r="HA32" s="61">
        <f t="shared" si="60"/>
        <v>-0.10489510489510497</v>
      </c>
      <c r="HB32" s="61">
        <f t="shared" si="60"/>
        <v>-9.3749999999999445E-2</v>
      </c>
      <c r="HC32" s="61">
        <f t="shared" si="60"/>
        <v>7.7586206896550367E-2</v>
      </c>
      <c r="HD32" s="61">
        <f t="shared" si="60"/>
        <v>0.29600000000000087</v>
      </c>
      <c r="HE32" s="61">
        <f t="shared" si="60"/>
        <v>-9.8765432098764858E-2</v>
      </c>
      <c r="HF32" s="61">
        <f t="shared" si="60"/>
        <v>3.4246575342464849E-2</v>
      </c>
      <c r="HG32" s="61">
        <f t="shared" si="60"/>
        <v>-5.9602649006621523E-2</v>
      </c>
      <c r="HH32" s="61">
        <f t="shared" si="60"/>
        <v>7.0422535211267054E-2</v>
      </c>
      <c r="HI32" s="61">
        <f t="shared" si="61"/>
        <v>-0.13157894736842146</v>
      </c>
      <c r="HJ32" s="61">
        <f t="shared" si="61"/>
        <v>0.17424242424242542</v>
      </c>
      <c r="HK32" s="61">
        <f t="shared" si="61"/>
        <v>-4.5161290322580989E-2</v>
      </c>
      <c r="HL32" s="61">
        <f t="shared" si="61"/>
        <v>-4.0540540540540203E-2</v>
      </c>
      <c r="HM32" s="61">
        <f t="shared" si="61"/>
        <v>-0.15492957746478911</v>
      </c>
      <c r="HN32" s="61">
        <f>(DG32-DF32)/DF32</f>
        <v>0</v>
      </c>
      <c r="HP32" s="61">
        <f t="shared" si="4"/>
        <v>9.0999645782951638E-2</v>
      </c>
      <c r="HQ32" s="61">
        <f t="shared" si="5"/>
        <v>1.407050582313769E-2</v>
      </c>
      <c r="HR32" s="61">
        <f t="shared" si="6"/>
        <v>2.1524210144857846E-2</v>
      </c>
      <c r="HS32" s="89">
        <f t="shared" si="7"/>
        <v>7.1975973487986594E-2</v>
      </c>
      <c r="HT32" s="89">
        <f t="shared" si="8"/>
        <v>-5.8139534883726342E-3</v>
      </c>
      <c r="HU32" s="89">
        <f t="shared" si="9"/>
        <v>3.9325842696636554E-3</v>
      </c>
      <c r="HW32" s="168" t="s">
        <v>78</v>
      </c>
      <c r="HX32" s="38">
        <v>7.1975973487986802E-2</v>
      </c>
      <c r="HY32" s="27" t="s">
        <v>131</v>
      </c>
    </row>
    <row r="33" spans="1:233" ht="15" customHeight="1" x14ac:dyDescent="0.2">
      <c r="DS33" s="47"/>
      <c r="DV33" s="47"/>
    </row>
    <row r="34" spans="1:233" ht="15" customHeight="1" x14ac:dyDescent="0.2">
      <c r="A34" s="158" t="s">
        <v>123</v>
      </c>
      <c r="B34" s="159" t="s">
        <v>288</v>
      </c>
      <c r="DS34" s="47"/>
      <c r="DV34" s="47"/>
    </row>
    <row r="35" spans="1:233" ht="15" customHeight="1" x14ac:dyDescent="0.2">
      <c r="A35" s="9" t="s">
        <v>132</v>
      </c>
      <c r="B35" s="9" t="s">
        <v>72</v>
      </c>
      <c r="J35" s="166">
        <v>3289.1855858563099</v>
      </c>
      <c r="K35" s="166">
        <v>4312.8606916585304</v>
      </c>
      <c r="L35" s="166">
        <v>5336.5357974607496</v>
      </c>
      <c r="M35" s="166">
        <v>6360.2109032629696</v>
      </c>
      <c r="N35" s="166">
        <v>7383.8860090651897</v>
      </c>
      <c r="O35" s="166">
        <v>12250.5381514036</v>
      </c>
      <c r="P35" s="166">
        <v>17117.190293742002</v>
      </c>
      <c r="Q35" s="166">
        <v>22151.658027195601</v>
      </c>
      <c r="R35" s="166">
        <v>26850.4945784189</v>
      </c>
      <c r="S35" s="166">
        <v>30878.068765181699</v>
      </c>
      <c r="T35" s="166">
        <v>34905.642951944501</v>
      </c>
      <c r="U35" s="166">
        <v>38933.217138707303</v>
      </c>
      <c r="V35" s="166">
        <v>42960.7913254702</v>
      </c>
      <c r="W35" s="166">
        <v>63769.924623744802</v>
      </c>
      <c r="X35" s="166">
        <v>85250.320286479895</v>
      </c>
      <c r="Y35" s="166">
        <v>128211.11161194999</v>
      </c>
      <c r="Z35" s="166">
        <v>147677.720181304</v>
      </c>
      <c r="AA35" s="166">
        <v>167815.591115118</v>
      </c>
      <c r="AB35" s="166">
        <v>213461.43189842999</v>
      </c>
      <c r="AC35" s="166">
        <v>196008.610422458</v>
      </c>
      <c r="AD35" s="166">
        <v>179227.051310946</v>
      </c>
      <c r="AE35" s="166">
        <v>161774.22983497399</v>
      </c>
      <c r="AF35" s="166">
        <v>144992.67072346201</v>
      </c>
      <c r="AG35" s="166">
        <v>196679.87278691799</v>
      </c>
      <c r="AH35" s="166">
        <v>249038.33721483499</v>
      </c>
      <c r="AI35" s="166">
        <v>301396.80164275202</v>
      </c>
      <c r="AJ35" s="166">
        <v>353084.00370620802</v>
      </c>
      <c r="AK35" s="166">
        <v>416182.66596549202</v>
      </c>
      <c r="AL35" s="166">
        <v>478610.06586031598</v>
      </c>
      <c r="AM35" s="166">
        <v>541708.72811959998</v>
      </c>
      <c r="AN35" s="166">
        <v>604136.128014424</v>
      </c>
      <c r="AO35" s="166">
        <v>832365.33193098498</v>
      </c>
      <c r="AP35" s="166">
        <v>765239.09548493696</v>
      </c>
      <c r="AQ35" s="166">
        <v>677974.98810507602</v>
      </c>
      <c r="AR35" s="166">
        <v>889422.63291012496</v>
      </c>
      <c r="AS35" s="166">
        <v>1074019.7831367501</v>
      </c>
      <c r="AT35" s="166">
        <v>1396225.71807778</v>
      </c>
      <c r="AU35" s="166">
        <v>1611029.67470513</v>
      </c>
      <c r="AV35" s="166">
        <v>1275398.4924749001</v>
      </c>
      <c r="AW35" s="166">
        <v>1409650.9653669901</v>
      </c>
      <c r="AX35" s="166">
        <v>1747295.93469061</v>
      </c>
      <c r="AY35" s="166">
        <v>1862753.0613778101</v>
      </c>
      <c r="AZ35" s="166">
        <v>1633852.59509679</v>
      </c>
      <c r="BA35" s="166">
        <v>1743939.62286831</v>
      </c>
      <c r="BB35" s="166">
        <v>2209795.7038038699</v>
      </c>
      <c r="BC35" s="166">
        <v>2228591.0500087701</v>
      </c>
      <c r="BD35" s="166">
        <v>2315855.1573886299</v>
      </c>
      <c r="BE35" s="166">
        <v>2546769.4107630299</v>
      </c>
      <c r="BF35" s="166">
        <v>2688405.7696641898</v>
      </c>
      <c r="BG35" s="166">
        <v>2862933.9844239098</v>
      </c>
      <c r="BH35" s="166">
        <v>3094998.9732802501</v>
      </c>
      <c r="BI35" s="166">
        <v>2932577.4547366798</v>
      </c>
      <c r="BJ35" s="166">
        <v>2902610.3848946998</v>
      </c>
      <c r="BK35" s="166">
        <v>3092601.6076928899</v>
      </c>
      <c r="BL35" s="166">
        <v>3111181.1909949202</v>
      </c>
      <c r="BM35" s="166">
        <v>1389273.35787444</v>
      </c>
      <c r="BN35" s="166">
        <v>1527721.2205444099</v>
      </c>
      <c r="BO35" s="166">
        <v>1511539.0028297401</v>
      </c>
      <c r="BP35" s="166">
        <v>1572671.82530739</v>
      </c>
      <c r="BQ35" s="166">
        <v>1682950.6423259</v>
      </c>
      <c r="BR35" s="166">
        <v>2218162.5097037498</v>
      </c>
      <c r="BS35" s="166">
        <v>2156430.3458292601</v>
      </c>
      <c r="BT35" s="166">
        <v>1832785.9915358201</v>
      </c>
      <c r="BU35" s="166">
        <v>1596645.4811809801</v>
      </c>
      <c r="BV35" s="166">
        <v>1857958.3302030901</v>
      </c>
      <c r="BW35" s="166">
        <v>2327841.9853254198</v>
      </c>
      <c r="BX35" s="166">
        <v>2310461.08481707</v>
      </c>
      <c r="BY35" s="166">
        <v>2554393.0333308298</v>
      </c>
      <c r="BZ35" s="166">
        <v>2558588.42310871</v>
      </c>
      <c r="CA35" s="166">
        <v>2830689.4172739298</v>
      </c>
      <c r="CB35" s="166">
        <v>2728801.3798111798</v>
      </c>
      <c r="CC35" s="166">
        <v>2318851.8643728201</v>
      </c>
      <c r="CD35" s="166">
        <v>2299672.93967395</v>
      </c>
      <c r="CE35" s="166">
        <v>2423736.6088197702</v>
      </c>
      <c r="CF35" s="166">
        <v>2157629.0286229402</v>
      </c>
      <c r="CG35" s="166">
        <v>2285888.0875466401</v>
      </c>
      <c r="CH35" s="166">
        <v>2406355.7083114199</v>
      </c>
      <c r="CI35" s="166">
        <v>2430329.3641850101</v>
      </c>
      <c r="CJ35" s="166">
        <v>2768957.2533994401</v>
      </c>
      <c r="CK35" s="166">
        <v>2697036.2857786799</v>
      </c>
      <c r="CL35" s="166">
        <v>2816904.5651466199</v>
      </c>
      <c r="CM35" s="166">
        <v>2996706.9841985302</v>
      </c>
      <c r="CN35" s="166">
        <v>2876838.7048305902</v>
      </c>
      <c r="CO35" s="166">
        <v>3176509.4032504498</v>
      </c>
      <c r="CP35" s="166">
        <v>2996706.9841985302</v>
      </c>
      <c r="CQ35" s="166">
        <v>3116575.2635664698</v>
      </c>
      <c r="CR35" s="166">
        <v>3476180.1016703001</v>
      </c>
      <c r="CS35" s="166">
        <v>3769857.3861217499</v>
      </c>
      <c r="CT35" s="166">
        <v>3829791.5258057299</v>
      </c>
      <c r="CU35" s="166">
        <v>3476180.1016703001</v>
      </c>
      <c r="CV35" s="166">
        <v>3835784.9397741202</v>
      </c>
      <c r="CW35" s="166">
        <v>4015587.35882603</v>
      </c>
      <c r="CX35" s="166">
        <v>4333238.2991510797</v>
      </c>
      <c r="CY35" s="166">
        <v>4435126.3366138302</v>
      </c>
      <c r="CZ35" s="166">
        <v>3620022.0369118298</v>
      </c>
      <c r="DA35" s="166">
        <v>4159429.2940675602</v>
      </c>
      <c r="DB35" s="166">
        <v>3775850.80009015</v>
      </c>
      <c r="DC35" s="166">
        <v>3775850.80009015</v>
      </c>
      <c r="DD35" s="166">
        <v>4471086.8204242103</v>
      </c>
      <c r="DE35" s="166">
        <v>5034467.7334535401</v>
      </c>
      <c r="DF35" s="45">
        <v>5154336.0128214797</v>
      </c>
      <c r="DG35" s="45">
        <v>5394072.5715573598</v>
      </c>
      <c r="DJ35" s="9"/>
      <c r="DK35" s="9"/>
      <c r="DL35" s="9"/>
      <c r="DM35" s="9"/>
      <c r="DN35" s="9"/>
      <c r="DO35" s="9"/>
      <c r="DP35" s="9"/>
      <c r="DQ35" s="9"/>
      <c r="DR35" s="61">
        <f t="shared" ref="DR35:EW35" si="65">(K35-J35)/J35</f>
        <v>0.31122448979591888</v>
      </c>
      <c r="DS35" s="61">
        <f t="shared" si="65"/>
        <v>0.2373540856031128</v>
      </c>
      <c r="DT35" s="61">
        <f t="shared" si="65"/>
        <v>0.19182389937106933</v>
      </c>
      <c r="DU35" s="61">
        <f t="shared" si="65"/>
        <v>0.16094986807387873</v>
      </c>
      <c r="DV35" s="61">
        <f t="shared" si="65"/>
        <v>0.65909090909090773</v>
      </c>
      <c r="DW35" s="61">
        <f t="shared" si="65"/>
        <v>0.39726027397260155</v>
      </c>
      <c r="DX35" s="61">
        <f t="shared" si="65"/>
        <v>0.29411764705882759</v>
      </c>
      <c r="DY35" s="61">
        <f t="shared" si="65"/>
        <v>0.21212121212121168</v>
      </c>
      <c r="DZ35" s="61">
        <f t="shared" si="65"/>
        <v>0.14999999999999863</v>
      </c>
      <c r="EA35" s="61">
        <f t="shared" si="65"/>
        <v>0.13043478260869473</v>
      </c>
      <c r="EB35" s="61">
        <f t="shared" si="65"/>
        <v>0.11538461538461467</v>
      </c>
      <c r="EC35" s="61">
        <f t="shared" si="65"/>
        <v>0.10344827586207082</v>
      </c>
      <c r="ED35" s="61">
        <f t="shared" si="65"/>
        <v>0.48437499999999939</v>
      </c>
      <c r="EE35" s="61">
        <f t="shared" si="65"/>
        <v>0.33684210526315794</v>
      </c>
      <c r="EF35" s="61">
        <f t="shared" si="65"/>
        <v>0.50393700787401474</v>
      </c>
      <c r="EG35" s="61">
        <f t="shared" si="65"/>
        <v>0.15183246073298698</v>
      </c>
      <c r="EH35" s="61">
        <f t="shared" si="65"/>
        <v>0.13636363636363516</v>
      </c>
      <c r="EI35" s="61">
        <f t="shared" si="65"/>
        <v>0.27199999999999935</v>
      </c>
      <c r="EJ35" s="61">
        <f t="shared" si="65"/>
        <v>-8.1761006289306867E-2</v>
      </c>
      <c r="EK35" s="61">
        <f t="shared" si="65"/>
        <v>-8.561643835616535E-2</v>
      </c>
      <c r="EL35" s="61">
        <f t="shared" si="65"/>
        <v>-9.7378277153556625E-2</v>
      </c>
      <c r="EM35" s="61">
        <f t="shared" si="65"/>
        <v>-0.10373443983402583</v>
      </c>
      <c r="EN35" s="61">
        <f t="shared" si="65"/>
        <v>0.35648148148147879</v>
      </c>
      <c r="EO35" s="61">
        <f t="shared" si="65"/>
        <v>0.26621160409556449</v>
      </c>
      <c r="EP35" s="61">
        <f t="shared" si="65"/>
        <v>0.21024258760107914</v>
      </c>
      <c r="EQ35" s="61">
        <f t="shared" si="65"/>
        <v>0.1714922048997761</v>
      </c>
      <c r="ER35" s="61">
        <f t="shared" si="65"/>
        <v>0.17870722433459985</v>
      </c>
      <c r="ES35" s="61">
        <f t="shared" si="65"/>
        <v>0.15000000000000038</v>
      </c>
      <c r="ET35" s="61">
        <f t="shared" si="65"/>
        <v>0.13183730715287456</v>
      </c>
      <c r="EU35" s="61">
        <f t="shared" si="65"/>
        <v>0.11524163568773277</v>
      </c>
      <c r="EV35" s="61">
        <f t="shared" si="65"/>
        <v>0.3777777777777791</v>
      </c>
      <c r="EW35" s="61">
        <f t="shared" si="65"/>
        <v>-8.0645161290323591E-2</v>
      </c>
      <c r="EX35" s="61">
        <f t="shared" ref="EX35:GC35" si="66">(AQ35-AP35)/AP35</f>
        <v>-0.11403508771929786</v>
      </c>
      <c r="EY35" s="61">
        <f t="shared" si="66"/>
        <v>0.3118811881188126</v>
      </c>
      <c r="EZ35" s="61">
        <f t="shared" si="66"/>
        <v>0.20754716981131563</v>
      </c>
      <c r="FA35" s="61">
        <f t="shared" si="66"/>
        <v>0.30000000000000449</v>
      </c>
      <c r="FB35" s="61">
        <f t="shared" si="66"/>
        <v>0.15384615384615336</v>
      </c>
      <c r="FC35" s="61">
        <f t="shared" si="66"/>
        <v>-0.20833333333332993</v>
      </c>
      <c r="FD35" s="61">
        <f t="shared" si="66"/>
        <v>0.1052631578947331</v>
      </c>
      <c r="FE35" s="61">
        <f t="shared" si="66"/>
        <v>0.23952380952381153</v>
      </c>
      <c r="FF35" s="61">
        <f t="shared" si="66"/>
        <v>6.6077602766038482E-2</v>
      </c>
      <c r="FG35" s="61">
        <f t="shared" si="66"/>
        <v>-0.12288288288288239</v>
      </c>
      <c r="FH35" s="61">
        <f t="shared" si="66"/>
        <v>6.7378800328678587E-2</v>
      </c>
      <c r="FI35" s="61">
        <f t="shared" si="66"/>
        <v>0.2671285604310959</v>
      </c>
      <c r="FJ35" s="61">
        <f t="shared" si="66"/>
        <v>8.5054678007322072E-3</v>
      </c>
      <c r="FK35" s="61">
        <f t="shared" si="66"/>
        <v>3.9156626506023334E-2</v>
      </c>
      <c r="FL35" s="61">
        <f t="shared" si="66"/>
        <v>9.9710144927535188E-2</v>
      </c>
      <c r="FM35" s="61">
        <f t="shared" si="66"/>
        <v>5.5614127569847245E-2</v>
      </c>
      <c r="FN35" s="61">
        <f t="shared" si="66"/>
        <v>6.4918851435704375E-2</v>
      </c>
      <c r="FO35" s="61">
        <f t="shared" si="66"/>
        <v>8.1058449170995209E-2</v>
      </c>
      <c r="FP35" s="61">
        <f t="shared" si="66"/>
        <v>-5.2478698683194408E-2</v>
      </c>
      <c r="FQ35" s="61">
        <f t="shared" si="66"/>
        <v>-1.0218679746574942E-2</v>
      </c>
      <c r="FR35" s="61">
        <f t="shared" si="66"/>
        <v>6.5455296303944879E-2</v>
      </c>
      <c r="FS35" s="61">
        <f t="shared" si="66"/>
        <v>6.0077519379843061E-3</v>
      </c>
      <c r="FT35" s="61">
        <f t="shared" si="66"/>
        <v>-0.55345790791755001</v>
      </c>
      <c r="FU35" s="61">
        <f t="shared" si="66"/>
        <v>9.9654874892146722E-2</v>
      </c>
      <c r="FV35" s="61">
        <f t="shared" si="66"/>
        <v>-1.059238917222298E-2</v>
      </c>
      <c r="FW35" s="61">
        <f t="shared" si="66"/>
        <v>4.0444091990483627E-2</v>
      </c>
      <c r="FX35" s="61">
        <f t="shared" si="66"/>
        <v>7.0121951219514783E-2</v>
      </c>
      <c r="FY35" s="61">
        <f t="shared" si="66"/>
        <v>0.31801994301993741</v>
      </c>
      <c r="FZ35" s="61">
        <f t="shared" si="66"/>
        <v>-2.7830316130775495E-2</v>
      </c>
      <c r="GA35" s="61">
        <f t="shared" si="66"/>
        <v>-0.15008337965536367</v>
      </c>
      <c r="GB35" s="61">
        <f t="shared" si="66"/>
        <v>-0.12884238064093956</v>
      </c>
      <c r="GC35" s="61">
        <f t="shared" si="66"/>
        <v>0.16366366366366217</v>
      </c>
      <c r="GD35" s="61">
        <f t="shared" ref="GD35:HI35" si="67">(BW35-BV35)/BV35</f>
        <v>0.25290322580645153</v>
      </c>
      <c r="GE35" s="61">
        <f t="shared" si="67"/>
        <v>-7.4665293511836052E-3</v>
      </c>
      <c r="GF35" s="61">
        <f t="shared" si="67"/>
        <v>0.10557717250324214</v>
      </c>
      <c r="GG35" s="61">
        <f t="shared" si="67"/>
        <v>1.6424213984053721E-3</v>
      </c>
      <c r="GH35" s="61">
        <f t="shared" si="67"/>
        <v>0.10634809088779291</v>
      </c>
      <c r="GI35" s="61">
        <f t="shared" si="67"/>
        <v>-3.5994071564683469E-2</v>
      </c>
      <c r="GJ35" s="61">
        <f t="shared" si="67"/>
        <v>-0.15023061717548908</v>
      </c>
      <c r="GK35" s="61">
        <f t="shared" si="67"/>
        <v>-8.2708710261047598E-3</v>
      </c>
      <c r="GL35" s="61">
        <f t="shared" si="67"/>
        <v>5.3948397185301519E-2</v>
      </c>
      <c r="GM35" s="61">
        <f t="shared" si="67"/>
        <v>-0.10979228486646909</v>
      </c>
      <c r="GN35" s="61">
        <f t="shared" si="67"/>
        <v>5.9444444444445785E-2</v>
      </c>
      <c r="GO35" s="61">
        <f t="shared" si="67"/>
        <v>5.2700576822233385E-2</v>
      </c>
      <c r="GP35" s="61">
        <f t="shared" si="67"/>
        <v>9.9626400996271937E-3</v>
      </c>
      <c r="GQ35" s="61">
        <f t="shared" si="67"/>
        <v>0.13933415536374674</v>
      </c>
      <c r="GR35" s="61">
        <f t="shared" si="67"/>
        <v>-2.5974025974024359E-2</v>
      </c>
      <c r="GS35" s="61">
        <f t="shared" si="67"/>
        <v>4.4444444444443967E-2</v>
      </c>
      <c r="GT35" s="61">
        <f t="shared" si="67"/>
        <v>6.3829787234041979E-2</v>
      </c>
      <c r="GU35" s="61">
        <f t="shared" si="67"/>
        <v>-3.9999999999999605E-2</v>
      </c>
      <c r="GV35" s="61">
        <f t="shared" si="67"/>
        <v>0.10416666666666892</v>
      </c>
      <c r="GW35" s="61">
        <f t="shared" si="67"/>
        <v>-5.6603773584907972E-2</v>
      </c>
      <c r="GX35" s="61">
        <f t="shared" si="67"/>
        <v>3.9999999999999453E-2</v>
      </c>
      <c r="GY35" s="61">
        <f t="shared" si="67"/>
        <v>0.1153846153846176</v>
      </c>
      <c r="GZ35" s="61">
        <f t="shared" si="67"/>
        <v>8.4482758620687742E-2</v>
      </c>
      <c r="HA35" s="61">
        <f t="shared" si="67"/>
        <v>1.5898251192371343E-2</v>
      </c>
      <c r="HB35" s="61">
        <f t="shared" si="67"/>
        <v>-9.2331768388107055E-2</v>
      </c>
      <c r="HC35" s="61">
        <f t="shared" si="67"/>
        <v>0.1034482758620678</v>
      </c>
      <c r="HD35" s="61">
        <f t="shared" si="67"/>
        <v>4.6874999999999459E-2</v>
      </c>
      <c r="HE35" s="61">
        <f t="shared" si="67"/>
        <v>7.910447761194167E-2</v>
      </c>
      <c r="HF35" s="61">
        <f t="shared" si="67"/>
        <v>2.3513139695712379E-2</v>
      </c>
      <c r="HG35" s="61">
        <f t="shared" si="67"/>
        <v>-0.18378378378378357</v>
      </c>
      <c r="HH35" s="61">
        <f t="shared" si="67"/>
        <v>0.14900662251655467</v>
      </c>
      <c r="HI35" s="61">
        <f t="shared" si="67"/>
        <v>-9.2219020172910268E-2</v>
      </c>
      <c r="HJ35" s="61">
        <f t="shared" ref="HJ35:HN35" si="68">(DC35-DB35)/DB35</f>
        <v>0</v>
      </c>
      <c r="HK35" s="61">
        <f t="shared" si="68"/>
        <v>0.18412698412698439</v>
      </c>
      <c r="HL35" s="61">
        <f t="shared" si="68"/>
        <v>0.12600536193029618</v>
      </c>
      <c r="HM35" s="61">
        <f t="shared" si="68"/>
        <v>2.380952380952344E-2</v>
      </c>
      <c r="HN35" s="61">
        <f t="shared" si="68"/>
        <v>4.6511627906976216E-2</v>
      </c>
      <c r="HP35" s="61">
        <f>AVERAGE(DK35:HN35)</f>
        <v>8.9499418932551519E-2</v>
      </c>
      <c r="HQ35" s="61">
        <f>AVERAGE(GI35:HN35)</f>
        <v>2.4087422949430073E-2</v>
      </c>
      <c r="HR35" s="61">
        <f>AVERAGE(GI35:HK35,HN35)</f>
        <v>2.0699421621398092E-2</v>
      </c>
      <c r="HS35" s="89">
        <f>MEDIAN($DK35:$HN35)</f>
        <v>7.910447761194167E-2</v>
      </c>
      <c r="HT35" s="89">
        <f>MEDIAN($GI35:$HN35)</f>
        <v>4.222222222222171E-2</v>
      </c>
      <c r="HU35" s="167">
        <f>MEDIAN($GI35:$HK35,$HN35)</f>
        <v>4.222222222222171E-2</v>
      </c>
      <c r="HW35" s="9" t="s">
        <v>72</v>
      </c>
      <c r="HX35" s="46">
        <v>4.2222222222222203E-2</v>
      </c>
      <c r="HY35" s="30" t="s">
        <v>134</v>
      </c>
    </row>
    <row r="36" spans="1:233" ht="15" customHeight="1" x14ac:dyDescent="0.2">
      <c r="DS36" s="47"/>
      <c r="DV36" s="47"/>
    </row>
    <row r="37" spans="1:233" ht="15.75" customHeight="1" x14ac:dyDescent="0.2">
      <c r="AI37" s="193"/>
      <c r="AJ37" s="193"/>
      <c r="AK37" s="193"/>
      <c r="AL37" s="193"/>
      <c r="AM37" s="193"/>
      <c r="AN37" s="193"/>
      <c r="AO37" s="193"/>
      <c r="AP37" s="193"/>
      <c r="AQ37" s="193"/>
      <c r="AR37" s="193"/>
      <c r="AS37" s="193"/>
      <c r="AT37" s="193"/>
      <c r="AU37" s="193"/>
      <c r="AV37" s="193"/>
      <c r="AW37" s="193"/>
      <c r="AX37" s="193"/>
      <c r="AY37" s="193"/>
      <c r="AZ37" s="193"/>
      <c r="BA37" s="193"/>
      <c r="BB37" s="193"/>
      <c r="BC37" s="193"/>
      <c r="BD37" s="193"/>
      <c r="BE37" s="193"/>
      <c r="BF37" s="193"/>
      <c r="BG37" s="193"/>
      <c r="BH37" s="193"/>
      <c r="BI37" s="193"/>
      <c r="BJ37" s="193"/>
      <c r="BK37" s="193"/>
      <c r="BL37" s="193"/>
      <c r="BM37" s="193"/>
      <c r="BN37" s="193"/>
      <c r="BO37" s="193"/>
      <c r="BP37" s="193"/>
      <c r="BQ37" s="193"/>
      <c r="BR37" s="194"/>
      <c r="BS37" s="193"/>
      <c r="BT37" s="193"/>
      <c r="BU37" s="193"/>
      <c r="BV37" s="193"/>
      <c r="BW37" s="193"/>
      <c r="BX37" s="193"/>
      <c r="BY37" s="193"/>
      <c r="BZ37" s="193"/>
      <c r="CA37" s="193"/>
      <c r="CB37" s="193"/>
      <c r="CC37" s="193"/>
      <c r="CD37" s="193"/>
      <c r="CE37" s="193"/>
      <c r="CF37" s="193"/>
      <c r="CG37" s="193"/>
      <c r="CH37" s="193"/>
      <c r="CI37" s="193"/>
      <c r="CJ37" s="193"/>
      <c r="CK37" s="193"/>
      <c r="CL37" s="193"/>
      <c r="CM37" s="193"/>
      <c r="CN37" s="193"/>
      <c r="CO37" s="193"/>
      <c r="CP37" s="193"/>
      <c r="CQ37" s="193"/>
      <c r="CR37" s="193"/>
      <c r="CS37" s="193"/>
      <c r="CT37" s="193"/>
      <c r="CU37" s="193"/>
      <c r="CV37" s="193"/>
      <c r="CW37" s="193"/>
      <c r="CX37" s="193"/>
      <c r="CY37" s="193"/>
      <c r="CZ37" s="193"/>
      <c r="DA37" s="193"/>
      <c r="DB37" s="193"/>
      <c r="DC37" s="193"/>
      <c r="DD37" s="193"/>
      <c r="DE37" s="193"/>
      <c r="DF37" s="105"/>
      <c r="DG37" s="193"/>
      <c r="EG37" s="62"/>
      <c r="EH37" s="62"/>
      <c r="EI37" s="62"/>
      <c r="EJ37" s="62"/>
      <c r="EK37" s="62"/>
      <c r="EL37" s="62"/>
      <c r="EM37" s="62"/>
      <c r="EN37" s="62"/>
      <c r="EO37" s="62"/>
      <c r="EP37" s="62"/>
      <c r="EQ37" s="62"/>
      <c r="ER37" s="62"/>
      <c r="ES37" s="62"/>
      <c r="ET37" s="62"/>
      <c r="EU37" s="62"/>
      <c r="EV37" s="62"/>
      <c r="EW37" s="62"/>
      <c r="EX37" s="62"/>
      <c r="EY37" s="62"/>
      <c r="EZ37" s="62"/>
      <c r="FA37" s="62"/>
      <c r="FB37" s="62"/>
      <c r="FC37" s="62"/>
      <c r="FD37" s="62"/>
      <c r="FE37" s="62"/>
      <c r="FF37" s="62"/>
      <c r="FG37" s="62"/>
      <c r="FH37" s="62"/>
      <c r="FI37" s="62"/>
      <c r="FJ37" s="62"/>
      <c r="FK37" s="62"/>
      <c r="FL37" s="62"/>
      <c r="FM37" s="62"/>
      <c r="FN37" s="62"/>
      <c r="FO37" s="62"/>
      <c r="FP37" s="62"/>
      <c r="FQ37" s="62"/>
      <c r="FR37" s="62"/>
      <c r="FS37" s="62"/>
      <c r="FT37" s="62"/>
      <c r="FU37" s="62"/>
      <c r="FV37" s="62"/>
      <c r="FW37" s="62"/>
      <c r="FX37" s="62"/>
      <c r="FY37" s="62"/>
      <c r="FZ37" s="62"/>
      <c r="GA37" s="62"/>
      <c r="GB37" s="62"/>
      <c r="GC37" s="62"/>
      <c r="GD37" s="62"/>
      <c r="GE37" s="62"/>
      <c r="GF37" s="62"/>
      <c r="GG37" s="62"/>
      <c r="GH37" s="62"/>
      <c r="GI37" s="62"/>
      <c r="GJ37" s="62"/>
      <c r="GK37" s="62"/>
      <c r="GL37" s="62"/>
      <c r="GM37" s="62"/>
      <c r="GN37" s="62"/>
      <c r="GO37" s="62"/>
      <c r="GP37" s="62"/>
      <c r="GQ37" s="62"/>
      <c r="GR37" s="62"/>
      <c r="GS37" s="62"/>
      <c r="GT37" s="62"/>
      <c r="GU37" s="62"/>
      <c r="GV37" s="62"/>
      <c r="GW37" s="62"/>
      <c r="GX37" s="62"/>
      <c r="GY37" s="62"/>
      <c r="GZ37" s="62"/>
      <c r="HA37" s="62"/>
      <c r="HB37" s="62"/>
      <c r="HC37" s="62"/>
      <c r="HD37" s="62"/>
      <c r="HE37" s="62"/>
      <c r="HF37" s="62"/>
      <c r="HG37" s="62"/>
      <c r="HH37" s="62"/>
      <c r="HI37" s="62"/>
      <c r="HJ37" s="62"/>
    </row>
    <row r="38" spans="1:233" ht="19.5" customHeight="1" x14ac:dyDescent="0.25">
      <c r="A38" s="263" t="s">
        <v>289</v>
      </c>
      <c r="B38" s="264"/>
      <c r="C38" s="264"/>
      <c r="D38" s="264"/>
      <c r="E38" s="264"/>
      <c r="F38" s="264"/>
      <c r="G38" s="264"/>
      <c r="H38" s="264"/>
      <c r="I38" s="264"/>
      <c r="J38" s="264"/>
      <c r="K38" s="264"/>
      <c r="L38" s="264"/>
      <c r="M38" s="264"/>
      <c r="N38" s="265"/>
    </row>
    <row r="39" spans="1:233" ht="15" customHeight="1" x14ac:dyDescent="0.2">
      <c r="A39" s="109"/>
      <c r="B39" s="110"/>
      <c r="C39" s="110"/>
      <c r="D39" s="110"/>
      <c r="E39" s="110"/>
      <c r="F39" s="110"/>
      <c r="G39" s="110"/>
      <c r="H39" s="110"/>
      <c r="I39" s="110"/>
      <c r="J39" s="110"/>
      <c r="K39" s="110"/>
      <c r="L39" s="110"/>
      <c r="M39" s="110"/>
      <c r="N39" s="111"/>
    </row>
    <row r="40" spans="1:233" ht="15" customHeight="1" x14ac:dyDescent="0.2">
      <c r="A40" s="195" t="s">
        <v>156</v>
      </c>
      <c r="B40" s="108"/>
      <c r="C40" s="108"/>
      <c r="D40" s="108"/>
      <c r="E40" s="108"/>
      <c r="F40" s="108"/>
      <c r="G40" s="108"/>
      <c r="H40" s="9" t="s">
        <v>290</v>
      </c>
      <c r="I40" s="108"/>
      <c r="J40" s="108"/>
      <c r="K40" s="108"/>
      <c r="L40" s="196" t="s">
        <v>291</v>
      </c>
      <c r="M40" s="108"/>
      <c r="N40" s="113"/>
      <c r="AX40" s="197">
        <v>1900</v>
      </c>
      <c r="AY40" s="197">
        <v>1910</v>
      </c>
      <c r="AZ40" s="197">
        <v>1920</v>
      </c>
      <c r="BA40" s="197">
        <f t="shared" ref="BA40:BJ40" si="69">AZ40+10</f>
        <v>1930</v>
      </c>
      <c r="BB40" s="197">
        <f t="shared" si="69"/>
        <v>1940</v>
      </c>
      <c r="BC40" s="197">
        <f t="shared" si="69"/>
        <v>1950</v>
      </c>
      <c r="BD40" s="197">
        <f t="shared" si="69"/>
        <v>1960</v>
      </c>
      <c r="BE40" s="197">
        <f t="shared" si="69"/>
        <v>1970</v>
      </c>
      <c r="BF40" s="197">
        <f t="shared" si="69"/>
        <v>1980</v>
      </c>
      <c r="BG40" s="197">
        <f t="shared" si="69"/>
        <v>1990</v>
      </c>
      <c r="BH40" s="197">
        <f t="shared" si="69"/>
        <v>2000</v>
      </c>
      <c r="BI40" s="197">
        <f t="shared" si="69"/>
        <v>2010</v>
      </c>
      <c r="BJ40" s="197">
        <f t="shared" si="69"/>
        <v>2020</v>
      </c>
      <c r="DJ40" s="62"/>
      <c r="DK40" s="62"/>
      <c r="DL40" s="62"/>
      <c r="DM40" s="62"/>
      <c r="DN40" s="62"/>
      <c r="DO40" s="62"/>
      <c r="DP40" s="62"/>
      <c r="DQ40" s="62"/>
      <c r="DR40" s="62"/>
      <c r="DS40" s="62"/>
      <c r="DT40" s="62"/>
      <c r="DU40" s="62"/>
      <c r="DV40" s="62"/>
    </row>
    <row r="41" spans="1:233" ht="15" customHeight="1" x14ac:dyDescent="0.2">
      <c r="A41" s="198" t="s">
        <v>290</v>
      </c>
      <c r="B41" s="108"/>
      <c r="C41" s="108"/>
      <c r="D41" s="108"/>
      <c r="E41" s="108"/>
      <c r="F41" s="108"/>
      <c r="G41" s="108"/>
      <c r="H41" s="162" t="s">
        <v>292</v>
      </c>
      <c r="I41" s="162" t="s">
        <v>293</v>
      </c>
      <c r="J41" s="160" t="s">
        <v>163</v>
      </c>
      <c r="K41" s="160" t="s">
        <v>294</v>
      </c>
      <c r="L41" s="63" t="s">
        <v>295</v>
      </c>
      <c r="M41" s="108"/>
      <c r="N41" s="113"/>
      <c r="AX41" s="9">
        <v>71760.7973421926</v>
      </c>
      <c r="AY41" s="9">
        <v>119601.32890365399</v>
      </c>
      <c r="AZ41" s="9">
        <v>82392.026578072997</v>
      </c>
      <c r="BA41" s="9">
        <v>159468.43853820601</v>
      </c>
      <c r="BB41" s="9">
        <v>111627.90697674399</v>
      </c>
      <c r="BC41" s="9">
        <v>164784.05315614599</v>
      </c>
      <c r="BD41" s="9">
        <v>198449.61240310001</v>
      </c>
      <c r="BE41" s="9">
        <v>223698.781838316</v>
      </c>
      <c r="BF41" s="9">
        <v>220598.006644518</v>
      </c>
      <c r="BG41" s="9">
        <v>228571.428571428</v>
      </c>
      <c r="BH41" s="9">
        <v>276411.96013288997</v>
      </c>
      <c r="BI41" s="9">
        <v>349944.62901439599</v>
      </c>
      <c r="BJ41" s="9">
        <v>341528.23920265702</v>
      </c>
      <c r="DJ41" s="62"/>
      <c r="DK41" s="62"/>
      <c r="DL41" s="62"/>
      <c r="DM41" s="62"/>
      <c r="DN41" s="62"/>
      <c r="DO41" s="62"/>
      <c r="DP41" s="62"/>
      <c r="DQ41" s="62"/>
      <c r="DR41" s="62"/>
      <c r="DS41" s="62"/>
      <c r="DT41" s="62"/>
      <c r="DU41" s="62"/>
      <c r="DV41" s="62"/>
      <c r="HP41" s="62"/>
      <c r="HQ41" s="62"/>
      <c r="HR41" s="62"/>
      <c r="HS41" s="62"/>
      <c r="HU41" s="62"/>
    </row>
    <row r="42" spans="1:233" ht="15" customHeight="1" x14ac:dyDescent="0.2">
      <c r="A42" s="198" t="s">
        <v>291</v>
      </c>
      <c r="B42" s="108"/>
      <c r="C42" s="108"/>
      <c r="D42" s="108"/>
      <c r="E42" s="108"/>
      <c r="F42" s="108"/>
      <c r="G42" s="108"/>
      <c r="H42" s="199" t="s">
        <v>40</v>
      </c>
      <c r="I42" s="200">
        <v>24000</v>
      </c>
      <c r="J42" s="199" t="s">
        <v>77</v>
      </c>
      <c r="K42" s="23">
        <v>12000000</v>
      </c>
      <c r="L42" s="9">
        <f t="shared" ref="L42:L48" si="70">I42/K42</f>
        <v>2E-3</v>
      </c>
      <c r="M42" s="108"/>
      <c r="N42" s="113"/>
      <c r="DJ42" s="62"/>
      <c r="DK42" s="62"/>
      <c r="DL42" s="62"/>
      <c r="DM42" s="62"/>
      <c r="DN42" s="62"/>
      <c r="DO42" s="62"/>
      <c r="DP42" s="62"/>
      <c r="DQ42" s="62"/>
      <c r="DR42" s="62"/>
      <c r="DS42" s="62"/>
      <c r="DT42" s="62"/>
      <c r="DU42" s="62"/>
      <c r="DV42" s="62"/>
      <c r="HP42" s="62"/>
      <c r="HQ42" s="62"/>
      <c r="HS42" s="62"/>
      <c r="HU42" s="62"/>
    </row>
    <row r="43" spans="1:233" ht="15" customHeight="1" x14ac:dyDescent="0.2">
      <c r="A43" s="198" t="s">
        <v>296</v>
      </c>
      <c r="B43" s="108"/>
      <c r="C43" s="108"/>
      <c r="D43" s="108"/>
      <c r="E43" s="108"/>
      <c r="F43" s="108"/>
      <c r="G43" s="108"/>
      <c r="H43" s="199" t="s">
        <v>46</v>
      </c>
      <c r="I43" s="200">
        <v>327</v>
      </c>
      <c r="J43" s="199" t="s">
        <v>282</v>
      </c>
      <c r="K43" s="23">
        <v>65100000</v>
      </c>
      <c r="L43" s="9">
        <f t="shared" si="70"/>
        <v>5.0230414746543782E-6</v>
      </c>
      <c r="M43" s="108"/>
      <c r="N43" s="113"/>
      <c r="DS43" s="47"/>
      <c r="DV43" s="47"/>
    </row>
    <row r="44" spans="1:233" ht="15" customHeight="1" x14ac:dyDescent="0.2">
      <c r="A44" s="201"/>
      <c r="B44" s="108"/>
      <c r="C44" s="108"/>
      <c r="D44" s="108"/>
      <c r="E44" s="108"/>
      <c r="F44" s="108"/>
      <c r="G44" s="108"/>
      <c r="H44" s="199" t="s">
        <v>49</v>
      </c>
      <c r="I44" s="200">
        <v>75</v>
      </c>
      <c r="J44" s="199" t="s">
        <v>72</v>
      </c>
      <c r="K44" s="45">
        <v>5154336.0128214797</v>
      </c>
      <c r="L44" s="9">
        <f t="shared" si="70"/>
        <v>1.4550855786940646E-5</v>
      </c>
      <c r="M44" s="202"/>
      <c r="N44" s="113"/>
      <c r="DS44" s="47"/>
      <c r="DV44" s="47"/>
    </row>
    <row r="45" spans="1:233" ht="15" customHeight="1" x14ac:dyDescent="0.2">
      <c r="A45" s="112"/>
      <c r="B45" s="108"/>
      <c r="C45" s="108"/>
      <c r="D45" s="108"/>
      <c r="E45" s="108"/>
      <c r="F45" s="108"/>
      <c r="G45" s="108"/>
      <c r="H45" s="199" t="s">
        <v>50</v>
      </c>
      <c r="I45" s="200">
        <v>960</v>
      </c>
      <c r="J45" s="199" t="s">
        <v>77</v>
      </c>
      <c r="K45" s="23">
        <v>12000000</v>
      </c>
      <c r="L45" s="9">
        <f t="shared" si="70"/>
        <v>8.0000000000000007E-5</v>
      </c>
      <c r="M45" s="108"/>
      <c r="N45" s="113"/>
      <c r="DS45" s="47"/>
      <c r="DV45" s="47"/>
    </row>
    <row r="46" spans="1:233" ht="15" customHeight="1" x14ac:dyDescent="0.2">
      <c r="A46" s="112"/>
      <c r="B46" s="108"/>
      <c r="C46" s="108"/>
      <c r="D46" s="108"/>
      <c r="E46" s="108"/>
      <c r="F46" s="108"/>
      <c r="G46" s="108"/>
      <c r="H46" s="199" t="s">
        <v>66</v>
      </c>
      <c r="I46" s="200">
        <v>3120</v>
      </c>
      <c r="J46" s="199" t="s">
        <v>44</v>
      </c>
      <c r="K46" s="23">
        <v>20600000</v>
      </c>
      <c r="L46" s="9">
        <f t="shared" si="70"/>
        <v>1.5145631067961166E-4</v>
      </c>
      <c r="M46" s="108"/>
      <c r="N46" s="113"/>
      <c r="DS46" s="47"/>
      <c r="DV46" s="47"/>
    </row>
    <row r="47" spans="1:233" ht="15" customHeight="1" x14ac:dyDescent="0.2">
      <c r="A47" s="112"/>
      <c r="B47" s="108"/>
      <c r="C47" s="108"/>
      <c r="D47" s="108"/>
      <c r="E47" s="108"/>
      <c r="F47" s="108"/>
      <c r="G47" s="108"/>
      <c r="H47" s="199" t="s">
        <v>70</v>
      </c>
      <c r="I47" s="200">
        <v>562</v>
      </c>
      <c r="J47" s="199" t="s">
        <v>44</v>
      </c>
      <c r="K47" s="23">
        <v>20600000</v>
      </c>
      <c r="L47" s="9">
        <f t="shared" si="70"/>
        <v>2.7281553398058253E-5</v>
      </c>
      <c r="M47" s="108"/>
      <c r="N47" s="113"/>
      <c r="DS47" s="47"/>
      <c r="DV47" s="47"/>
    </row>
    <row r="48" spans="1:233" ht="15" customHeight="1" x14ac:dyDescent="0.2">
      <c r="A48" s="112"/>
      <c r="B48" s="108"/>
      <c r="C48" s="108"/>
      <c r="D48" s="108"/>
      <c r="E48" s="108"/>
      <c r="F48" s="108"/>
      <c r="G48" s="108"/>
      <c r="H48" s="199" t="s">
        <v>78</v>
      </c>
      <c r="I48" s="200">
        <v>595238.48788326397</v>
      </c>
      <c r="J48" s="199" t="s">
        <v>72</v>
      </c>
      <c r="K48" s="45">
        <v>5154336.0128214797</v>
      </c>
      <c r="L48" s="9">
        <f t="shared" si="70"/>
        <v>0.11548305861367987</v>
      </c>
      <c r="M48" s="108"/>
      <c r="N48" s="113"/>
      <c r="DS48" s="47"/>
      <c r="DV48" s="47"/>
    </row>
    <row r="49" spans="1:126" ht="15" customHeight="1" x14ac:dyDescent="0.2">
      <c r="A49" s="112"/>
      <c r="B49" s="108"/>
      <c r="C49" s="108"/>
      <c r="D49" s="108"/>
      <c r="E49" s="108"/>
      <c r="F49" s="108"/>
      <c r="G49" s="108"/>
      <c r="H49" s="108"/>
      <c r="I49" s="108"/>
      <c r="J49" s="108"/>
      <c r="K49" s="108"/>
      <c r="L49" s="108"/>
      <c r="M49" s="108"/>
      <c r="N49" s="113"/>
      <c r="DS49" s="47"/>
      <c r="DV49" s="47"/>
    </row>
    <row r="50" spans="1:126" ht="15" customHeight="1" x14ac:dyDescent="0.2">
      <c r="A50" s="112"/>
      <c r="B50" s="108"/>
      <c r="C50" s="108"/>
      <c r="D50" s="108"/>
      <c r="E50" s="108"/>
      <c r="F50" s="108"/>
      <c r="G50" s="108"/>
      <c r="H50" s="108"/>
      <c r="I50" s="203"/>
      <c r="J50" s="108"/>
      <c r="K50" s="204"/>
      <c r="L50" s="108"/>
      <c r="M50" s="108"/>
      <c r="N50" s="113"/>
      <c r="DS50" s="47"/>
      <c r="DV50" s="47"/>
    </row>
    <row r="51" spans="1:126" ht="15" customHeight="1" x14ac:dyDescent="0.2">
      <c r="A51" s="112"/>
      <c r="B51" s="108"/>
      <c r="C51" s="108"/>
      <c r="D51" s="108"/>
      <c r="E51" s="108"/>
      <c r="F51" s="108"/>
      <c r="G51" s="108"/>
      <c r="H51" s="160" t="s">
        <v>297</v>
      </c>
      <c r="I51" s="205" t="s">
        <v>211</v>
      </c>
      <c r="J51" s="205" t="s">
        <v>212</v>
      </c>
      <c r="K51" s="205" t="s">
        <v>213</v>
      </c>
      <c r="L51" s="205" t="s">
        <v>177</v>
      </c>
      <c r="M51" s="205" t="s">
        <v>298</v>
      </c>
      <c r="N51" s="113"/>
      <c r="DS51" s="47"/>
      <c r="DV51" s="47"/>
    </row>
    <row r="52" spans="1:126" ht="15" customHeight="1" x14ac:dyDescent="0.2">
      <c r="A52" s="112"/>
      <c r="B52" s="108"/>
      <c r="C52" s="108"/>
      <c r="D52" s="108"/>
      <c r="E52" s="108"/>
      <c r="F52" s="108"/>
      <c r="G52" s="108"/>
      <c r="H52" s="206" t="s">
        <v>38</v>
      </c>
      <c r="I52" s="23">
        <v>65100000</v>
      </c>
      <c r="J52" s="36">
        <v>117910627.508994</v>
      </c>
      <c r="K52" s="36">
        <v>213562458.979489</v>
      </c>
      <c r="L52" s="36">
        <v>386809271.13111103</v>
      </c>
      <c r="M52" s="9" t="s">
        <v>125</v>
      </c>
      <c r="N52" s="113"/>
      <c r="DS52" s="47"/>
      <c r="DV52" s="47"/>
    </row>
    <row r="53" spans="1:126" ht="18" customHeight="1" x14ac:dyDescent="0.2">
      <c r="A53" s="112"/>
      <c r="B53" s="108"/>
      <c r="C53" s="108"/>
      <c r="D53" s="108"/>
      <c r="E53" s="108"/>
      <c r="F53" s="108"/>
      <c r="G53" s="108"/>
      <c r="H53" s="159" t="s">
        <v>44</v>
      </c>
      <c r="I53" s="42">
        <v>20600000</v>
      </c>
      <c r="J53" s="36">
        <v>24300000</v>
      </c>
      <c r="K53" s="36">
        <v>16600000</v>
      </c>
      <c r="L53" s="53">
        <v>21529487.561476499</v>
      </c>
      <c r="M53" s="8" t="s">
        <v>299</v>
      </c>
      <c r="N53" s="113"/>
      <c r="DS53" s="47"/>
      <c r="DV53" s="47"/>
    </row>
    <row r="54" spans="1:126" ht="15" customHeight="1" x14ac:dyDescent="0.2">
      <c r="A54" s="112"/>
      <c r="B54" s="108"/>
      <c r="C54" s="108"/>
      <c r="D54" s="108"/>
      <c r="E54" s="108"/>
      <c r="F54" s="108"/>
      <c r="G54" s="108"/>
      <c r="H54" s="206" t="s">
        <v>72</v>
      </c>
      <c r="I54" s="45">
        <v>5154336.0128214797</v>
      </c>
      <c r="J54" s="207">
        <v>7794280.2350282297</v>
      </c>
      <c r="K54" s="36">
        <v>11786349.246737801</v>
      </c>
      <c r="L54" s="36">
        <v>17823073.379087001</v>
      </c>
      <c r="M54" s="9" t="s">
        <v>125</v>
      </c>
      <c r="N54" s="113"/>
      <c r="DS54" s="47"/>
      <c r="DV54" s="47"/>
    </row>
    <row r="55" spans="1:126" ht="15" customHeight="1" x14ac:dyDescent="0.2">
      <c r="A55" s="112"/>
      <c r="B55" s="108"/>
      <c r="C55" s="108"/>
      <c r="D55" s="108"/>
      <c r="E55" s="108"/>
      <c r="F55" s="108"/>
      <c r="G55" s="108"/>
      <c r="H55" s="206" t="s">
        <v>77</v>
      </c>
      <c r="I55" s="23">
        <v>12000000</v>
      </c>
      <c r="J55" s="208">
        <v>17263303.9810143</v>
      </c>
      <c r="K55" s="55">
        <v>24835138.695075199</v>
      </c>
      <c r="L55" s="55">
        <v>35728045.7253111</v>
      </c>
      <c r="M55" s="9" t="s">
        <v>125</v>
      </c>
      <c r="N55" s="113"/>
      <c r="DS55" s="47"/>
      <c r="DV55" s="47"/>
    </row>
    <row r="56" spans="1:126" ht="15" customHeight="1" x14ac:dyDescent="0.2">
      <c r="A56" s="112"/>
      <c r="B56" s="108"/>
      <c r="C56" s="108"/>
      <c r="D56" s="108"/>
      <c r="E56" s="108"/>
      <c r="F56" s="108"/>
      <c r="G56" s="108"/>
      <c r="H56" s="108"/>
      <c r="I56" s="108"/>
      <c r="J56" s="108"/>
      <c r="K56" s="108"/>
      <c r="L56" s="108"/>
      <c r="M56" s="108"/>
      <c r="N56" s="113"/>
      <c r="DS56" s="47"/>
      <c r="DV56" s="47"/>
    </row>
    <row r="57" spans="1:126" ht="15" customHeight="1" x14ac:dyDescent="0.2">
      <c r="A57" s="112"/>
      <c r="B57" s="108"/>
      <c r="C57" s="108"/>
      <c r="D57" s="108"/>
      <c r="E57" s="108"/>
      <c r="F57" s="108"/>
      <c r="G57" s="108"/>
      <c r="H57" t="s">
        <v>296</v>
      </c>
      <c r="M57" s="108"/>
      <c r="N57" s="113"/>
      <c r="DS57" s="47"/>
      <c r="DV57" s="47"/>
    </row>
    <row r="58" spans="1:126" ht="15" customHeight="1" x14ac:dyDescent="0.2">
      <c r="A58" s="112"/>
      <c r="B58" s="108"/>
      <c r="C58" s="108"/>
      <c r="D58" s="108"/>
      <c r="E58" s="108"/>
      <c r="F58" s="108"/>
      <c r="G58" s="108"/>
      <c r="H58" s="162" t="s">
        <v>300</v>
      </c>
      <c r="I58" s="209" t="s">
        <v>211</v>
      </c>
      <c r="J58" s="209" t="s">
        <v>212</v>
      </c>
      <c r="K58" s="209" t="s">
        <v>213</v>
      </c>
      <c r="L58" s="209" t="s">
        <v>177</v>
      </c>
      <c r="M58" s="108"/>
      <c r="N58" s="113"/>
    </row>
    <row r="59" spans="1:126" ht="15" customHeight="1" x14ac:dyDescent="0.2">
      <c r="A59" s="112"/>
      <c r="B59" s="108"/>
      <c r="C59" s="108"/>
      <c r="D59" s="108"/>
      <c r="E59" s="108"/>
      <c r="F59" s="108"/>
      <c r="G59" s="108"/>
      <c r="H59" s="199" t="s">
        <v>40</v>
      </c>
      <c r="I59" s="210">
        <f>VLOOKUP($H59,$H$41:$L$48,5,TRUE())*I55</f>
        <v>24000</v>
      </c>
      <c r="J59" s="210">
        <f>VLOOKUP($H59,$H$41:$L$48,5,TRUE())*J55</f>
        <v>34526.607962028604</v>
      </c>
      <c r="K59" s="210">
        <f>VLOOKUP($H59,$H$41:$L$48,5,TRUE())*K55</f>
        <v>49670.277390150397</v>
      </c>
      <c r="L59" s="210">
        <f>VLOOKUP($H59,$H$41:$L$48,5,TRUE())*L55</f>
        <v>71456.091450622203</v>
      </c>
      <c r="M59" s="108"/>
      <c r="N59" s="113"/>
    </row>
    <row r="60" spans="1:126" ht="15" customHeight="1" x14ac:dyDescent="0.2">
      <c r="A60" s="112"/>
      <c r="B60" s="108"/>
      <c r="C60" s="108"/>
      <c r="D60" s="108"/>
      <c r="E60" s="108"/>
      <c r="F60" s="108"/>
      <c r="G60" s="108"/>
      <c r="H60" s="199" t="s">
        <v>46</v>
      </c>
      <c r="I60" s="210">
        <f>VLOOKUP($H60,$H$41:$L$48,5,TRUE())*I52</f>
        <v>327</v>
      </c>
      <c r="J60" s="210">
        <f>VLOOKUP($H60,$H$41:$L$48,5,TRUE())*J52</f>
        <v>592.26997228020025</v>
      </c>
      <c r="K60" s="210">
        <f>VLOOKUP($H60,$H$41:$L$48,5,TRUE())*K52</f>
        <v>1072.7330888831475</v>
      </c>
      <c r="L60" s="210">
        <f>VLOOKUP($H60,$H$41:$L$48,5,TRUE())*L52</f>
        <v>1942.9590116724012</v>
      </c>
      <c r="M60" s="108"/>
      <c r="N60" s="113"/>
    </row>
    <row r="61" spans="1:126" ht="15" customHeight="1" x14ac:dyDescent="0.2">
      <c r="A61" s="112"/>
      <c r="B61" s="108"/>
      <c r="C61" s="108"/>
      <c r="D61" s="108"/>
      <c r="E61" s="108"/>
      <c r="F61" s="108"/>
      <c r="G61" s="108"/>
      <c r="H61" s="199" t="s">
        <v>49</v>
      </c>
      <c r="I61" s="210">
        <f t="shared" ref="I61:L62" si="71">VLOOKUP($H61,$H$41:$L$48,5,TRUE())*I54</f>
        <v>75</v>
      </c>
      <c r="J61" s="210">
        <f t="shared" si="71"/>
        <v>113.41344766289761</v>
      </c>
      <c r="K61" s="210">
        <f t="shared" si="71"/>
        <v>171.50146814379823</v>
      </c>
      <c r="L61" s="210">
        <f t="shared" si="71"/>
        <v>259.34097041915584</v>
      </c>
      <c r="M61" s="108"/>
      <c r="N61" s="113"/>
    </row>
    <row r="62" spans="1:126" ht="15" customHeight="1" x14ac:dyDescent="0.2">
      <c r="A62" s="112"/>
      <c r="B62" s="108"/>
      <c r="C62" s="108"/>
      <c r="D62" s="108"/>
      <c r="E62" s="108"/>
      <c r="F62" s="108"/>
      <c r="G62" s="108"/>
      <c r="H62" s="199" t="s">
        <v>50</v>
      </c>
      <c r="I62" s="210">
        <f t="shared" si="71"/>
        <v>960.00000000000011</v>
      </c>
      <c r="J62" s="210">
        <f t="shared" si="71"/>
        <v>1381.064318481144</v>
      </c>
      <c r="K62" s="210">
        <f t="shared" si="71"/>
        <v>1986.8110956060161</v>
      </c>
      <c r="L62" s="210">
        <f t="shared" si="71"/>
        <v>2858.2436580248882</v>
      </c>
      <c r="M62" s="108"/>
      <c r="N62" s="113"/>
    </row>
    <row r="63" spans="1:126" ht="15" customHeight="1" x14ac:dyDescent="0.2">
      <c r="A63" s="112"/>
      <c r="B63" s="108"/>
      <c r="C63" s="108"/>
      <c r="D63" s="108"/>
      <c r="E63" s="108"/>
      <c r="F63" s="108"/>
      <c r="G63" s="108"/>
      <c r="H63" s="199" t="s">
        <v>66</v>
      </c>
      <c r="I63" s="210">
        <f>VLOOKUP($H63,$H$41:$L$48,5,TRUE())*I53</f>
        <v>3120</v>
      </c>
      <c r="J63" s="210">
        <f>VLOOKUP($H63,$H$41:$L$48,5,TRUE())*J53</f>
        <v>3680.3883495145633</v>
      </c>
      <c r="K63" s="210">
        <f>VLOOKUP($H63,$H$41:$L$48,5,TRUE())*K53</f>
        <v>2514.1747572815534</v>
      </c>
      <c r="L63" s="210">
        <f>VLOOKUP($H63,$H$41:$L$48,5,TRUE())*L53</f>
        <v>3260.7767568838194</v>
      </c>
      <c r="M63" s="108"/>
      <c r="N63" s="113"/>
    </row>
    <row r="64" spans="1:126" ht="15" customHeight="1" x14ac:dyDescent="0.2">
      <c r="A64" s="112"/>
      <c r="B64" s="108"/>
      <c r="C64" s="108"/>
      <c r="D64" s="108"/>
      <c r="E64" s="108"/>
      <c r="F64" s="108"/>
      <c r="G64" s="108"/>
      <c r="H64" s="199" t="s">
        <v>70</v>
      </c>
      <c r="I64" s="210">
        <f t="shared" ref="I64:L65" si="72">VLOOKUP($H64,$H$41:$L$48,5,TRUE())*I53</f>
        <v>562</v>
      </c>
      <c r="J64" s="210">
        <f t="shared" si="72"/>
        <v>662.94174757281553</v>
      </c>
      <c r="K64" s="210">
        <f t="shared" si="72"/>
        <v>452.873786407767</v>
      </c>
      <c r="L64" s="210">
        <f t="shared" si="72"/>
        <v>587.35786454125207</v>
      </c>
      <c r="M64" s="108"/>
      <c r="N64" s="113"/>
    </row>
    <row r="65" spans="1:14" ht="15" customHeight="1" x14ac:dyDescent="0.2">
      <c r="A65" s="112"/>
      <c r="B65" s="108"/>
      <c r="C65" s="108"/>
      <c r="D65" s="108"/>
      <c r="E65" s="108"/>
      <c r="F65" s="108"/>
      <c r="G65" s="108"/>
      <c r="H65" s="199" t="s">
        <v>78</v>
      </c>
      <c r="I65" s="210">
        <f t="shared" si="72"/>
        <v>595238.48788326397</v>
      </c>
      <c r="J65" s="210">
        <f t="shared" si="72"/>
        <v>900107.32123321155</v>
      </c>
      <c r="K65" s="210">
        <f t="shared" si="72"/>
        <v>1361123.660902323</v>
      </c>
      <c r="L65" s="210">
        <f t="shared" si="72"/>
        <v>2058263.0277130215</v>
      </c>
      <c r="M65" s="108"/>
      <c r="N65" s="113"/>
    </row>
    <row r="66" spans="1:14" ht="15" customHeight="1" x14ac:dyDescent="0.2">
      <c r="A66" s="112"/>
      <c r="B66" s="108"/>
      <c r="C66" s="108"/>
      <c r="D66" s="108"/>
      <c r="E66" s="108"/>
      <c r="F66" s="108"/>
      <c r="G66" s="108"/>
      <c r="H66" s="108"/>
      <c r="I66" s="108"/>
      <c r="J66" s="108"/>
      <c r="K66" s="108"/>
      <c r="L66" s="108"/>
      <c r="M66" s="108"/>
      <c r="N66" s="113"/>
    </row>
    <row r="67" spans="1:14" ht="15" customHeight="1" x14ac:dyDescent="0.2">
      <c r="A67" s="112"/>
      <c r="B67" s="108"/>
      <c r="C67" s="108"/>
      <c r="D67" s="108"/>
      <c r="E67" s="108"/>
      <c r="F67" s="108"/>
      <c r="H67" s="108"/>
      <c r="I67" s="108"/>
      <c r="J67" s="108"/>
      <c r="K67" s="108"/>
      <c r="L67" s="108"/>
      <c r="M67" s="108"/>
      <c r="N67" s="113"/>
    </row>
    <row r="68" spans="1:14" ht="54.75" customHeight="1" x14ac:dyDescent="0.2">
      <c r="A68" s="211" t="s">
        <v>301</v>
      </c>
      <c r="B68" s="108"/>
      <c r="C68" s="108"/>
      <c r="D68" s="108"/>
      <c r="E68" s="108"/>
      <c r="F68" s="108"/>
      <c r="G68" s="108"/>
      <c r="H68" s="108"/>
      <c r="I68" s="108"/>
      <c r="J68" s="108"/>
      <c r="K68" s="108"/>
      <c r="L68" s="108"/>
      <c r="M68" s="108"/>
      <c r="N68" s="113"/>
    </row>
    <row r="69" spans="1:14" ht="15" customHeight="1" x14ac:dyDescent="0.2">
      <c r="A69" s="112"/>
      <c r="B69" s="108"/>
      <c r="C69" s="108"/>
      <c r="D69" s="108"/>
      <c r="E69" s="108"/>
      <c r="F69" s="108"/>
      <c r="G69" s="108"/>
      <c r="H69" s="108"/>
      <c r="I69" s="108"/>
      <c r="J69" s="108"/>
      <c r="K69" s="108"/>
      <c r="L69" s="108"/>
      <c r="M69" s="108"/>
      <c r="N69" s="113"/>
    </row>
    <row r="70" spans="1:14" ht="21" customHeight="1" x14ac:dyDescent="0.2">
      <c r="A70" s="212"/>
      <c r="B70" s="114"/>
      <c r="C70" s="114"/>
      <c r="D70" s="114"/>
      <c r="E70" s="114"/>
      <c r="F70" s="114"/>
      <c r="G70" s="114"/>
      <c r="H70" s="114"/>
      <c r="I70" s="114"/>
      <c r="J70" s="114"/>
      <c r="K70" s="114"/>
      <c r="L70" s="114"/>
      <c r="M70" s="114"/>
      <c r="N70" s="115"/>
    </row>
  </sheetData>
  <mergeCells count="8">
    <mergeCell ref="A38:N38"/>
    <mergeCell ref="HX1:HX2"/>
    <mergeCell ref="HY1:HY2"/>
    <mergeCell ref="DJ1:HN1"/>
    <mergeCell ref="HW1:HW2"/>
    <mergeCell ref="C1:DG1"/>
    <mergeCell ref="HS1:HU1"/>
    <mergeCell ref="HP1:HR1"/>
  </mergeCells>
  <conditionalFormatting sqref="B23">
    <cfRule type="colorScale" priority="2">
      <colorScale>
        <cfvo type="min"/>
        <cfvo type="percentile" val="50"/>
        <cfvo type="max"/>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11</vt:i4>
      </vt:variant>
    </vt:vector>
  </HeadingPairs>
  <TitlesOfParts>
    <vt:vector size="11" baseType="lpstr">
      <vt:lpstr>Table of content</vt:lpstr>
      <vt:lpstr>Materials</vt:lpstr>
      <vt:lpstr>Material_limits</vt:lpstr>
      <vt:lpstr>MiningCapacity_Calcul</vt:lpstr>
      <vt:lpstr>Reserves_Resources_RR</vt:lpstr>
      <vt:lpstr>Fig 2. MiningCapacity_Results</vt:lpstr>
      <vt:lpstr>Storage_Share_Summary</vt:lpstr>
      <vt:lpstr>Storage_Share_by_SSP</vt:lpstr>
      <vt:lpstr>Storage_Share_Detail</vt:lpstr>
      <vt:lpstr>Ref&amp;Hp</vt:lpstr>
      <vt:lpstr>Calcul_Prod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cp:revision>0</cp:revision>
  <cp:lastPrinted>2025-09-03T10:29:45Z</cp:lastPrinted>
  <dcterms:created xsi:type="dcterms:W3CDTF">2015-06-05T18:17:20Z</dcterms:created>
  <dcterms:modified xsi:type="dcterms:W3CDTF">2026-09-16T21:26:40Z</dcterms:modified>
  <dc:language>fr-FR</dc:language>
</cp:coreProperties>
</file>