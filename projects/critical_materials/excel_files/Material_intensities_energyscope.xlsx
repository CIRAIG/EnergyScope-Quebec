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2EECB552-B1BC-F84C-8406-FA498FAAF4DB}" xr6:coauthVersionLast="47" xr6:coauthVersionMax="47" xr10:uidLastSave="{00000000-0000-0000-0000-000000000000}"/>
  <bookViews>
    <workbookView xWindow="0" yWindow="500" windowWidth="37600" windowHeight="19620" activeTab="1" xr2:uid="{00000000-000D-0000-FFFF-FFFF00000000}"/>
  </bookViews>
  <sheets>
    <sheet name="Table of content" sheetId="1" r:id="rId1"/>
    <sheet name="Materials" sheetId="10" r:id="rId2"/>
    <sheet name="MI_Energy" sheetId="2" r:id="rId3"/>
    <sheet name="MS_Energy_Disag" sheetId="3" r:id="rId4"/>
    <sheet name="MI_Vehicles" sheetId="4" r:id="rId5"/>
    <sheet name="MI_Vehicles_Bieuville" sheetId="5" r:id="rId6"/>
    <sheet name="MI_Vehicles_Bieuville_Clean" sheetId="6" r:id="rId7"/>
    <sheet name="MS_Battery_Motor_LDV" sheetId="7" r:id="rId8"/>
    <sheet name="MI_Vehicles_Public" sheetId="8" r:id="rId9"/>
    <sheet name="MI_H2" sheetId="9" r:id="rId10"/>
    <sheet name="Mapping" sheetId="11" r:id="rId11"/>
    <sheet name="Overrides" sheetId="12" r:id="rId12"/>
    <sheet name="Legend" sheetId="13" r:id="rId13"/>
    <sheet name="MI" sheetId="14" r:id="rId14"/>
    <sheet name="Battery_Capacity" sheetId="15" r:id="rId15"/>
    <sheet name="Ref&amp;Hp" sheetId="16" r:id="rId16"/>
    <sheet name="Power_Source_calcul" sheetId="17" r:id="rId17"/>
    <sheet name="EV_Calcul" sheetId="18" r:id="rId18"/>
    <sheet name="MS_Energy_Ag" sheetId="19" r:id="rId19"/>
  </sheets>
  <definedNames>
    <definedName name="_xlnm._FilterDatabase" localSheetId="14" hidden="1">Battery_Capacity!$A$1:$F$1</definedName>
    <definedName name="_xlnm._FilterDatabase" localSheetId="10" hidden="1">Mapping!$A$1:$H$691</definedName>
    <definedName name="_xlnm._FilterDatabase" localSheetId="13" hidden="1">MI!$A$1:$G$829</definedName>
    <definedName name="_xlnm._FilterDatabase" localSheetId="2" hidden="1">MI_Energy!$A$1:$AG$1</definedName>
    <definedName name="_xlnm._FilterDatabase" localSheetId="18" hidden="1">MS_Energy_Ag!$A$1:$S$76</definedName>
    <definedName name="_xlnm._FilterDatabase" localSheetId="3" hidden="1">MS_Energy_Disag!$A$1:$AF$1</definedName>
    <definedName name="_xlnm._FilterDatabase" localSheetId="11"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20" i="18" l="1"/>
  <c r="AT20" i="18"/>
  <c r="AO20" i="18"/>
  <c r="AJ20" i="18"/>
  <c r="AE20" i="18"/>
  <c r="Z20" i="18"/>
  <c r="U20" i="18"/>
  <c r="P20" i="18"/>
  <c r="K20" i="18"/>
  <c r="F20" i="18"/>
  <c r="AY17" i="18"/>
  <c r="AT17" i="18"/>
  <c r="AO17" i="18"/>
  <c r="AJ17" i="18"/>
  <c r="AE17" i="18"/>
  <c r="Z17" i="18"/>
  <c r="U17" i="18"/>
  <c r="P17" i="18"/>
  <c r="K17" i="18"/>
  <c r="F17" i="18"/>
  <c r="D3" i="18"/>
  <c r="C3" i="18"/>
  <c r="B3" i="18"/>
  <c r="D2" i="18"/>
  <c r="C2" i="18"/>
  <c r="B2" i="18"/>
  <c r="B81" i="17"/>
  <c r="B88" i="17" s="1"/>
  <c r="B80" i="17"/>
  <c r="E68" i="17"/>
  <c r="F67" i="17"/>
  <c r="G66" i="17"/>
  <c r="C66" i="17"/>
  <c r="D65" i="17"/>
  <c r="B59" i="17"/>
  <c r="G68" i="17" s="1"/>
  <c r="B58" i="17"/>
  <c r="F68" i="17" s="1"/>
  <c r="H26" i="17"/>
  <c r="F26" i="17"/>
  <c r="E26" i="17"/>
  <c r="G26" i="17" s="1"/>
  <c r="H25" i="17"/>
  <c r="F25" i="17"/>
  <c r="E25" i="17"/>
  <c r="G25" i="17" s="1"/>
  <c r="H24" i="17"/>
  <c r="F24" i="17"/>
  <c r="E24" i="17"/>
  <c r="G24" i="17" s="1"/>
  <c r="H23" i="17"/>
  <c r="F23" i="17"/>
  <c r="E23" i="17"/>
  <c r="G23" i="17" s="1"/>
  <c r="W18" i="17"/>
  <c r="W19" i="17" s="1"/>
  <c r="V18" i="17"/>
  <c r="V19" i="17" s="1"/>
  <c r="U18" i="17"/>
  <c r="U19" i="17" s="1"/>
  <c r="T18" i="17"/>
  <c r="T19" i="17" s="1"/>
  <c r="AM8" i="17"/>
  <c r="AL8" i="17"/>
  <c r="D309" i="14"/>
  <c r="D251" i="14"/>
  <c r="D198" i="14"/>
  <c r="D159" i="14"/>
  <c r="D158" i="14"/>
  <c r="D124" i="14"/>
  <c r="D24" i="14"/>
  <c r="D16" i="14"/>
  <c r="D4" i="14"/>
  <c r="F42" i="8"/>
  <c r="E42" i="8"/>
  <c r="D42" i="8"/>
  <c r="C42" i="8"/>
  <c r="B42" i="8"/>
  <c r="G21" i="5"/>
  <c r="F21" i="5"/>
  <c r="L12" i="5"/>
  <c r="F42" i="4"/>
  <c r="E42" i="4"/>
  <c r="D42" i="4"/>
  <c r="C42" i="4"/>
  <c r="B42" i="4"/>
  <c r="C8" i="2"/>
  <c r="C65" i="17" l="1"/>
  <c r="G65" i="17"/>
  <c r="F66" i="17"/>
  <c r="E67" i="17"/>
  <c r="D68" i="17"/>
  <c r="E86" i="17"/>
  <c r="E87" i="17"/>
  <c r="E88" i="17"/>
  <c r="C88" i="17" s="1"/>
  <c r="E65" i="17"/>
  <c r="D66" i="17"/>
  <c r="C67" i="17"/>
  <c r="G67" i="17"/>
  <c r="B86" i="17"/>
  <c r="B87" i="17"/>
  <c r="F65" i="17"/>
  <c r="E66" i="17"/>
  <c r="D67" i="17"/>
  <c r="C68" i="17"/>
  <c r="C87" i="17" l="1"/>
  <c r="D87" i="17"/>
  <c r="D88" i="17"/>
  <c r="C86" i="17"/>
  <c r="D86" i="17"/>
</calcChain>
</file>

<file path=xl/sharedStrings.xml><?xml version="1.0" encoding="utf-8"?>
<sst xmlns="http://schemas.openxmlformats.org/spreadsheetml/2006/main" count="8150" uniqueCount="1430">
  <si>
    <t>Metal_Intensity [g/vehicle]</t>
  </si>
  <si>
    <t>ICEV</t>
  </si>
  <si>
    <t>FCV</t>
  </si>
  <si>
    <t>HEV-body</t>
  </si>
  <si>
    <t>PHEV-body</t>
  </si>
  <si>
    <t>EV-body</t>
  </si>
  <si>
    <t>PM-Motor</t>
  </si>
  <si>
    <t>Ind-Motor</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</si>
  <si>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</si>
  <si>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</si>
  <si>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</si>
  <si>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</si>
  <si>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</si>
  <si>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</si>
  <si>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</si>
  <si>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</si>
  <si>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</si>
  <si>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</si>
  <si>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</si>
  <si>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</si>
  <si>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</si>
  <si>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</si>
  <si>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</si>
  <si>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</si>
  <si>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</si>
  <si>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</si>
  <si>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</si>
  <si>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</si>
  <si>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</si>
  <si>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</si>
  <si>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</si>
  <si>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</si>
  <si>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</si>
  <si>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</si>
  <si>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</si>
  <si>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</si>
  <si>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</si>
  <si>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</si>
  <si>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</si>
  <si>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</si>
  <si>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</si>
  <si>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</si>
  <si>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</si>
  <si>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</si>
  <si>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</si>
  <si>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</si>
  <si>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</si>
  <si>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</si>
  <si>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</si>
  <si>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</si>
  <si>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</si>
  <si>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</si>
  <si>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</si>
  <si>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</si>
  <si>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</si>
  <si>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Bieuville</t>
  </si>
  <si>
    <t>Watari</t>
  </si>
  <si>
    <t>Vehicle statistics</t>
  </si>
  <si>
    <t>Vehicle part</t>
  </si>
  <si>
    <t>HEV</t>
  </si>
  <si>
    <t>PHEV</t>
  </si>
  <si>
    <t>BEV</t>
  </si>
  <si>
    <t>Unit</t>
  </si>
  <si>
    <t>Ref</t>
  </si>
  <si>
    <t>Battery</t>
  </si>
  <si>
    <t>kWh</t>
  </si>
  <si>
    <t>(Adamas Intelligence, 2023)</t>
  </si>
  <si>
    <t>Supplementary Data 1/2, from :
Metal bottlenecks along energy transitions call for technology flexibility and sobriety
by Pénélope Bieuville, Guillaume Majeau Bettez and Anne de Bortoli, 2025</t>
  </si>
  <si>
    <t>For any additionnal information on the study, please contact the author, Pénélope Bieuville, at : penelope.bieuville@gmail.com</t>
  </si>
  <si>
    <t>Table of content</t>
  </si>
  <si>
    <t xml:space="preserve">Spreadsheet title </t>
  </si>
  <si>
    <t>Description</t>
  </si>
  <si>
    <t>Red spreadsheet represent data used to estimate metal demand from grid, storage, rest of the economy</t>
  </si>
  <si>
    <t>Demand_Grid_Storage</t>
  </si>
  <si>
    <t>Metal demand for the grid network sector and storage sector by metals, based on three IEA scenario, in tons of metals per year</t>
  </si>
  <si>
    <t>Demand_RoE_Litt</t>
  </si>
  <si>
    <t xml:space="preserve">Estimation of metal demand for the rest of the economy in the literature, by metals and scenario, in tons by year. </t>
  </si>
  <si>
    <t>Met_Inten_Reduc_RoE</t>
  </si>
  <si>
    <t xml:space="preserve">Estimation of the metal intensity reduction of the economy by decade, between 2030 and 2050. </t>
  </si>
  <si>
    <t>Blue spreadsheets represent data used for market shares of electric vehicles (EVs) and energy sources</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</si>
  <si>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</si>
  <si>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</si>
  <si>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</si>
  <si>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</si>
  <si>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</si>
  <si>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</si>
  <si>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</si>
  <si>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</si>
  <si>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MS_Energy_Disag</t>
  </si>
  <si>
    <t xml:space="preserve">Market share used for aggregated energy sources, for the initial scenario. Market shares of sub-technologies are provided for each decade. </t>
  </si>
  <si>
    <t>MS_Energy_Ag</t>
  </si>
  <si>
    <t xml:space="preserve">Market share used for disaggregated energy sources, for the optimized scenario. Market shares of sub-technologies are provided for each decade. </t>
  </si>
  <si>
    <t>Green spreadsheets represent data used in the optimization model for energy constraints</t>
  </si>
  <si>
    <t>CF_Litt</t>
  </si>
  <si>
    <t>Charging factors of energy sources in percentage from the literature</t>
  </si>
  <si>
    <t>Biomass_Hydro_Avail</t>
  </si>
  <si>
    <t>Estimation from the literature of biomass availability from 2020 to 2050 in GW, for different scenario of land use</t>
  </si>
  <si>
    <t>Estimation from the literature of hydroelectricity by region in GW, for different economic and ecological scenario</t>
  </si>
  <si>
    <t>Yellow spreadsheets represent data used for the metal intensities of Evs and energy sources</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</si>
  <si>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</si>
  <si>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</si>
  <si>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</si>
  <si>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</si>
  <si>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</si>
  <si>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MI_Energy</t>
  </si>
  <si>
    <t>Metal intensity of the sub-technology of energy sources, in kg per GW of installed power capacity</t>
  </si>
  <si>
    <t>Legend</t>
  </si>
  <si>
    <t xml:space="preserve">Legend for the fiability estimation of the data used for metal intensity of energy sources, depending on the variability of data found in the literature.  </t>
  </si>
  <si>
    <t>MI</t>
  </si>
  <si>
    <t>Comparison of the metal intensities from the literature for each energy source end vehicles, with a fiability study of data (see legend).</t>
  </si>
  <si>
    <t>Battery_Capacity</t>
  </si>
  <si>
    <t>Comparison of the battery capacities from the literature.</t>
  </si>
  <si>
    <t>Dark grey spreadsheet represent reference and hypothesis of calculation</t>
  </si>
  <si>
    <t>Ref&amp;Hp</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</si>
  <si>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</si>
  <si>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</si>
  <si>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</si>
  <si>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</si>
  <si>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</si>
  <si>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</si>
  <si>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</si>
  <si>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</si>
  <si>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</si>
  <si>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</si>
  <si>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</si>
  <si>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</si>
  <si>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</si>
  <si>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</si>
  <si>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</si>
  <si>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</si>
  <si>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</si>
  <si>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</si>
  <si>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</si>
  <si>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</si>
  <si>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</si>
  <si>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</si>
  <si>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</si>
  <si>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</si>
  <si>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</si>
  <si>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</si>
  <si>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</si>
  <si>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</si>
  <si>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</si>
  <si>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</si>
  <si>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</si>
  <si>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</si>
  <si>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</si>
  <si>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</si>
  <si>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Lanthanum</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</si>
  <si>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</si>
  <si>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</si>
  <si>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</si>
  <si>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</si>
  <si>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</si>
  <si>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</si>
  <si>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</si>
  <si>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</si>
  <si>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</si>
  <si>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</si>
  <si>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</si>
  <si>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</si>
  <si>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</si>
  <si>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</si>
  <si>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</si>
  <si>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</si>
  <si>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</si>
  <si>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</si>
  <si>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EV</t>
  </si>
  <si>
    <t>(Watari et al. 2019)</t>
  </si>
  <si>
    <t>(Fishman and al. 2018)</t>
  </si>
  <si>
    <t>Matches with MI used by Bieuville</t>
  </si>
  <si>
    <t>Similar (with assumptions) to MI used by Bieuville</t>
  </si>
  <si>
    <t>Not close or not modeled in Bieuville</t>
  </si>
  <si>
    <t>Metal intensity vehicle body</t>
  </si>
  <si>
    <t>Metal</t>
  </si>
  <si>
    <t>Ref1</t>
  </si>
  <si>
    <t>Ref2</t>
  </si>
  <si>
    <t>g/vehicle</t>
  </si>
  <si>
    <t>(Watari et al., 2019)</t>
  </si>
  <si>
    <t>Metal intensity by battery chemistry</t>
  </si>
  <si>
    <t>Gr-LMO</t>
  </si>
  <si>
    <t>Gr-NMC</t>
  </si>
  <si>
    <t>Gr-NMC(111)</t>
  </si>
  <si>
    <t>Gr-NMC(433)</t>
  </si>
  <si>
    <t>Gr-NMC(532)</t>
  </si>
  <si>
    <t>Gr-NMC(622)</t>
  </si>
  <si>
    <t>Gr-NMC(811)</t>
  </si>
  <si>
    <t>Gr-LMFP</t>
  </si>
  <si>
    <t>Gr-NCA</t>
  </si>
  <si>
    <t>Gr-NCA95</t>
  </si>
  <si>
    <t>Gr-NCA85</t>
  </si>
  <si>
    <t>Gr-LFP</t>
  </si>
  <si>
    <t>Na-ion</t>
  </si>
  <si>
    <t>Aggregated battery</t>
  </si>
  <si>
    <t>g/kWh</t>
  </si>
  <si>
    <t>(IRENA, 2024)</t>
  </si>
  <si>
    <t>Disaggregated battery</t>
  </si>
  <si>
    <t>Metal intensity by motor type</t>
  </si>
  <si>
    <t>PM</t>
  </si>
  <si>
    <t>Ind</t>
  </si>
  <si>
    <t>PM_Cu</t>
  </si>
  <si>
    <t>Ind_Cu</t>
  </si>
  <si>
    <t>PM_Al</t>
  </si>
  <si>
    <t>Ind_Al</t>
  </si>
  <si>
    <t>Aggregated motor</t>
  </si>
  <si>
    <t>The initial aggregated motors are considered to be all constructed with copper wires</t>
  </si>
  <si>
    <t>(Ayat et al., 2017)</t>
  </si>
  <si>
    <t>Disaggregated motor</t>
  </si>
  <si>
    <t>(Månberger &amp; Stenqvist, 2018)</t>
  </si>
  <si>
    <t>(Watari et al., 2018)</t>
  </si>
  <si>
    <t>HyEV</t>
  </si>
  <si>
    <t>MS_Battery : market share by battery type</t>
  </si>
  <si>
    <t>Battery_type</t>
  </si>
  <si>
    <t>Scenario</t>
  </si>
  <si>
    <t>* Linear interpolation for 2040 and 2050 based on data from 2023 to 2030 that has a linear progression</t>
  </si>
  <si>
    <t>Current Trend Scenario</t>
  </si>
  <si>
    <t>* Battery MS of 2014 supposed equal to 2015</t>
  </si>
  <si>
    <t>MS_Motor : market share by motor tupe</t>
  </si>
  <si>
    <t>Motor_type</t>
  </si>
  <si>
    <t>MS</t>
  </si>
  <si>
    <t>(Edmondson, 2024)</t>
  </si>
  <si>
    <t>LDV_Share : share of light duty vehicle by IAM</t>
  </si>
  <si>
    <t>LDV_Share</t>
  </si>
  <si>
    <t>AIM/CGE</t>
  </si>
  <si>
    <t>AR6 Database</t>
  </si>
  <si>
    <t>GCAM4</t>
  </si>
  <si>
    <t>IMAGE</t>
  </si>
  <si>
    <t>MESSAGE-GLOBIOM</t>
  </si>
  <si>
    <t>ICE BUS/COACH</t>
  </si>
  <si>
    <t>Alkaline_Electrolysis</t>
  </si>
  <si>
    <t>SOEC_Electrolysis</t>
  </si>
  <si>
    <t>PEM_electrolysis</t>
  </si>
  <si>
    <t>Full_Name</t>
  </si>
  <si>
    <t>Short_Code</t>
  </si>
  <si>
    <t>Al</t>
  </si>
  <si>
    <t>B</t>
  </si>
  <si>
    <t>Cd</t>
  </si>
  <si>
    <t>Cr</t>
  </si>
  <si>
    <t>Co</t>
  </si>
  <si>
    <t>Cu</t>
  </si>
  <si>
    <t>Dy</t>
  </si>
  <si>
    <t>Ga</t>
  </si>
  <si>
    <t>Ge</t>
  </si>
  <si>
    <t>Hf</t>
  </si>
  <si>
    <t>In</t>
  </si>
  <si>
    <t>Ir</t>
  </si>
  <si>
    <t>Fe</t>
  </si>
  <si>
    <t>Pb</t>
  </si>
  <si>
    <t>La</t>
  </si>
  <si>
    <t>Li</t>
  </si>
  <si>
    <t>Mg</t>
  </si>
  <si>
    <t>Mn</t>
  </si>
  <si>
    <t>Mo</t>
  </si>
  <si>
    <t>Nd</t>
  </si>
  <si>
    <t>Ni</t>
  </si>
  <si>
    <t>Nb</t>
  </si>
  <si>
    <t>Pd</t>
  </si>
  <si>
    <t>Pr</t>
  </si>
  <si>
    <t>Pt</t>
  </si>
  <si>
    <t>Se</t>
  </si>
  <si>
    <t>Si</t>
  </si>
  <si>
    <t>Ag</t>
  </si>
  <si>
    <t>Ta</t>
  </si>
  <si>
    <t>Te</t>
  </si>
  <si>
    <t>Tb</t>
  </si>
  <si>
    <t>Ti</t>
  </si>
  <si>
    <t>Sn</t>
  </si>
  <si>
    <t>W</t>
  </si>
  <si>
    <t>V</t>
  </si>
  <si>
    <t>Y</t>
  </si>
  <si>
    <t>Zn</t>
  </si>
  <si>
    <t>Zr</t>
  </si>
  <si>
    <t>energyscope_tech</t>
  </si>
  <si>
    <t>mapping_type</t>
  </si>
  <si>
    <t>energy_source</t>
  </si>
  <si>
    <t>subtechs</t>
  </si>
  <si>
    <t>ms_table</t>
  </si>
  <si>
    <t>confidence</t>
  </si>
  <si>
    <t>notes</t>
  </si>
  <si>
    <t>group</t>
  </si>
  <si>
    <t>PV_ROOF</t>
  </si>
  <si>
    <t>aggregate</t>
  </si>
  <si>
    <t>Sol_C-si_Silver,Sol_CdTe,Sol_CIGS,Sol_a-SiGe</t>
  </si>
  <si>
    <t>Disag</t>
  </si>
  <si>
    <t>sourced</t>
  </si>
  <si>
    <t>Only these 4 subtechs carry nonzero MS_Energy_Disag weight for Solar_PV (Sol_C-si_Copper is always 0).</t>
  </si>
  <si>
    <t>ELECTRICITY</t>
  </si>
  <si>
    <t>PV_GROUND</t>
  </si>
  <si>
    <t>proxy</t>
  </si>
  <si>
    <t>Same panel subtechs as PV_ROOF; source does not distinguish roof vs ground mount (likely underestimates ground racking/steel).</t>
  </si>
  <si>
    <t>WIND_ONSHORE</t>
  </si>
  <si>
    <t>Wind_DD-EESG_Onshore,Wind_GB-DFIG_SCIG_Onshore,Wind_DD-PMSG_Onshore,Wind_GB-PMSG_Onshore</t>
  </si>
  <si>
    <t>NEW_WIND_ONSHORE</t>
  </si>
  <si>
    <t>Same technology as WIND_ONSHORE; EnergyScope tracks it as a separate "new capacity" tech for pathway purposes, not different hardware.</t>
  </si>
  <si>
    <t>WIND_OFFSHORE</t>
  </si>
  <si>
    <t>Wind_DD-EESG_Offshore,Wind_GB-DFIG_SCIG_Offshore,Wind_DD-PMSG_Offshore,Wind_GB-PMSG_Offshore</t>
  </si>
  <si>
    <t>NUCLEAR</t>
  </si>
  <si>
    <t>direct</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</si>
  <si>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</si>
  <si>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</si>
  <si>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</si>
  <si>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</si>
  <si>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</si>
  <si>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</si>
  <si>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</si>
  <si>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</si>
  <si>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</si>
  <si>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</si>
  <si>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</si>
  <si>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</si>
  <si>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</si>
  <si>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</si>
  <si>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</si>
  <si>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</si>
  <si>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</si>
  <si>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</si>
  <si>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</si>
  <si>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</si>
  <si>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</si>
  <si>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</si>
  <si>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</si>
  <si>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</si>
  <si>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</si>
  <si>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</si>
  <si>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</si>
  <si>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</si>
  <si>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</si>
  <si>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</si>
  <si>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</si>
  <si>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</si>
  <si>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</si>
  <si>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</si>
  <si>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</si>
  <si>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</si>
  <si>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</si>
  <si>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</si>
  <si>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</si>
  <si>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</si>
  <si>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</si>
  <si>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</si>
  <si>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</si>
  <si>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</si>
  <si>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</si>
  <si>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</si>
  <si>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</si>
  <si>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</si>
  <si>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not_mapped</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</si>
  <si>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</si>
  <si>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</si>
  <si>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</si>
  <si>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</si>
  <si>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</si>
  <si>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</si>
  <si>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</si>
  <si>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</si>
  <si>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</si>
  <si>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</si>
  <si>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</si>
  <si>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</si>
  <si>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</si>
  <si>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</si>
  <si>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</si>
  <si>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</si>
  <si>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</si>
  <si>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</si>
  <si>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</si>
  <si>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</si>
  <si>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</si>
  <si>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</si>
  <si>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</si>
  <si>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</si>
  <si>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</si>
  <si>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</si>
  <si>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</si>
  <si>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</si>
  <si>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</si>
  <si>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</si>
  <si>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</si>
  <si>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</si>
  <si>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</si>
  <si>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</si>
  <si>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</si>
  <si>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</si>
  <si>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</si>
  <si>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</si>
  <si>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</si>
  <si>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</si>
  <si>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</si>
  <si>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</si>
  <si>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</si>
  <si>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</si>
  <si>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</si>
  <si>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</si>
  <si>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</si>
  <si>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</si>
  <si>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</si>
  <si>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</si>
  <si>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</si>
  <si>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</si>
  <si>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</si>
  <si>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</si>
  <si>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</si>
  <si>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</si>
  <si>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</si>
  <si>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</si>
  <si>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</si>
  <si>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</si>
  <si>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</si>
  <si>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</si>
  <si>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</si>
  <si>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</si>
  <si>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</si>
  <si>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</si>
  <si>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</si>
  <si>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</si>
  <si>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</si>
  <si>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</si>
  <si>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</si>
  <si>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</si>
  <si>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</si>
  <si>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</si>
  <si>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</si>
  <si>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</si>
  <si>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</si>
  <si>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</si>
  <si>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</si>
  <si>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</si>
  <si>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</si>
  <si>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</si>
  <si>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</si>
  <si>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</si>
  <si>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</si>
  <si>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</si>
  <si>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</si>
  <si>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</si>
  <si>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</si>
  <si>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</si>
  <si>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</si>
  <si>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</si>
  <si>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</si>
  <si>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</si>
  <si>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</si>
  <si>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</si>
  <si>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</si>
  <si>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</si>
  <si>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</si>
  <si>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</si>
  <si>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</si>
  <si>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</si>
  <si>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</si>
  <si>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</si>
  <si>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</si>
  <si>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</si>
  <si>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</si>
  <si>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</si>
  <si>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</si>
  <si>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</si>
  <si>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</si>
  <si>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</si>
  <si>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</si>
  <si>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</si>
  <si>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</si>
  <si>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</si>
  <si>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</si>
  <si>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</si>
  <si>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</si>
  <si>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</si>
  <si>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</si>
  <si>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</si>
  <si>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</si>
  <si>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</si>
  <si>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</si>
  <si>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</si>
  <si>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</si>
  <si>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</si>
  <si>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</si>
  <si>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</si>
  <si>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</si>
  <si>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</si>
  <si>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</si>
  <si>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</si>
  <si>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</si>
  <si>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</si>
  <si>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</si>
  <si>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</si>
  <si>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</si>
  <si>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</si>
  <si>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</si>
  <si>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</si>
  <si>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</si>
  <si>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</si>
  <si>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</si>
  <si>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</si>
  <si>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</si>
  <si>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</si>
  <si>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</si>
  <si>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</si>
  <si>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</si>
  <si>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</si>
  <si>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</si>
  <si>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</si>
  <si>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</si>
  <si>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</si>
  <si>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</si>
  <si>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</si>
  <si>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</si>
  <si>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</si>
  <si>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</si>
  <si>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</si>
  <si>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</si>
  <si>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</si>
  <si>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</si>
  <si>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</si>
  <si>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</si>
  <si>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</si>
  <si>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</si>
  <si>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</si>
  <si>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</si>
  <si>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</si>
  <si>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</si>
  <si>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</si>
  <si>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</si>
  <si>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</si>
  <si>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</si>
  <si>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</si>
  <si>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</si>
  <si>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</si>
  <si>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</si>
  <si>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</si>
  <si>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</si>
  <si>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</si>
  <si>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</si>
  <si>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</si>
  <si>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</si>
  <si>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</si>
  <si>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</si>
  <si>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</si>
  <si>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</si>
  <si>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</si>
  <si>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</si>
  <si>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</si>
  <si>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</si>
  <si>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</si>
  <si>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</si>
  <si>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</si>
  <si>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</si>
  <si>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</si>
  <si>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</si>
  <si>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</si>
  <si>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</si>
  <si>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</si>
  <si>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</si>
  <si>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</si>
  <si>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</si>
  <si>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</si>
  <si>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</si>
  <si>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</si>
  <si>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</si>
  <si>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</si>
  <si>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</si>
  <si>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</si>
  <si>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</si>
  <si>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</si>
  <si>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</si>
  <si>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</si>
  <si>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</si>
  <si>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</si>
  <si>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</si>
  <si>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</si>
  <si>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</si>
  <si>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</si>
  <si>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</si>
  <si>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</si>
  <si>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</si>
  <si>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</si>
  <si>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</si>
  <si>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</si>
  <si>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</si>
  <si>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</si>
  <si>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</si>
  <si>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</si>
  <si>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</si>
  <si>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</si>
  <si>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</si>
  <si>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</si>
  <si>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</si>
  <si>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</si>
  <si>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</si>
  <si>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</si>
  <si>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</si>
  <si>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</si>
  <si>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</si>
  <si>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</si>
  <si>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</si>
  <si>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</si>
  <si>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</si>
  <si>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</si>
  <si>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</si>
  <si>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</si>
  <si>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</si>
  <si>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</si>
  <si>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</si>
  <si>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</si>
  <si>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</si>
  <si>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</si>
  <si>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</si>
  <si>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</si>
  <si>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</si>
  <si>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</si>
  <si>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</si>
  <si>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</si>
  <si>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</si>
  <si>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</si>
  <si>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</si>
  <si>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</si>
  <si>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</si>
  <si>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</si>
  <si>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</si>
  <si>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</si>
  <si>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</si>
  <si>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</si>
  <si>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</si>
  <si>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</si>
  <si>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</si>
  <si>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</si>
  <si>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</si>
  <si>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</si>
  <si>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</si>
  <si>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</si>
  <si>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</si>
  <si>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</si>
  <si>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</si>
  <si>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</si>
  <si>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</si>
  <si>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</si>
  <si>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</si>
  <si>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</si>
  <si>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</si>
  <si>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</si>
  <si>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</si>
  <si>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</si>
  <si>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</si>
  <si>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</si>
  <si>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</si>
  <si>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</si>
  <si>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</si>
  <si>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</si>
  <si>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</si>
  <si>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</si>
  <si>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</si>
  <si>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</si>
  <si>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</si>
  <si>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</si>
  <si>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</si>
  <si>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</si>
  <si>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</si>
  <si>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</si>
  <si>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</si>
  <si>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</si>
  <si>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</si>
  <si>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</si>
  <si>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</si>
  <si>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</si>
  <si>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</si>
  <si>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</si>
  <si>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</si>
  <si>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</si>
  <si>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</si>
  <si>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</si>
  <si>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</si>
  <si>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</si>
  <si>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</si>
  <si>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</si>
  <si>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</si>
  <si>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</si>
  <si>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</si>
  <si>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</si>
  <si>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</si>
  <si>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</si>
  <si>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</si>
  <si>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</si>
  <si>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</si>
  <si>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</si>
  <si>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</si>
  <si>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</si>
  <si>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</si>
  <si>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</si>
  <si>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</si>
  <si>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</si>
  <si>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</si>
  <si>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</si>
  <si>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</si>
  <si>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</si>
  <si>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</si>
  <si>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</si>
  <si>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</si>
  <si>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</si>
  <si>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</si>
  <si>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</si>
  <si>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</si>
  <si>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</si>
  <si>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</si>
  <si>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</si>
  <si>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</si>
  <si>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</si>
  <si>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</si>
  <si>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</si>
  <si>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</si>
  <si>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</si>
  <si>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</si>
  <si>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</si>
  <si>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</si>
  <si>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</si>
  <si>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</si>
  <si>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</si>
  <si>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</si>
  <si>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</si>
  <si>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</si>
  <si>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</si>
  <si>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</si>
  <si>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</si>
  <si>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</si>
  <si>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</si>
  <si>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</si>
  <si>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</si>
  <si>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</si>
  <si>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</si>
  <si>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</si>
  <si>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</si>
  <si>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</si>
  <si>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</si>
  <si>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</si>
  <si>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</si>
  <si>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</si>
  <si>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</si>
  <si>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</si>
  <si>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</si>
  <si>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</si>
  <si>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</si>
  <si>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</si>
  <si>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</si>
  <si>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</si>
  <si>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</si>
  <si>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</si>
  <si>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</si>
  <si>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</si>
  <si>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</si>
  <si>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</si>
  <si>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</si>
  <si>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</si>
  <si>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</si>
  <si>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</si>
  <si>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</si>
  <si>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</si>
  <si>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</si>
  <si>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</si>
  <si>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</si>
  <si>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</si>
  <si>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</si>
  <si>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</si>
  <si>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</si>
  <si>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</si>
  <si>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</si>
  <si>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</si>
  <si>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</si>
  <si>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</si>
  <si>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</si>
  <si>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</si>
  <si>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</si>
  <si>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</si>
  <si>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</si>
  <si>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</si>
  <si>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</si>
  <si>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</si>
  <si>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</si>
  <si>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</si>
  <si>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</si>
  <si>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</si>
  <si>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</si>
  <si>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</si>
  <si>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</si>
  <si>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</si>
  <si>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</si>
  <si>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</si>
  <si>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</si>
  <si>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</si>
  <si>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</si>
  <si>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</si>
  <si>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</si>
  <si>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</si>
  <si>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</si>
  <si>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</si>
  <si>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</si>
  <si>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</si>
  <si>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</si>
  <si>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</si>
  <si>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</si>
  <si>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</si>
  <si>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</si>
  <si>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</si>
  <si>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</si>
  <si>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</si>
  <si>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</si>
  <si>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</si>
  <si>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</si>
  <si>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</si>
  <si>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</si>
  <si>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</si>
  <si>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</si>
  <si>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</si>
  <si>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</si>
  <si>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</si>
  <si>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</si>
  <si>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</si>
  <si>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</si>
  <si>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</si>
  <si>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</si>
  <si>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</si>
  <si>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</si>
  <si>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</si>
  <si>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</si>
  <si>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</si>
  <si>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</si>
  <si>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</si>
  <si>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</si>
  <si>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</si>
  <si>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</si>
  <si>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</si>
  <si>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</si>
  <si>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</si>
  <si>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</si>
  <si>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</si>
  <si>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</si>
  <si>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</si>
  <si>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</si>
  <si>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</si>
  <si>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</si>
  <si>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</si>
  <si>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</si>
  <si>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</si>
  <si>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</si>
  <si>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</si>
  <si>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</si>
  <si>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</si>
  <si>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</si>
  <si>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</si>
  <si>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</si>
  <si>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</si>
  <si>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</si>
  <si>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</si>
  <si>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</si>
  <si>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</si>
  <si>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</si>
  <si>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</si>
  <si>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</si>
  <si>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</si>
  <si>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</si>
  <si>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</si>
  <si>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</si>
  <si>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</si>
  <si>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</si>
  <si>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</si>
  <si>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</si>
  <si>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</si>
  <si>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</si>
  <si>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</si>
  <si>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</si>
  <si>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</si>
  <si>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</si>
  <si>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</si>
  <si>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</si>
  <si>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</si>
  <si>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</si>
  <si>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</si>
  <si>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</si>
  <si>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</si>
  <si>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</si>
  <si>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</si>
  <si>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</si>
  <si>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</si>
  <si>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</si>
  <si>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</si>
  <si>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</si>
  <si>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</si>
  <si>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</si>
  <si>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</si>
  <si>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</si>
  <si>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</si>
  <si>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</si>
  <si>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</si>
  <si>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</si>
  <si>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</si>
  <si>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</si>
  <si>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</si>
  <si>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</si>
  <si>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</si>
  <si>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</si>
  <si>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</si>
  <si>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</si>
  <si>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</si>
  <si>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</si>
  <si>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</si>
  <si>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</si>
  <si>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</si>
  <si>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</si>
  <si>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</si>
  <si>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</si>
  <si>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</si>
  <si>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</si>
  <si>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</si>
  <si>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</si>
  <si>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</si>
  <si>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</si>
  <si>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</si>
  <si>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</si>
  <si>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</si>
  <si>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</si>
  <si>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</si>
  <si>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</si>
  <si>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</si>
  <si>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</si>
  <si>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</si>
  <si>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</si>
  <si>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</si>
  <si>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</si>
  <si>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</si>
  <si>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</si>
  <si>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</si>
  <si>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</si>
  <si>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</si>
  <si>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</si>
  <si>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</si>
  <si>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</si>
  <si>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</si>
  <si>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</si>
  <si>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</si>
  <si>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</si>
  <si>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</si>
  <si>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</si>
  <si>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</si>
  <si>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</si>
  <si>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</si>
  <si>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</si>
  <si>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</si>
  <si>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</si>
  <si>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</si>
  <si>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</si>
  <si>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</si>
  <si>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</si>
  <si>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</si>
  <si>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</si>
  <si>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</si>
  <si>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</si>
  <si>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</si>
  <si>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</si>
  <si>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</si>
  <si>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</si>
  <si>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</si>
  <si>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</si>
  <si>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</si>
  <si>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</si>
  <si>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</si>
  <si>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</si>
  <si>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</si>
  <si>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</si>
  <si>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</si>
  <si>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</si>
  <si>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</si>
  <si>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</si>
  <si>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</si>
  <si>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</si>
  <si>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</si>
  <si>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</si>
  <si>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</si>
  <si>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</si>
  <si>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</si>
  <si>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</si>
  <si>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</si>
  <si>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</si>
  <si>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</si>
  <si>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</si>
  <si>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</si>
  <si>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</si>
  <si>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</si>
  <si>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</si>
  <si>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</si>
  <si>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</si>
  <si>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</si>
  <si>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</si>
  <si>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</si>
  <si>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</si>
  <si>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</si>
  <si>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</si>
  <si>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</si>
  <si>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</si>
  <si>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</si>
  <si>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</si>
  <si>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</si>
  <si>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</si>
  <si>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</si>
  <si>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</si>
  <si>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</si>
  <si>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</si>
  <si>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</si>
  <si>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</si>
  <si>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</si>
  <si>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</si>
  <si>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</si>
  <si>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</si>
  <si>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</si>
  <si>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</si>
  <si>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</si>
  <si>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</si>
  <si>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</si>
  <si>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</si>
  <si>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</si>
  <si>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</si>
  <si>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</si>
  <si>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</si>
  <si>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</si>
  <si>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</si>
  <si>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</si>
  <si>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</si>
  <si>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</si>
  <si>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</si>
  <si>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</si>
  <si>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</si>
  <si>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</si>
  <si>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</si>
  <si>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</si>
  <si>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</si>
  <si>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</si>
  <si>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</si>
  <si>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</si>
  <si>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</si>
  <si>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</si>
  <si>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</si>
  <si>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</si>
  <si>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</si>
  <si>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</si>
  <si>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</si>
  <si>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</si>
  <si>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</si>
  <si>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</si>
  <si>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</si>
  <si>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</si>
  <si>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</si>
  <si>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</si>
  <si>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</si>
  <si>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</si>
  <si>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</si>
  <si>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</si>
  <si>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</si>
  <si>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</si>
  <si>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</si>
  <si>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</si>
  <si>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</si>
  <si>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</si>
  <si>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</si>
  <si>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</si>
  <si>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</si>
  <si>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</si>
  <si>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</si>
  <si>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</si>
  <si>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</si>
  <si>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</si>
  <si>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</si>
  <si>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</si>
  <si>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</si>
  <si>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</si>
  <si>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</si>
  <si>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</si>
  <si>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</si>
  <si>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</si>
  <si>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</si>
  <si>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</si>
  <si>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</si>
  <si>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</si>
  <si>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</si>
  <si>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</si>
  <si>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</si>
  <si>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</si>
  <si>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</si>
  <si>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</si>
  <si>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</si>
  <si>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</si>
  <si>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</si>
  <si>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</si>
  <si>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</si>
  <si>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</si>
  <si>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</si>
  <si>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</si>
  <si>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</si>
  <si>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</si>
  <si>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(Watari et al., 2019; Fishman and al. 2018)</t>
  </si>
  <si>
    <t>Vehicle motor</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</si>
  <si>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</si>
  <si>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</si>
  <si>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</si>
  <si>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</si>
  <si>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</si>
  <si>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</si>
  <si>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</si>
  <si>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</si>
  <si>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</si>
  <si>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</si>
  <si>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</si>
  <si>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</si>
  <si>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</si>
  <si>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</si>
  <si>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</si>
  <si>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</si>
  <si>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</si>
  <si>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</si>
  <si>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</si>
  <si>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</si>
  <si>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</si>
  <si>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</si>
  <si>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</si>
  <si>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</si>
  <si>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</si>
  <si>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</si>
  <si>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</si>
  <si>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</si>
  <si>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</si>
  <si>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</si>
  <si>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</si>
  <si>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</si>
  <si>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</si>
  <si>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</si>
  <si>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</si>
  <si>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</si>
  <si>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</si>
  <si>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</si>
  <si>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</si>
  <si>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</si>
  <si>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</si>
  <si>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</si>
  <si>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</si>
  <si>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</si>
  <si>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</si>
  <si>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</si>
  <si>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</si>
  <si>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</si>
  <si>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</si>
  <si>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</si>
  <si>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</si>
  <si>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</si>
  <si>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</si>
  <si>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</si>
  <si>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</si>
  <si>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</si>
  <si>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</si>
  <si>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</si>
  <si>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</si>
  <si>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</si>
  <si>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</si>
  <si>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</si>
  <si>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</si>
  <si>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</si>
  <si>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</si>
  <si>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</si>
  <si>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</si>
  <si>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</si>
  <si>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</si>
  <si>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</si>
  <si>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</si>
  <si>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</si>
  <si>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</si>
  <si>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</si>
  <si>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</si>
  <si>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</si>
  <si>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</si>
  <si>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</si>
  <si>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</si>
  <si>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</si>
  <si>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</si>
  <si>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</si>
  <si>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</si>
  <si>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</si>
  <si>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</si>
  <si>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</si>
  <si>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</si>
  <si>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</si>
  <si>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</si>
  <si>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</si>
  <si>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</si>
  <si>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</si>
  <si>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</si>
  <si>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</si>
  <si>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</si>
  <si>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</si>
  <si>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</si>
  <si>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</si>
  <si>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</si>
  <si>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</si>
  <si>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</si>
  <si>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</si>
  <si>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</si>
  <si>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</si>
  <si>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</si>
  <si>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</si>
  <si>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</si>
  <si>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</si>
  <si>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</si>
  <si>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</si>
  <si>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</si>
  <si>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</si>
  <si>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</si>
  <si>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</si>
  <si>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</si>
  <si>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</si>
  <si>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</si>
  <si>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</si>
  <si>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</si>
  <si>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</si>
  <si>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</si>
  <si>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</si>
  <si>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</si>
  <si>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</si>
  <si>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</si>
  <si>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</si>
  <si>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</si>
  <si>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</si>
  <si>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</si>
  <si>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</si>
  <si>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</si>
  <si>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Spreadsheet_name</t>
  </si>
  <si>
    <t>Data</t>
  </si>
  <si>
    <t>Hypothesis</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</si>
  <si>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</si>
  <si>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</si>
  <si>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</si>
  <si>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</si>
  <si>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</si>
  <si>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</si>
  <si>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</si>
  <si>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</si>
  <si>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</si>
  <si>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</si>
  <si>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</si>
  <si>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</si>
  <si>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</si>
  <si>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</si>
  <si>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</si>
  <si>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</si>
  <si>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</si>
  <si>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</si>
  <si>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</si>
  <si>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</si>
  <si>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</si>
  <si>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</si>
  <si>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</si>
  <si>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</si>
  <si>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</si>
  <si>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</si>
  <si>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</si>
  <si>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</si>
  <si>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</si>
  <si>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</si>
  <si>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</si>
  <si>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</si>
  <si>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</si>
  <si>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</si>
  <si>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</si>
  <si>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</si>
  <si>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</si>
  <si>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</si>
  <si>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</si>
  <si>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</si>
  <si>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</si>
  <si>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</si>
  <si>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</si>
  <si>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</si>
  <si>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</si>
  <si>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</si>
  <si>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</si>
  <si>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</si>
  <si>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</si>
  <si>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</si>
  <si>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</si>
  <si>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</si>
  <si>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</si>
  <si>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</si>
  <si>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</si>
  <si>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</si>
  <si>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</si>
  <si>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</si>
  <si>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</si>
  <si>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</si>
  <si>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</si>
  <si>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</si>
  <si>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</si>
  <si>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</si>
  <si>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</si>
  <si>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</si>
  <si>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</si>
  <si>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</si>
  <si>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</si>
  <si>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</si>
  <si>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</si>
  <si>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</si>
  <si>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</si>
  <si>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</si>
  <si>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</si>
  <si>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</si>
  <si>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</si>
  <si>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</si>
  <si>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</si>
  <si>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</si>
  <si>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</si>
  <si>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</si>
  <si>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</si>
  <si>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</si>
  <si>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</si>
  <si>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</si>
  <si>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</si>
  <si>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</si>
  <si>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</si>
  <si>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</si>
  <si>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</si>
  <si>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</si>
  <si>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</si>
  <si>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</si>
  <si>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</si>
  <si>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</si>
  <si>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</si>
  <si>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</si>
  <si>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</si>
  <si>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</si>
  <si>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</si>
  <si>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</si>
  <si>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</si>
  <si>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</si>
  <si>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</si>
  <si>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</si>
  <si>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</si>
  <si>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</si>
  <si>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</si>
  <si>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</si>
  <si>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</si>
  <si>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</si>
  <si>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</si>
  <si>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</si>
  <si>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</si>
  <si>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</si>
  <si>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</si>
  <si>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</si>
  <si>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</si>
  <si>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</si>
  <si>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</si>
  <si>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</si>
  <si>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</si>
  <si>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</si>
  <si>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</si>
  <si>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</si>
  <si>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</si>
  <si>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</si>
  <si>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</si>
  <si>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</si>
  <si>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</si>
  <si>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</si>
  <si>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</si>
  <si>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</si>
  <si>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</si>
  <si>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</si>
  <si>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</si>
  <si>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</si>
  <si>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</si>
  <si>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</si>
  <si>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</si>
  <si>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</si>
  <si>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</si>
  <si>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</si>
  <si>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</si>
  <si>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</si>
  <si>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</si>
  <si>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</si>
  <si>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</si>
  <si>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</si>
  <si>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</si>
  <si>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</si>
  <si>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</si>
  <si>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</si>
  <si>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</si>
  <si>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</si>
  <si>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</si>
  <si>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</si>
  <si>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</si>
  <si>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</si>
  <si>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</si>
  <si>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</si>
  <si>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</si>
  <si>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</si>
  <si>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</si>
  <si>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</si>
  <si>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</si>
  <si>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</si>
  <si>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</si>
  <si>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</si>
  <si>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Motor</t>
  </si>
  <si>
    <t>kW</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</si>
  <si>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</si>
  <si>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</si>
  <si>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</si>
  <si>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</si>
  <si>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</si>
  <si>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</si>
  <si>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</si>
  <si>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</si>
  <si>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</si>
  <si>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</si>
  <si>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</si>
  <si>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</si>
  <si>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</si>
  <si>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</si>
  <si>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</si>
  <si>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</si>
  <si>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</si>
  <si>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</si>
  <si>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</si>
  <si>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</si>
  <si>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</si>
  <si>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</si>
  <si>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</si>
  <si>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</si>
  <si>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</si>
  <si>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Sol_C-si</t>
  </si>
  <si>
    <t>Sol_Thin_Film</t>
  </si>
  <si>
    <t>Wind_Onshore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</si>
</sst>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19"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s>
  <fills count="39">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291">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0" fontId="0" fillId="33" borderId="4" xfId="0" applyFill="1" applyBorder="1" applyAlignment="1">
      <alignment horizontal="left"/>
    </xf>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2" fillId="4" borderId="4" xfId="0" applyFont="1" applyFill="1" applyBorder="1" applyAlignment="1">
      <alignment horizontal="center" vertical="center"/>
    </xf>
    <xf numFmtId="0" fontId="0" fillId="0" borderId="13" xfId="0" applyBorder="1"/>
    <xf numFmtId="0" fontId="0" fillId="0" borderId="11" xfId="0" applyBorder="1"/>
    <xf numFmtId="0" fontId="2" fillId="9" borderId="4" xfId="0" applyFont="1" applyFill="1" applyBorder="1" applyAlignment="1">
      <alignment horizontal="center"/>
    </xf>
    <xf numFmtId="0" fontId="0" fillId="0" borderId="5" xfId="0" applyBorder="1"/>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3" borderId="4" xfId="0" applyFont="1" applyFill="1" applyBorder="1" applyAlignment="1">
      <alignment horizontal="center" vertical="center"/>
    </xf>
    <xf numFmtId="0" fontId="2" fillId="3" borderId="4" xfId="0" applyFont="1" applyFill="1" applyBorder="1" applyAlignment="1">
      <alignment horizontal="center"/>
    </xf>
    <xf numFmtId="0" fontId="2" fillId="7" borderId="4" xfId="0" applyFont="1" applyFill="1" applyBorder="1" applyAlignment="1">
      <alignment horizontal="center" vertical="center"/>
    </xf>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6" borderId="4" xfId="0" applyFont="1" applyFill="1" applyBorder="1" applyAlignment="1">
      <alignment horizontal="center" vertical="center"/>
    </xf>
    <xf numFmtId="0" fontId="0" fillId="19" borderId="4" xfId="0"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33" xfId="0" applyFont="1" applyFill="1" applyBorder="1" applyAlignment="1">
      <alignment horizontal="center" vertical="center"/>
    </xf>
    <xf numFmtId="0" fontId="0" fillId="15" borderId="4" xfId="0" applyFill="1" applyBorder="1" applyAlignment="1">
      <alignment horizontal="center"/>
    </xf>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xf numFmtId="0" fontId="0" fillId="9" borderId="24" xfId="0" applyFill="1" applyBorder="1" applyAlignment="1">
      <alignment horizontal="center"/>
    </xf>
    <xf numFmtId="0" fontId="0" fillId="0" borderId="50" xfId="0" applyBorder="1"/>
    <xf numFmtId="0" fontId="0" fillId="0" borderId="46" xfId="0" applyBorder="1"/>
    <xf numFmtId="0" fontId="0" fillId="14" borderId="4" xfId="0" applyFill="1" applyBorder="1" applyAlignment="1">
      <alignment horizontal="center" wrapText="1"/>
    </xf>
    <xf numFmtId="0" fontId="0" fillId="0" borderId="9" xfId="0" applyBorder="1"/>
    <xf numFmtId="0" fontId="0" fillId="5" borderId="4" xfId="0" applyFill="1" applyBorder="1" applyAlignment="1">
      <alignment horizontal="center"/>
    </xf>
    <xf numFmtId="0" fontId="2" fillId="10" borderId="4" xfId="0" applyFont="1"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0" fillId="4" borderId="24" xfId="0" applyFill="1" applyBorder="1" applyAlignment="1">
      <alignment horizontal="center"/>
    </xf>
    <xf numFmtId="0" fontId="0" fillId="16" borderId="4" xfId="0" applyFill="1" applyBorder="1" applyAlignment="1">
      <alignment horizontal="center"/>
    </xf>
    <xf numFmtId="0" fontId="2" fillId="12" borderId="4" xfId="0" applyFont="1" applyFill="1" applyBorder="1" applyAlignment="1">
      <alignment horizontal="center" vertical="center"/>
    </xf>
    <xf numFmtId="0" fontId="18" fillId="3" borderId="0" xfId="0" applyFont="1" applyFill="1"/>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10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10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10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6.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zoomScaleNormal="100" workbookViewId="0">
      <selection activeCell="A24" sqref="A24:A27"/>
    </sheetView>
  </sheetViews>
  <sheetFormatPr baseColWidth="10" defaultRowHeight="15" x14ac:dyDescent="0.2"/>
  <cols>
    <col min="1" max="1" width="22.1640625" bestFit="1" customWidth="1"/>
    <col min="2" max="2" width="143.83203125" customWidth="1"/>
  </cols>
  <sheetData>
    <row r="1" spans="1:2" ht="14.5" customHeight="1" x14ac:dyDescent="0.2">
      <c r="A1" s="256" t="s">
        <v>67</v>
      </c>
      <c r="B1" s="257"/>
    </row>
    <row r="2" spans="1:2" x14ac:dyDescent="0.2">
      <c r="A2" s="258"/>
      <c r="B2" s="259"/>
    </row>
    <row r="3" spans="1:2" x14ac:dyDescent="0.2">
      <c r="A3" s="260"/>
      <c r="B3" s="261"/>
    </row>
    <row r="4" spans="1:2" x14ac:dyDescent="0.2">
      <c r="A4" s="33" t="s">
        <v>68</v>
      </c>
      <c r="B4" s="122"/>
    </row>
    <row r="5" spans="1:2" x14ac:dyDescent="0.2">
      <c r="A5" s="253" t="s">
        <v>69</v>
      </c>
      <c r="B5" s="250"/>
    </row>
    <row r="6" spans="1:2" x14ac:dyDescent="0.2">
      <c r="A6" s="35" t="s">
        <v>70</v>
      </c>
      <c r="B6" s="35" t="s">
        <v>71</v>
      </c>
    </row>
    <row r="7" spans="1:2" x14ac:dyDescent="0.2">
      <c r="A7" s="249" t="s">
        <v>72</v>
      </c>
      <c r="B7" s="250"/>
    </row>
    <row r="8" spans="1:2" ht="16" customHeight="1" x14ac:dyDescent="0.2">
      <c r="A8" s="116" t="s">
        <v>73</v>
      </c>
      <c r="B8" s="37" t="s">
        <v>74</v>
      </c>
    </row>
    <row r="9" spans="1:2" ht="16" customHeight="1" x14ac:dyDescent="0.2">
      <c r="A9" s="116" t="s">
        <v>75</v>
      </c>
      <c r="B9" s="6" t="s">
        <v>76</v>
      </c>
    </row>
    <row r="10" spans="1:2" ht="16" customHeight="1" x14ac:dyDescent="0.2">
      <c r="A10" s="116" t="s">
        <v>77</v>
      </c>
      <c r="B10" s="6" t="s">
        <v>78</v>
      </c>
    </row>
    <row r="11" spans="1:2" x14ac:dyDescent="0.2">
      <c r="A11" s="252" t="s">
        <v>79</v>
      </c>
      <c r="B11" s="250"/>
    </row>
    <row r="12" spans="1:2" x14ac:dyDescent="0.2">
      <c r="A12" s="246" t="s">
        <v>80</v>
      </c>
      <c r="B12" s="9" t="s">
        <v>81</v>
      </c>
    </row>
    <row r="13" spans="1:2" x14ac:dyDescent="0.2">
      <c r="A13" s="247"/>
      <c r="B13" s="9" t="s">
        <v>82</v>
      </c>
    </row>
    <row r="14" spans="1:2" x14ac:dyDescent="0.2">
      <c r="A14" s="248"/>
      <c r="B14" s="9" t="s">
        <v>83</v>
      </c>
    </row>
    <row r="15" spans="1:2" x14ac:dyDescent="0.2">
      <c r="A15" s="90" t="s">
        <v>84</v>
      </c>
      <c r="B15" s="9" t="s">
        <v>85</v>
      </c>
    </row>
    <row r="16" spans="1:2" x14ac:dyDescent="0.2">
      <c r="A16" s="90" t="s">
        <v>86</v>
      </c>
      <c r="B16" s="9" t="s">
        <v>87</v>
      </c>
    </row>
    <row r="17" spans="1:2" ht="16" customHeight="1" x14ac:dyDescent="0.2">
      <c r="A17" s="75" t="s">
        <v>88</v>
      </c>
      <c r="B17" s="6" t="s">
        <v>89</v>
      </c>
    </row>
    <row r="18" spans="1:2" ht="16" customHeight="1" x14ac:dyDescent="0.2">
      <c r="A18" s="75" t="s">
        <v>90</v>
      </c>
      <c r="B18" s="6" t="s">
        <v>91</v>
      </c>
    </row>
    <row r="19" spans="1:2" x14ac:dyDescent="0.2">
      <c r="A19" s="251" t="s">
        <v>92</v>
      </c>
      <c r="B19" s="250"/>
    </row>
    <row r="20" spans="1:2" x14ac:dyDescent="0.2">
      <c r="A20" s="110" t="s">
        <v>93</v>
      </c>
      <c r="B20" s="9" t="s">
        <v>94</v>
      </c>
    </row>
    <row r="21" spans="1:2" x14ac:dyDescent="0.2">
      <c r="A21" s="262" t="s">
        <v>95</v>
      </c>
      <c r="B21" s="9" t="s">
        <v>96</v>
      </c>
    </row>
    <row r="22" spans="1:2" x14ac:dyDescent="0.2">
      <c r="A22" s="248"/>
      <c r="B22" s="9" t="s">
        <v>97</v>
      </c>
    </row>
    <row r="23" spans="1:2" x14ac:dyDescent="0.2">
      <c r="A23" s="255" t="s">
        <v>98</v>
      </c>
      <c r="B23" s="250"/>
    </row>
    <row r="24" spans="1:2" x14ac:dyDescent="0.2">
      <c r="A24" s="255" t="s">
        <v>99</v>
      </c>
      <c r="B24" s="9" t="s">
        <v>100</v>
      </c>
    </row>
    <row r="25" spans="1:2" x14ac:dyDescent="0.2">
      <c r="A25" s="247"/>
      <c r="B25" s="9" t="s">
        <v>101</v>
      </c>
    </row>
    <row r="26" spans="1:2" x14ac:dyDescent="0.2">
      <c r="A26" s="247"/>
      <c r="B26" s="9" t="s">
        <v>102</v>
      </c>
    </row>
    <row r="27" spans="1:2" x14ac:dyDescent="0.2">
      <c r="A27" s="248"/>
      <c r="B27" s="9" t="s">
        <v>103</v>
      </c>
    </row>
    <row r="28" spans="1:2" x14ac:dyDescent="0.2">
      <c r="A28" s="109" t="s">
        <v>104</v>
      </c>
      <c r="B28" s="9" t="s">
        <v>105</v>
      </c>
    </row>
    <row r="29" spans="1:2" x14ac:dyDescent="0.2">
      <c r="A29" s="76" t="s">
        <v>106</v>
      </c>
      <c r="B29" s="9" t="s">
        <v>107</v>
      </c>
    </row>
    <row r="30" spans="1:2" ht="16" customHeight="1" x14ac:dyDescent="0.2">
      <c r="A30" s="76" t="s">
        <v>108</v>
      </c>
      <c r="B30" s="6" t="s">
        <v>109</v>
      </c>
    </row>
    <row r="31" spans="1:2" ht="16" customHeight="1" x14ac:dyDescent="0.2">
      <c r="A31" s="76" t="s">
        <v>110</v>
      </c>
      <c r="B31" s="6" t="s">
        <v>111</v>
      </c>
    </row>
    <row r="32" spans="1:2" x14ac:dyDescent="0.2">
      <c r="A32" s="254" t="s">
        <v>112</v>
      </c>
      <c r="B32" s="250"/>
    </row>
    <row r="33" spans="1:2" ht="32" customHeight="1" x14ac:dyDescent="0.2">
      <c r="A33" s="77" t="s">
        <v>113</v>
      </c>
      <c r="B33" s="6" t="s">
        <v>114</v>
      </c>
    </row>
    <row r="34" spans="1:2" x14ac:dyDescent="0.2">
      <c r="A34" s="33"/>
    </row>
  </sheetData>
  <mergeCells count="10">
    <mergeCell ref="A32:B32"/>
    <mergeCell ref="A23:B23"/>
    <mergeCell ref="A24:A27"/>
    <mergeCell ref="A1:B3"/>
    <mergeCell ref="A21:A22"/>
    <mergeCell ref="A12:A14"/>
    <mergeCell ref="A7:B7"/>
    <mergeCell ref="A19:B19"/>
    <mergeCell ref="A11:B11"/>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B42"/>
  <sheetViews>
    <sheetView tabSelected="1" workbookViewId="0">
      <selection activeCell="D15" sqref="D15"/>
    </sheetView>
  </sheetViews>
  <sheetFormatPr baseColWidth="10" defaultColWidth="8.83203125" defaultRowHeight="15" x14ac:dyDescent="0.2"/>
  <cols>
    <col min="1" max="1" width="12.5" bestFit="1" customWidth="1"/>
    <col min="2" max="2" width="10.1640625" bestFit="1" customWidth="1"/>
  </cols>
  <sheetData>
    <row r="1" spans="1:2" x14ac:dyDescent="0.2">
      <c r="A1" s="290" t="s">
        <v>232</v>
      </c>
      <c r="B1" s="290" t="s">
        <v>233</v>
      </c>
    </row>
    <row r="2" spans="1:2" x14ac:dyDescent="0.2">
      <c r="A2" s="9" t="s">
        <v>14</v>
      </c>
      <c r="B2" s="9" t="s">
        <v>234</v>
      </c>
    </row>
    <row r="3" spans="1:2" x14ac:dyDescent="0.2">
      <c r="A3" s="9" t="s">
        <v>15</v>
      </c>
      <c r="B3" s="9" t="s">
        <v>235</v>
      </c>
    </row>
    <row r="4" spans="1:2" x14ac:dyDescent="0.2">
      <c r="A4" s="9" t="s">
        <v>16</v>
      </c>
      <c r="B4" s="9" t="s">
        <v>236</v>
      </c>
    </row>
    <row r="5" spans="1:2" x14ac:dyDescent="0.2">
      <c r="A5" s="9" t="s">
        <v>17</v>
      </c>
      <c r="B5" s="9" t="s">
        <v>237</v>
      </c>
    </row>
    <row r="6" spans="1:2" x14ac:dyDescent="0.2">
      <c r="A6" s="9" t="s">
        <v>18</v>
      </c>
      <c r="B6" s="9" t="s">
        <v>238</v>
      </c>
    </row>
    <row r="7" spans="1:2" x14ac:dyDescent="0.2">
      <c r="A7" s="9" t="s">
        <v>19</v>
      </c>
      <c r="B7" s="9" t="s">
        <v>19</v>
      </c>
    </row>
    <row r="8" spans="1:2" x14ac:dyDescent="0.2">
      <c r="A8" s="9" t="s">
        <v>20</v>
      </c>
      <c r="B8" s="9" t="s">
        <v>239</v>
      </c>
    </row>
    <row r="9" spans="1:2" x14ac:dyDescent="0.2">
      <c r="A9" s="9" t="s">
        <v>21</v>
      </c>
      <c r="B9" s="9" t="s">
        <v>240</v>
      </c>
    </row>
    <row r="10" spans="1:2" x14ac:dyDescent="0.2">
      <c r="A10" s="9" t="s">
        <v>22</v>
      </c>
      <c r="B10" s="9" t="s">
        <v>241</v>
      </c>
    </row>
    <row r="11" spans="1:2" x14ac:dyDescent="0.2">
      <c r="A11" s="9" t="s">
        <v>23</v>
      </c>
      <c r="B11" s="9" t="s">
        <v>242</v>
      </c>
    </row>
    <row r="12" spans="1:2" x14ac:dyDescent="0.2">
      <c r="A12" s="9" t="s">
        <v>24</v>
      </c>
      <c r="B12" s="9" t="s">
        <v>24</v>
      </c>
    </row>
    <row r="13" spans="1:2" x14ac:dyDescent="0.2">
      <c r="A13" s="9" t="s">
        <v>25</v>
      </c>
      <c r="B13" s="9" t="s">
        <v>243</v>
      </c>
    </row>
    <row r="14" spans="1:2" x14ac:dyDescent="0.2">
      <c r="A14" s="9" t="s">
        <v>26</v>
      </c>
      <c r="B14" s="9" t="s">
        <v>244</v>
      </c>
    </row>
    <row r="15" spans="1:2" x14ac:dyDescent="0.2">
      <c r="A15" s="9" t="s">
        <v>53</v>
      </c>
      <c r="B15" s="9" t="s">
        <v>245</v>
      </c>
    </row>
    <row r="16" spans="1:2" x14ac:dyDescent="0.2">
      <c r="A16" s="9" t="s">
        <v>27</v>
      </c>
      <c r="B16" s="9" t="s">
        <v>246</v>
      </c>
    </row>
    <row r="17" spans="1:2" x14ac:dyDescent="0.2">
      <c r="A17" s="9" t="s">
        <v>28</v>
      </c>
      <c r="B17" s="9" t="s">
        <v>247</v>
      </c>
    </row>
    <row r="18" spans="1:2" x14ac:dyDescent="0.2">
      <c r="A18" s="9" t="s">
        <v>148</v>
      </c>
      <c r="B18" s="9" t="s">
        <v>248</v>
      </c>
    </row>
    <row r="19" spans="1:2" x14ac:dyDescent="0.2">
      <c r="A19" s="9" t="s">
        <v>29</v>
      </c>
      <c r="B19" s="9" t="s">
        <v>249</v>
      </c>
    </row>
    <row r="20" spans="1:2" x14ac:dyDescent="0.2">
      <c r="A20" s="9" t="s">
        <v>30</v>
      </c>
      <c r="B20" s="9" t="s">
        <v>250</v>
      </c>
    </row>
    <row r="21" spans="1:2" x14ac:dyDescent="0.2">
      <c r="A21" s="9" t="s">
        <v>31</v>
      </c>
      <c r="B21" s="9" t="s">
        <v>251</v>
      </c>
    </row>
    <row r="22" spans="1:2" x14ac:dyDescent="0.2">
      <c r="A22" s="9" t="s">
        <v>32</v>
      </c>
      <c r="B22" s="9" t="s">
        <v>252</v>
      </c>
    </row>
    <row r="23" spans="1:2" x14ac:dyDescent="0.2">
      <c r="A23" s="9" t="s">
        <v>33</v>
      </c>
      <c r="B23" s="9" t="s">
        <v>253</v>
      </c>
    </row>
    <row r="24" spans="1:2" x14ac:dyDescent="0.2">
      <c r="A24" s="9" t="s">
        <v>34</v>
      </c>
      <c r="B24" s="9" t="s">
        <v>254</v>
      </c>
    </row>
    <row r="25" spans="1:2" x14ac:dyDescent="0.2">
      <c r="A25" s="9" t="s">
        <v>35</v>
      </c>
      <c r="B25" s="9" t="s">
        <v>255</v>
      </c>
    </row>
    <row r="26" spans="1:2" x14ac:dyDescent="0.2">
      <c r="A26" s="9" t="s">
        <v>51</v>
      </c>
      <c r="B26" s="9" t="s">
        <v>256</v>
      </c>
    </row>
    <row r="27" spans="1:2" x14ac:dyDescent="0.2">
      <c r="A27" s="9" t="s">
        <v>36</v>
      </c>
      <c r="B27" s="9" t="s">
        <v>36</v>
      </c>
    </row>
    <row r="28" spans="1:2" x14ac:dyDescent="0.2">
      <c r="A28" s="9" t="s">
        <v>37</v>
      </c>
      <c r="B28" s="9" t="s">
        <v>257</v>
      </c>
    </row>
    <row r="29" spans="1:2" x14ac:dyDescent="0.2">
      <c r="A29" s="9" t="s">
        <v>50</v>
      </c>
      <c r="B29" s="9" t="s">
        <v>258</v>
      </c>
    </row>
    <row r="30" spans="1:2" x14ac:dyDescent="0.2">
      <c r="A30" s="9" t="s">
        <v>38</v>
      </c>
      <c r="B30" s="9" t="s">
        <v>259</v>
      </c>
    </row>
    <row r="31" spans="1:2" x14ac:dyDescent="0.2">
      <c r="A31" s="9" t="s">
        <v>39</v>
      </c>
      <c r="B31" s="9" t="s">
        <v>260</v>
      </c>
    </row>
    <row r="32" spans="1:2" x14ac:dyDescent="0.2">
      <c r="A32" s="9" t="s">
        <v>40</v>
      </c>
      <c r="B32" s="9" t="s">
        <v>261</v>
      </c>
    </row>
    <row r="33" spans="1:2" x14ac:dyDescent="0.2">
      <c r="A33" s="9" t="s">
        <v>41</v>
      </c>
      <c r="B33" s="9" t="s">
        <v>262</v>
      </c>
    </row>
    <row r="34" spans="1:2" x14ac:dyDescent="0.2">
      <c r="A34" s="9" t="s">
        <v>42</v>
      </c>
      <c r="B34" s="9" t="s">
        <v>263</v>
      </c>
    </row>
    <row r="35" spans="1:2" x14ac:dyDescent="0.2">
      <c r="A35" s="9" t="s">
        <v>43</v>
      </c>
      <c r="B35" s="9" t="s">
        <v>264</v>
      </c>
    </row>
    <row r="36" spans="1:2" x14ac:dyDescent="0.2">
      <c r="A36" s="9" t="s">
        <v>52</v>
      </c>
      <c r="B36" s="9" t="s">
        <v>265</v>
      </c>
    </row>
    <row r="37" spans="1:2" x14ac:dyDescent="0.2">
      <c r="A37" s="9" t="s">
        <v>44</v>
      </c>
      <c r="B37" s="9" t="s">
        <v>266</v>
      </c>
    </row>
    <row r="38" spans="1:2" x14ac:dyDescent="0.2">
      <c r="A38" s="9" t="s">
        <v>45</v>
      </c>
      <c r="B38" s="9" t="s">
        <v>267</v>
      </c>
    </row>
    <row r="39" spans="1:2" x14ac:dyDescent="0.2">
      <c r="A39" s="9" t="s">
        <v>46</v>
      </c>
      <c r="B39" s="9" t="s">
        <v>268</v>
      </c>
    </row>
    <row r="40" spans="1:2" x14ac:dyDescent="0.2">
      <c r="A40" s="9" t="s">
        <v>47</v>
      </c>
      <c r="B40" s="9" t="s">
        <v>269</v>
      </c>
    </row>
    <row r="41" spans="1:2" x14ac:dyDescent="0.2">
      <c r="A41" s="9" t="s">
        <v>48</v>
      </c>
      <c r="B41" s="9" t="s">
        <v>270</v>
      </c>
    </row>
    <row r="42" spans="1:2" x14ac:dyDescent="0.2">
      <c r="A42" s="9" t="s">
        <v>49</v>
      </c>
      <c r="B42" s="9" t="s">
        <v>271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AG42"/>
  <sheetViews>
    <sheetView workbookViewId="0">
      <pane xSplit="1" topLeftCell="Z1" activePane="topRight" state="frozen"/>
      <selection pane="topRight" activeCell="AJ27" sqref="AJ27"/>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3" x14ac:dyDescent="0.2">
      <c r="A1" s="92" t="s">
        <v>115</v>
      </c>
      <c r="B1" s="92" t="s">
        <v>116</v>
      </c>
      <c r="C1" s="92" t="s">
        <v>117</v>
      </c>
      <c r="D1" s="92" t="s">
        <v>118</v>
      </c>
      <c r="E1" s="92" t="s">
        <v>119</v>
      </c>
      <c r="F1" s="92" t="s">
        <v>120</v>
      </c>
      <c r="G1" s="92" t="s">
        <v>121</v>
      </c>
      <c r="H1" s="92" t="s">
        <v>122</v>
      </c>
      <c r="I1" s="92" t="s">
        <v>123</v>
      </c>
      <c r="J1" s="92" t="s">
        <v>124</v>
      </c>
      <c r="K1" s="92" t="s">
        <v>125</v>
      </c>
      <c r="L1" s="92" t="s">
        <v>126</v>
      </c>
      <c r="M1" s="92" t="s">
        <v>127</v>
      </c>
      <c r="N1" s="92" t="s">
        <v>128</v>
      </c>
      <c r="O1" s="92" t="s">
        <v>129</v>
      </c>
      <c r="P1" s="92" t="s">
        <v>130</v>
      </c>
      <c r="Q1" s="92" t="s">
        <v>131</v>
      </c>
      <c r="R1" s="92" t="s">
        <v>132</v>
      </c>
      <c r="S1" s="92" t="s">
        <v>133</v>
      </c>
      <c r="T1" s="92" t="s">
        <v>134</v>
      </c>
      <c r="U1" s="92" t="s">
        <v>135</v>
      </c>
      <c r="V1" s="92" t="s">
        <v>136</v>
      </c>
      <c r="W1" s="92" t="s">
        <v>137</v>
      </c>
      <c r="X1" s="92" t="s">
        <v>138</v>
      </c>
      <c r="Y1" s="92" t="s">
        <v>139</v>
      </c>
      <c r="Z1" s="92" t="s">
        <v>140</v>
      </c>
      <c r="AA1" s="92" t="s">
        <v>141</v>
      </c>
      <c r="AB1" s="92" t="s">
        <v>142</v>
      </c>
      <c r="AC1" s="92" t="s">
        <v>143</v>
      </c>
      <c r="AD1" s="92" t="s">
        <v>144</v>
      </c>
      <c r="AE1" s="92" t="s">
        <v>145</v>
      </c>
      <c r="AF1" s="92" t="s">
        <v>146</v>
      </c>
      <c r="AG1" s="92" t="s">
        <v>147</v>
      </c>
    </row>
    <row r="2" spans="1:33" x14ac:dyDescent="0.2">
      <c r="A2" s="92" t="s">
        <v>14</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92" t="s">
        <v>15</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92" t="s">
        <v>16</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92" t="s">
        <v>17</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92" t="s">
        <v>18</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92" t="s">
        <v>19</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92" t="s">
        <v>20</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92" t="s">
        <v>21</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92" t="s">
        <v>22</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92" t="s">
        <v>23</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92" t="s">
        <v>24</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92" t="s">
        <v>25</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92" t="s">
        <v>26</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92" t="s">
        <v>27</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92" t="s">
        <v>28</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92" t="s">
        <v>29</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92" t="s">
        <v>30</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92" t="s">
        <v>31</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92" t="s">
        <v>32</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92" t="s">
        <v>33</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92" t="s">
        <v>34</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92" t="s">
        <v>35</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92" t="s">
        <v>36</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92" t="s">
        <v>37</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92" t="s">
        <v>38</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92" t="s">
        <v>39</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92" t="s">
        <v>40</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92" t="s">
        <v>41</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92" t="s">
        <v>42</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92" t="s">
        <v>43</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92" t="s">
        <v>44</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92" t="s">
        <v>45</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92" t="s">
        <v>46</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92" t="s">
        <v>47</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92" t="s">
        <v>48</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92" t="s">
        <v>49</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92" t="s">
        <v>50</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92" t="s">
        <v>51</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92" t="s">
        <v>52</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92" t="s">
        <v>53</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8" t="s">
        <v>148</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AF81"/>
  <sheetViews>
    <sheetView topLeftCell="C1" zoomScale="130" zoomScaleNormal="130" workbookViewId="0">
      <selection activeCell="D30" sqref="D30"/>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149</v>
      </c>
      <c r="B1" s="22" t="s">
        <v>150</v>
      </c>
      <c r="C1" s="22" t="s">
        <v>116</v>
      </c>
      <c r="D1" s="22" t="s">
        <v>117</v>
      </c>
      <c r="E1" s="22" t="s">
        <v>118</v>
      </c>
      <c r="F1" s="22" t="s">
        <v>119</v>
      </c>
      <c r="G1" s="22" t="s">
        <v>120</v>
      </c>
      <c r="H1" s="22" t="s">
        <v>121</v>
      </c>
      <c r="I1" s="22" t="s">
        <v>122</v>
      </c>
      <c r="J1" s="22" t="s">
        <v>123</v>
      </c>
      <c r="K1" s="22" t="s">
        <v>124</v>
      </c>
      <c r="L1" s="22" t="s">
        <v>125</v>
      </c>
      <c r="M1" s="22" t="s">
        <v>126</v>
      </c>
      <c r="N1" s="22" t="s">
        <v>127</v>
      </c>
      <c r="O1" s="22" t="s">
        <v>128</v>
      </c>
      <c r="P1" s="22" t="s">
        <v>129</v>
      </c>
      <c r="Q1" s="22" t="s">
        <v>130</v>
      </c>
      <c r="R1" s="22" t="s">
        <v>131</v>
      </c>
      <c r="S1" s="22" t="s">
        <v>132</v>
      </c>
      <c r="T1" s="22" t="s">
        <v>133</v>
      </c>
      <c r="U1" s="22" t="s">
        <v>134</v>
      </c>
      <c r="V1" s="22" t="s">
        <v>135</v>
      </c>
      <c r="W1" s="22" t="s">
        <v>136</v>
      </c>
      <c r="X1" s="22" t="s">
        <v>137</v>
      </c>
      <c r="Y1" s="22" t="s">
        <v>138</v>
      </c>
      <c r="Z1" s="22" t="s">
        <v>139</v>
      </c>
      <c r="AA1" s="22" t="s">
        <v>140</v>
      </c>
      <c r="AB1" s="22" t="s">
        <v>141</v>
      </c>
      <c r="AC1" s="22" t="s">
        <v>142</v>
      </c>
      <c r="AD1" s="22" t="s">
        <v>144</v>
      </c>
      <c r="AE1" s="22" t="s">
        <v>145</v>
      </c>
      <c r="AF1" s="22" t="s">
        <v>143</v>
      </c>
    </row>
    <row r="2" spans="1:32" x14ac:dyDescent="0.2">
      <c r="A2" s="9">
        <v>2010</v>
      </c>
      <c r="B2" s="9" t="s">
        <v>151</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x14ac:dyDescent="0.2">
      <c r="A3" s="9">
        <v>2010</v>
      </c>
      <c r="B3" s="9" t="s">
        <v>152</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x14ac:dyDescent="0.2">
      <c r="A4" s="9">
        <v>2010</v>
      </c>
      <c r="B4" s="9" t="s">
        <v>153</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x14ac:dyDescent="0.2">
      <c r="A5" s="9">
        <v>2010</v>
      </c>
      <c r="B5" s="9" t="s">
        <v>154</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x14ac:dyDescent="0.2">
      <c r="A6" s="9">
        <v>2010</v>
      </c>
      <c r="B6" s="9" t="s">
        <v>155</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x14ac:dyDescent="0.2">
      <c r="A7" s="9">
        <v>2010</v>
      </c>
      <c r="B7" s="9" t="s">
        <v>156</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x14ac:dyDescent="0.2">
      <c r="A8" s="9">
        <v>2010</v>
      </c>
      <c r="B8" s="9" t="s">
        <v>157</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x14ac:dyDescent="0.2">
      <c r="A9" s="9">
        <v>2010</v>
      </c>
      <c r="B9" s="9" t="s">
        <v>158</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x14ac:dyDescent="0.2">
      <c r="A10" s="9">
        <v>2010</v>
      </c>
      <c r="B10" s="9" t="s">
        <v>159</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160</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x14ac:dyDescent="0.2">
      <c r="A12" s="9">
        <v>2010</v>
      </c>
      <c r="B12" s="9" t="s">
        <v>161</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x14ac:dyDescent="0.2">
      <c r="A13" s="9">
        <v>2010</v>
      </c>
      <c r="B13" s="9" t="s">
        <v>162</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x14ac:dyDescent="0.2">
      <c r="A14" s="9">
        <v>2010</v>
      </c>
      <c r="B14" s="9" t="s">
        <v>163</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x14ac:dyDescent="0.2">
      <c r="A15" s="9">
        <v>2020</v>
      </c>
      <c r="B15" s="9" t="s">
        <v>151</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x14ac:dyDescent="0.2">
      <c r="A16" s="9">
        <v>2020</v>
      </c>
      <c r="B16" s="9" t="s">
        <v>152</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x14ac:dyDescent="0.2">
      <c r="A17" s="9">
        <v>2020</v>
      </c>
      <c r="B17" s="9" t="s">
        <v>153</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x14ac:dyDescent="0.2">
      <c r="A18" s="9">
        <v>2020</v>
      </c>
      <c r="B18" s="9" t="s">
        <v>154</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x14ac:dyDescent="0.2">
      <c r="A19" s="9">
        <v>2020</v>
      </c>
      <c r="B19" s="9" t="s">
        <v>155</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x14ac:dyDescent="0.2">
      <c r="A20" s="9">
        <v>2020</v>
      </c>
      <c r="B20" s="9" t="s">
        <v>156</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x14ac:dyDescent="0.2">
      <c r="A21" s="9">
        <v>2020</v>
      </c>
      <c r="B21" s="9" t="s">
        <v>157</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x14ac:dyDescent="0.2">
      <c r="A22" s="9">
        <v>2020</v>
      </c>
      <c r="B22" s="9" t="s">
        <v>158</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x14ac:dyDescent="0.2">
      <c r="A23" s="9">
        <v>2020</v>
      </c>
      <c r="B23" s="9" t="s">
        <v>159</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160</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x14ac:dyDescent="0.2">
      <c r="A25" s="9">
        <v>2020</v>
      </c>
      <c r="B25" s="9" t="s">
        <v>161</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x14ac:dyDescent="0.2">
      <c r="A26" s="9">
        <v>2020</v>
      </c>
      <c r="B26" s="9" t="s">
        <v>162</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x14ac:dyDescent="0.2">
      <c r="A27" s="9">
        <v>2020</v>
      </c>
      <c r="B27" s="9" t="s">
        <v>163</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x14ac:dyDescent="0.2">
      <c r="A28" s="9">
        <v>2030</v>
      </c>
      <c r="B28" s="9" t="s">
        <v>151</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x14ac:dyDescent="0.2">
      <c r="A29" s="9">
        <v>2030</v>
      </c>
      <c r="B29" s="9" t="s">
        <v>152</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x14ac:dyDescent="0.2">
      <c r="A30" s="9">
        <v>2030</v>
      </c>
      <c r="B30" s="9" t="s">
        <v>153</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x14ac:dyDescent="0.2">
      <c r="A31" s="9">
        <v>2030</v>
      </c>
      <c r="B31" s="9" t="s">
        <v>154</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x14ac:dyDescent="0.2">
      <c r="A32" s="9">
        <v>2030</v>
      </c>
      <c r="B32" s="9" t="s">
        <v>155</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x14ac:dyDescent="0.2">
      <c r="A33" s="9">
        <v>2030</v>
      </c>
      <c r="B33" s="9" t="s">
        <v>156</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x14ac:dyDescent="0.2">
      <c r="A34" s="9">
        <v>2030</v>
      </c>
      <c r="B34" s="9" t="s">
        <v>157</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x14ac:dyDescent="0.2">
      <c r="A35" s="9">
        <v>2030</v>
      </c>
      <c r="B35" s="9" t="s">
        <v>158</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x14ac:dyDescent="0.2">
      <c r="A36" s="9">
        <v>2030</v>
      </c>
      <c r="B36" s="9" t="s">
        <v>159</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160</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x14ac:dyDescent="0.2">
      <c r="A38" s="9">
        <v>2030</v>
      </c>
      <c r="B38" s="9" t="s">
        <v>161</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x14ac:dyDescent="0.2">
      <c r="A39" s="9">
        <v>2030</v>
      </c>
      <c r="B39" s="9" t="s">
        <v>162</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x14ac:dyDescent="0.2">
      <c r="A40" s="9">
        <v>2030</v>
      </c>
      <c r="B40" s="9" t="s">
        <v>163</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x14ac:dyDescent="0.2">
      <c r="A41" s="9">
        <v>2040</v>
      </c>
      <c r="B41" s="9" t="s">
        <v>151</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x14ac:dyDescent="0.2">
      <c r="A42" s="9">
        <v>2040</v>
      </c>
      <c r="B42" s="9" t="s">
        <v>152</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x14ac:dyDescent="0.2">
      <c r="A43" s="9">
        <v>2040</v>
      </c>
      <c r="B43" s="9" t="s">
        <v>153</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x14ac:dyDescent="0.2">
      <c r="A44" s="9">
        <v>2040</v>
      </c>
      <c r="B44" s="9" t="s">
        <v>154</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x14ac:dyDescent="0.2">
      <c r="A45" s="9">
        <v>2040</v>
      </c>
      <c r="B45" s="9" t="s">
        <v>155</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x14ac:dyDescent="0.2">
      <c r="A46" s="9">
        <v>2040</v>
      </c>
      <c r="B46" s="9" t="s">
        <v>156</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x14ac:dyDescent="0.2">
      <c r="A47" s="9">
        <v>2040</v>
      </c>
      <c r="B47" s="9" t="s">
        <v>157</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x14ac:dyDescent="0.2">
      <c r="A48" s="9">
        <v>2040</v>
      </c>
      <c r="B48" s="9" t="s">
        <v>158</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x14ac:dyDescent="0.2">
      <c r="A49" s="9">
        <v>2040</v>
      </c>
      <c r="B49" s="9" t="s">
        <v>159</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160</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x14ac:dyDescent="0.2">
      <c r="A51" s="9">
        <v>2040</v>
      </c>
      <c r="B51" s="9" t="s">
        <v>161</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x14ac:dyDescent="0.2">
      <c r="A52" s="9">
        <v>2040</v>
      </c>
      <c r="B52" s="9" t="s">
        <v>162</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x14ac:dyDescent="0.2">
      <c r="A53" s="9">
        <v>2040</v>
      </c>
      <c r="B53" s="9" t="s">
        <v>163</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x14ac:dyDescent="0.2">
      <c r="A54" s="9">
        <v>2050</v>
      </c>
      <c r="B54" s="9" t="s">
        <v>151</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x14ac:dyDescent="0.2">
      <c r="A55" s="9">
        <v>2050</v>
      </c>
      <c r="B55" s="9" t="s">
        <v>152</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x14ac:dyDescent="0.2">
      <c r="A56" s="9">
        <v>2050</v>
      </c>
      <c r="B56" s="9" t="s">
        <v>153</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x14ac:dyDescent="0.2">
      <c r="A57" s="9">
        <v>2050</v>
      </c>
      <c r="B57" s="9" t="s">
        <v>154</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x14ac:dyDescent="0.2">
      <c r="A58" s="9">
        <v>2050</v>
      </c>
      <c r="B58" s="9" t="s">
        <v>155</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x14ac:dyDescent="0.2">
      <c r="A59" s="9">
        <v>2050</v>
      </c>
      <c r="B59" s="9" t="s">
        <v>156</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x14ac:dyDescent="0.2">
      <c r="A60" s="9">
        <v>2050</v>
      </c>
      <c r="B60" s="9" t="s">
        <v>157</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x14ac:dyDescent="0.2">
      <c r="A61" s="9">
        <v>2050</v>
      </c>
      <c r="B61" s="9" t="s">
        <v>158</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x14ac:dyDescent="0.2">
      <c r="A62" s="9">
        <v>2050</v>
      </c>
      <c r="B62" s="9" t="s">
        <v>159</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160</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x14ac:dyDescent="0.2">
      <c r="A64" s="9">
        <v>2050</v>
      </c>
      <c r="B64" s="9" t="s">
        <v>161</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x14ac:dyDescent="0.2">
      <c r="A65" s="9">
        <v>2050</v>
      </c>
      <c r="B65" s="9" t="s">
        <v>162</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x14ac:dyDescent="0.2">
      <c r="A66" s="9">
        <v>2050</v>
      </c>
      <c r="B66" s="9" t="s">
        <v>163</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x14ac:dyDescent="0.2">
      <c r="A67" s="9">
        <v>2010</v>
      </c>
      <c r="B67" s="9" t="s">
        <v>164</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x14ac:dyDescent="0.2">
      <c r="A68" s="9">
        <v>2020</v>
      </c>
      <c r="B68" s="9" t="s">
        <v>164</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x14ac:dyDescent="0.2">
      <c r="A69" s="9">
        <v>2030</v>
      </c>
      <c r="B69" s="9" t="s">
        <v>164</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x14ac:dyDescent="0.2">
      <c r="A70" s="9">
        <v>2040</v>
      </c>
      <c r="B70" s="9" t="s">
        <v>164</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x14ac:dyDescent="0.2">
      <c r="A71" s="9">
        <v>2050</v>
      </c>
      <c r="B71" s="9" t="s">
        <v>164</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x14ac:dyDescent="0.2">
      <c r="A72" s="9">
        <v>2010</v>
      </c>
      <c r="B72" s="9" t="s">
        <v>165</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x14ac:dyDescent="0.2">
      <c r="A73" s="9">
        <v>2020</v>
      </c>
      <c r="B73" s="9" t="s">
        <v>165</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x14ac:dyDescent="0.2">
      <c r="A74" s="9">
        <v>2030</v>
      </c>
      <c r="B74" s="9" t="s">
        <v>165</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x14ac:dyDescent="0.2">
      <c r="A75" s="9">
        <v>2040</v>
      </c>
      <c r="B75" s="9" t="s">
        <v>165</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x14ac:dyDescent="0.2">
      <c r="A76" s="9">
        <v>2050</v>
      </c>
      <c r="B76" s="9" t="s">
        <v>165</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x14ac:dyDescent="0.2">
      <c r="A77" s="9">
        <v>2010</v>
      </c>
      <c r="B77" s="9" t="s">
        <v>166</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x14ac:dyDescent="0.2">
      <c r="A78" s="9">
        <v>2020</v>
      </c>
      <c r="B78" s="9" t="s">
        <v>166</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x14ac:dyDescent="0.2">
      <c r="A79" s="9">
        <v>2030</v>
      </c>
      <c r="B79" s="9" t="s">
        <v>166</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x14ac:dyDescent="0.2">
      <c r="A80" s="9">
        <v>2040</v>
      </c>
      <c r="B80" s="9" t="s">
        <v>166</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x14ac:dyDescent="0.2">
      <c r="A81" s="9">
        <v>2050</v>
      </c>
      <c r="B81" s="9" t="s">
        <v>166</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1" xr:uid="{00000000-0009-0000-0000-000002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A1:AC42"/>
  <sheetViews>
    <sheetView workbookViewId="0">
      <selection activeCell="F14" sqref="F14"/>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2" t="s">
        <v>0</v>
      </c>
      <c r="B1" s="208" t="s">
        <v>1</v>
      </c>
      <c r="C1" s="208" t="s">
        <v>59</v>
      </c>
      <c r="D1" s="208" t="s">
        <v>60</v>
      </c>
      <c r="E1" s="208" t="s">
        <v>167</v>
      </c>
      <c r="F1" s="211" t="s">
        <v>2</v>
      </c>
      <c r="G1" s="209" t="s">
        <v>168</v>
      </c>
      <c r="H1" s="212" t="s">
        <v>169</v>
      </c>
      <c r="I1" s="2"/>
      <c r="J1" s="2"/>
      <c r="K1" s="2"/>
      <c r="L1" s="2"/>
      <c r="M1" s="2"/>
      <c r="N1" s="2"/>
      <c r="O1" s="2"/>
      <c r="P1" s="2"/>
      <c r="Q1" s="2"/>
      <c r="R1" s="2"/>
      <c r="S1" s="2"/>
      <c r="T1" s="2"/>
      <c r="U1" s="2"/>
      <c r="V1" s="2"/>
      <c r="W1" s="2"/>
      <c r="X1" s="2"/>
      <c r="Y1" s="2"/>
      <c r="Z1" s="2"/>
      <c r="AA1" s="2"/>
      <c r="AB1" s="2"/>
      <c r="AC1" s="2"/>
    </row>
    <row r="2" spans="1:29" x14ac:dyDescent="0.2">
      <c r="A2" s="92" t="s">
        <v>14</v>
      </c>
      <c r="B2" s="213">
        <v>71300</v>
      </c>
      <c r="C2" s="9">
        <v>94750</v>
      </c>
      <c r="D2" s="215">
        <v>110658</v>
      </c>
      <c r="E2" s="215">
        <v>127302</v>
      </c>
      <c r="F2" s="9">
        <v>32888</v>
      </c>
      <c r="I2" s="219"/>
      <c r="J2" t="s">
        <v>170</v>
      </c>
    </row>
    <row r="3" spans="1:29" x14ac:dyDescent="0.2">
      <c r="A3" s="92" t="s">
        <v>15</v>
      </c>
      <c r="B3" s="213">
        <v>0</v>
      </c>
      <c r="C3" s="9">
        <v>0</v>
      </c>
      <c r="D3" s="215">
        <v>0</v>
      </c>
      <c r="E3" s="215">
        <v>0</v>
      </c>
      <c r="F3" s="9">
        <v>0</v>
      </c>
      <c r="I3" s="220"/>
      <c r="J3" t="s">
        <v>171</v>
      </c>
    </row>
    <row r="4" spans="1:29" x14ac:dyDescent="0.2">
      <c r="A4" s="92" t="s">
        <v>16</v>
      </c>
      <c r="B4" s="213">
        <v>0</v>
      </c>
      <c r="C4" s="9">
        <v>0</v>
      </c>
      <c r="D4" s="215">
        <v>0</v>
      </c>
      <c r="E4" s="215">
        <v>0</v>
      </c>
      <c r="F4" s="9">
        <v>0</v>
      </c>
      <c r="I4" s="221"/>
      <c r="J4" t="s">
        <v>172</v>
      </c>
    </row>
    <row r="5" spans="1:29" x14ac:dyDescent="0.2">
      <c r="A5" s="92" t="s">
        <v>17</v>
      </c>
      <c r="B5" s="213">
        <v>0</v>
      </c>
      <c r="C5" s="9">
        <v>560</v>
      </c>
      <c r="D5" s="215">
        <v>12789</v>
      </c>
      <c r="E5" s="215">
        <v>11850</v>
      </c>
      <c r="F5" s="9">
        <v>0</v>
      </c>
    </row>
    <row r="6" spans="1:29" x14ac:dyDescent="0.2">
      <c r="A6" s="92" t="s">
        <v>18</v>
      </c>
      <c r="B6" s="213">
        <v>0</v>
      </c>
      <c r="C6" s="9">
        <v>753</v>
      </c>
      <c r="D6" s="216">
        <v>3775</v>
      </c>
      <c r="E6" s="216">
        <v>13460</v>
      </c>
      <c r="F6" s="9">
        <v>501</v>
      </c>
    </row>
    <row r="7" spans="1:29" x14ac:dyDescent="0.2">
      <c r="A7" s="92" t="s">
        <v>19</v>
      </c>
      <c r="B7" s="213">
        <v>0</v>
      </c>
      <c r="C7" s="9">
        <v>0</v>
      </c>
      <c r="D7" s="215">
        <v>0</v>
      </c>
      <c r="E7" s="215">
        <v>0</v>
      </c>
      <c r="F7" s="9">
        <v>0</v>
      </c>
    </row>
    <row r="8" spans="1:29" x14ac:dyDescent="0.2">
      <c r="A8" s="92" t="s">
        <v>20</v>
      </c>
      <c r="B8" s="214">
        <v>22300</v>
      </c>
      <c r="C8" s="9">
        <v>36300</v>
      </c>
      <c r="D8" s="216">
        <v>71900</v>
      </c>
      <c r="E8" s="216">
        <v>92500</v>
      </c>
      <c r="F8" s="9">
        <v>31500</v>
      </c>
    </row>
    <row r="9" spans="1:29" x14ac:dyDescent="0.2">
      <c r="A9" s="92" t="s">
        <v>21</v>
      </c>
      <c r="B9" s="213">
        <v>0</v>
      </c>
      <c r="C9" s="9">
        <v>181</v>
      </c>
      <c r="D9" s="216">
        <v>125</v>
      </c>
      <c r="E9" s="216">
        <v>279</v>
      </c>
      <c r="F9" s="9">
        <v>34</v>
      </c>
    </row>
    <row r="10" spans="1:29" x14ac:dyDescent="0.2">
      <c r="A10" s="92" t="s">
        <v>22</v>
      </c>
      <c r="B10" s="213">
        <v>0</v>
      </c>
      <c r="C10" s="9">
        <v>0</v>
      </c>
      <c r="D10" s="215">
        <v>0</v>
      </c>
      <c r="E10" s="215">
        <v>0</v>
      </c>
      <c r="F10" s="9"/>
    </row>
    <row r="11" spans="1:29" x14ac:dyDescent="0.2">
      <c r="A11" s="92" t="s">
        <v>23</v>
      </c>
      <c r="B11" s="213">
        <v>0</v>
      </c>
      <c r="C11" s="9">
        <v>0</v>
      </c>
      <c r="D11" s="215">
        <v>0</v>
      </c>
      <c r="E11" s="215">
        <v>0</v>
      </c>
      <c r="F11" s="9"/>
    </row>
    <row r="12" spans="1:29" x14ac:dyDescent="0.2">
      <c r="A12" s="92" t="s">
        <v>24</v>
      </c>
      <c r="B12" s="213">
        <v>0</v>
      </c>
      <c r="C12" s="9">
        <v>0</v>
      </c>
      <c r="D12" s="215">
        <v>0</v>
      </c>
      <c r="E12" s="215">
        <v>0</v>
      </c>
      <c r="F12" s="9"/>
    </row>
    <row r="13" spans="1:29" x14ac:dyDescent="0.2">
      <c r="A13" s="92" t="s">
        <v>25</v>
      </c>
      <c r="B13" s="213">
        <v>0</v>
      </c>
      <c r="C13" s="9">
        <v>0</v>
      </c>
      <c r="D13" s="215">
        <v>0</v>
      </c>
      <c r="E13" s="215">
        <v>0</v>
      </c>
      <c r="F13" s="9"/>
    </row>
    <row r="14" spans="1:29" x14ac:dyDescent="0.2">
      <c r="A14" s="92" t="s">
        <v>26</v>
      </c>
      <c r="B14" s="213">
        <v>0</v>
      </c>
      <c r="C14" s="9">
        <v>0</v>
      </c>
      <c r="D14" s="215">
        <v>0</v>
      </c>
      <c r="E14" s="215">
        <v>0</v>
      </c>
      <c r="F14" s="9"/>
    </row>
    <row r="15" spans="1:29" x14ac:dyDescent="0.2">
      <c r="A15" s="92" t="s">
        <v>27</v>
      </c>
      <c r="B15" s="214">
        <v>921943</v>
      </c>
      <c r="C15" s="9">
        <v>1056200</v>
      </c>
      <c r="D15" s="216">
        <v>1185900</v>
      </c>
      <c r="E15" s="216">
        <v>909500</v>
      </c>
      <c r="F15" s="210">
        <v>909500</v>
      </c>
    </row>
    <row r="16" spans="1:29" x14ac:dyDescent="0.2">
      <c r="A16" s="92" t="s">
        <v>28</v>
      </c>
      <c r="B16" s="213">
        <v>300</v>
      </c>
      <c r="C16" s="9">
        <v>310</v>
      </c>
      <c r="D16" s="215">
        <v>320</v>
      </c>
      <c r="E16" s="215">
        <v>310</v>
      </c>
      <c r="F16" s="210">
        <v>310</v>
      </c>
    </row>
    <row r="17" spans="1:6" x14ac:dyDescent="0.2">
      <c r="A17" s="92" t="s">
        <v>29</v>
      </c>
      <c r="B17" s="213">
        <v>0</v>
      </c>
      <c r="C17" s="9">
        <v>132</v>
      </c>
      <c r="D17" s="217">
        <v>2694</v>
      </c>
      <c r="E17" s="217">
        <v>6768</v>
      </c>
      <c r="F17" s="9">
        <v>187</v>
      </c>
    </row>
    <row r="18" spans="1:6" x14ac:dyDescent="0.2">
      <c r="A18" s="92" t="s">
        <v>30</v>
      </c>
      <c r="B18" s="214">
        <v>200</v>
      </c>
      <c r="C18" s="9">
        <v>200</v>
      </c>
      <c r="D18" s="217">
        <v>200</v>
      </c>
      <c r="E18" s="217">
        <v>200</v>
      </c>
      <c r="F18" s="210">
        <v>200</v>
      </c>
    </row>
    <row r="19" spans="1:6" x14ac:dyDescent="0.2">
      <c r="A19" s="92" t="s">
        <v>31</v>
      </c>
      <c r="B19" s="214">
        <v>11152</v>
      </c>
      <c r="C19" s="9">
        <v>4970</v>
      </c>
      <c r="D19" s="216">
        <v>13399</v>
      </c>
      <c r="E19" s="216">
        <v>36050</v>
      </c>
      <c r="F19" s="9">
        <v>3739</v>
      </c>
    </row>
    <row r="20" spans="1:6" x14ac:dyDescent="0.2">
      <c r="A20" s="92" t="s">
        <v>32</v>
      </c>
      <c r="B20" s="213">
        <v>0</v>
      </c>
      <c r="C20" s="9">
        <v>0</v>
      </c>
      <c r="D20" s="215">
        <v>0</v>
      </c>
      <c r="E20" s="215">
        <v>0</v>
      </c>
      <c r="F20" s="9">
        <v>0</v>
      </c>
    </row>
    <row r="21" spans="1:6" x14ac:dyDescent="0.2">
      <c r="A21" s="92" t="s">
        <v>33</v>
      </c>
      <c r="B21" s="213">
        <v>0</v>
      </c>
      <c r="C21" s="9">
        <v>683</v>
      </c>
      <c r="D21" s="216">
        <v>876</v>
      </c>
      <c r="E21" s="216">
        <v>969</v>
      </c>
      <c r="F21" s="9">
        <v>500</v>
      </c>
    </row>
    <row r="22" spans="1:6" x14ac:dyDescent="0.2">
      <c r="A22" s="92" t="s">
        <v>34</v>
      </c>
      <c r="B22" s="213">
        <v>0</v>
      </c>
      <c r="C22" s="9">
        <v>5368</v>
      </c>
      <c r="D22" s="216">
        <v>11689</v>
      </c>
      <c r="E22" s="216">
        <v>34589</v>
      </c>
      <c r="F22" s="9">
        <v>794</v>
      </c>
    </row>
    <row r="23" spans="1:6" x14ac:dyDescent="0.2">
      <c r="A23" s="92" t="s">
        <v>35</v>
      </c>
      <c r="B23" s="213">
        <v>0</v>
      </c>
      <c r="C23" s="9">
        <v>0</v>
      </c>
      <c r="D23" s="215">
        <v>0</v>
      </c>
      <c r="E23" s="215">
        <v>0</v>
      </c>
      <c r="F23" s="9">
        <v>0</v>
      </c>
    </row>
    <row r="24" spans="1:6" x14ac:dyDescent="0.2">
      <c r="A24" s="92" t="s">
        <v>36</v>
      </c>
      <c r="B24" s="213">
        <v>0</v>
      </c>
      <c r="C24" s="9">
        <v>0</v>
      </c>
      <c r="D24" s="215">
        <v>0</v>
      </c>
      <c r="E24" s="215">
        <v>0</v>
      </c>
      <c r="F24" s="9">
        <v>0</v>
      </c>
    </row>
    <row r="25" spans="1:6" x14ac:dyDescent="0.2">
      <c r="A25" s="92" t="s">
        <v>37</v>
      </c>
      <c r="B25" s="213">
        <v>0</v>
      </c>
      <c r="C25" s="9">
        <v>74</v>
      </c>
      <c r="D25" s="215">
        <v>1</v>
      </c>
      <c r="E25" s="215">
        <v>1</v>
      </c>
      <c r="F25" s="210">
        <v>1</v>
      </c>
    </row>
    <row r="26" spans="1:6" x14ac:dyDescent="0.2">
      <c r="A26" s="92" t="s">
        <v>38</v>
      </c>
      <c r="B26" s="213">
        <v>0</v>
      </c>
      <c r="C26" s="9">
        <v>0</v>
      </c>
      <c r="D26" s="215">
        <v>0</v>
      </c>
      <c r="E26" s="215">
        <v>0</v>
      </c>
      <c r="F26" s="9">
        <v>0</v>
      </c>
    </row>
    <row r="27" spans="1:6" x14ac:dyDescent="0.2">
      <c r="A27" s="92" t="s">
        <v>39</v>
      </c>
      <c r="B27" s="213">
        <v>0</v>
      </c>
      <c r="C27" s="9">
        <v>0</v>
      </c>
      <c r="D27" s="215">
        <v>0</v>
      </c>
      <c r="E27" s="215">
        <v>0</v>
      </c>
      <c r="F27" s="9">
        <v>0</v>
      </c>
    </row>
    <row r="28" spans="1:6" x14ac:dyDescent="0.2">
      <c r="A28" s="92" t="s">
        <v>40</v>
      </c>
      <c r="B28" s="213">
        <v>0</v>
      </c>
      <c r="C28" s="9">
        <v>0</v>
      </c>
      <c r="D28" s="215">
        <v>0</v>
      </c>
      <c r="E28" s="215">
        <v>0</v>
      </c>
      <c r="F28" s="9">
        <v>0</v>
      </c>
    </row>
    <row r="29" spans="1:6" x14ac:dyDescent="0.2">
      <c r="A29" s="92" t="s">
        <v>41</v>
      </c>
      <c r="B29" s="213">
        <v>0</v>
      </c>
      <c r="C29" s="9">
        <v>0</v>
      </c>
      <c r="D29" s="215">
        <v>0</v>
      </c>
      <c r="E29" s="215">
        <v>0</v>
      </c>
      <c r="F29" s="9">
        <v>0</v>
      </c>
    </row>
    <row r="30" spans="1:6" x14ac:dyDescent="0.2">
      <c r="A30" s="92" t="s">
        <v>42</v>
      </c>
      <c r="B30" s="213">
        <v>0</v>
      </c>
      <c r="C30" s="9">
        <v>0</v>
      </c>
      <c r="D30" s="215">
        <v>0</v>
      </c>
      <c r="E30" s="215">
        <v>0</v>
      </c>
      <c r="F30" s="9">
        <v>0</v>
      </c>
    </row>
    <row r="31" spans="1:6" x14ac:dyDescent="0.2">
      <c r="A31" s="92" t="s">
        <v>43</v>
      </c>
      <c r="B31" s="213">
        <v>0</v>
      </c>
      <c r="C31" s="9">
        <v>0</v>
      </c>
      <c r="D31" s="215">
        <v>0</v>
      </c>
      <c r="E31" s="215">
        <v>0</v>
      </c>
      <c r="F31" s="9">
        <v>0</v>
      </c>
    </row>
    <row r="32" spans="1:6" x14ac:dyDescent="0.2">
      <c r="A32" s="92" t="s">
        <v>44</v>
      </c>
      <c r="B32" s="213">
        <v>0</v>
      </c>
      <c r="C32" s="9">
        <v>0</v>
      </c>
      <c r="D32" s="215">
        <v>0</v>
      </c>
      <c r="E32" s="215">
        <v>0</v>
      </c>
      <c r="F32" s="9">
        <v>0</v>
      </c>
    </row>
    <row r="33" spans="1:6" x14ac:dyDescent="0.2">
      <c r="A33" s="92" t="s">
        <v>45</v>
      </c>
      <c r="B33" s="213">
        <v>0</v>
      </c>
      <c r="C33" s="9">
        <v>0</v>
      </c>
      <c r="D33" s="215">
        <v>0</v>
      </c>
      <c r="E33" s="215">
        <v>0</v>
      </c>
      <c r="F33" s="9">
        <v>0</v>
      </c>
    </row>
    <row r="34" spans="1:6" x14ac:dyDescent="0.2">
      <c r="A34" s="92" t="s">
        <v>46</v>
      </c>
      <c r="B34" s="213">
        <v>0</v>
      </c>
      <c r="C34" s="9">
        <v>0</v>
      </c>
      <c r="D34" s="215">
        <v>0</v>
      </c>
      <c r="E34" s="215">
        <v>0</v>
      </c>
      <c r="F34" s="9">
        <v>0</v>
      </c>
    </row>
    <row r="35" spans="1:6" x14ac:dyDescent="0.2">
      <c r="A35" s="92" t="s">
        <v>47</v>
      </c>
      <c r="B35" s="213">
        <v>0</v>
      </c>
      <c r="C35" s="9">
        <v>0</v>
      </c>
      <c r="D35" s="215">
        <v>0</v>
      </c>
      <c r="E35" s="215">
        <v>0</v>
      </c>
      <c r="F35" s="9">
        <v>0</v>
      </c>
    </row>
    <row r="36" spans="1:6" x14ac:dyDescent="0.2">
      <c r="A36" s="92" t="s">
        <v>48</v>
      </c>
      <c r="B36" s="213">
        <v>100</v>
      </c>
      <c r="C36" s="9">
        <v>100</v>
      </c>
      <c r="D36" s="215">
        <v>100</v>
      </c>
      <c r="E36" s="215">
        <v>100</v>
      </c>
      <c r="F36" s="9">
        <v>100</v>
      </c>
    </row>
    <row r="37" spans="1:6" x14ac:dyDescent="0.2">
      <c r="A37" s="92" t="s">
        <v>49</v>
      </c>
      <c r="B37" s="213">
        <v>0</v>
      </c>
      <c r="C37" s="9">
        <v>0</v>
      </c>
      <c r="D37" s="215">
        <v>0</v>
      </c>
      <c r="E37" s="215">
        <v>0</v>
      </c>
      <c r="F37" s="9">
        <v>0</v>
      </c>
    </row>
    <row r="38" spans="1:6" x14ac:dyDescent="0.2">
      <c r="A38" s="92" t="s">
        <v>50</v>
      </c>
      <c r="B38" s="218">
        <v>2</v>
      </c>
      <c r="C38" s="9">
        <v>2</v>
      </c>
      <c r="D38" s="217">
        <v>2</v>
      </c>
      <c r="E38" s="215">
        <v>0</v>
      </c>
      <c r="F38" s="9">
        <v>20</v>
      </c>
    </row>
    <row r="39" spans="1:6" x14ac:dyDescent="0.2">
      <c r="A39" s="92" t="s">
        <v>51</v>
      </c>
      <c r="B39" s="213">
        <v>0</v>
      </c>
      <c r="C39" s="45">
        <v>0</v>
      </c>
      <c r="D39" s="213">
        <v>0</v>
      </c>
      <c r="E39" s="213">
        <v>0</v>
      </c>
      <c r="F39" s="45">
        <v>0</v>
      </c>
    </row>
    <row r="40" spans="1:6" x14ac:dyDescent="0.2">
      <c r="A40" s="92" t="s">
        <v>52</v>
      </c>
      <c r="B40" s="213">
        <v>0</v>
      </c>
      <c r="C40" s="45">
        <v>0</v>
      </c>
      <c r="D40" s="213">
        <v>0</v>
      </c>
      <c r="E40" s="213">
        <v>0</v>
      </c>
      <c r="F40" s="45">
        <v>0</v>
      </c>
    </row>
    <row r="41" spans="1:6" x14ac:dyDescent="0.2">
      <c r="A41" s="92" t="s">
        <v>53</v>
      </c>
      <c r="B41" s="213">
        <v>0</v>
      </c>
      <c r="C41" s="45">
        <v>0</v>
      </c>
      <c r="D41" s="213">
        <v>0</v>
      </c>
      <c r="E41" s="213">
        <v>0</v>
      </c>
      <c r="F41" s="45">
        <v>0</v>
      </c>
    </row>
    <row r="42" spans="1:6" x14ac:dyDescent="0.2">
      <c r="B42" s="55">
        <f>SUM(B2:B39)</f>
        <v>1027297</v>
      </c>
      <c r="C42" s="55">
        <f>SUM(C2:C39)</f>
        <v>1200583</v>
      </c>
      <c r="D42" s="55">
        <f>SUM(D2:D39)</f>
        <v>1414428</v>
      </c>
      <c r="E42" s="55">
        <f>SUM(E2:E39)</f>
        <v>1233878</v>
      </c>
      <c r="F42" s="55">
        <f>SUM(F2:F39)</f>
        <v>980274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8" tint="-0.249977111117893"/>
  </sheetPr>
  <dimension ref="A1:S30"/>
  <sheetViews>
    <sheetView workbookViewId="0">
      <selection activeCell="A28" sqref="A28:F30"/>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173</v>
      </c>
    </row>
    <row r="2" spans="1:19" x14ac:dyDescent="0.2">
      <c r="A2" s="35" t="s">
        <v>174</v>
      </c>
      <c r="B2" s="100" t="s">
        <v>1</v>
      </c>
      <c r="C2" s="100" t="s">
        <v>60</v>
      </c>
      <c r="D2" s="100" t="s">
        <v>61</v>
      </c>
      <c r="E2" s="35" t="s">
        <v>62</v>
      </c>
      <c r="F2" s="35" t="s">
        <v>175</v>
      </c>
      <c r="G2" s="35" t="s">
        <v>176</v>
      </c>
    </row>
    <row r="3" spans="1:19" x14ac:dyDescent="0.2">
      <c r="A3" s="92" t="s">
        <v>14</v>
      </c>
      <c r="B3" s="45">
        <v>71300</v>
      </c>
      <c r="C3" s="45">
        <v>110658</v>
      </c>
      <c r="D3" s="45">
        <v>127302</v>
      </c>
      <c r="E3" s="9" t="s">
        <v>177</v>
      </c>
      <c r="F3" s="9" t="s">
        <v>178</v>
      </c>
      <c r="G3" s="9" t="s">
        <v>169</v>
      </c>
    </row>
    <row r="4" spans="1:19" x14ac:dyDescent="0.2">
      <c r="A4" s="92" t="s">
        <v>17</v>
      </c>
      <c r="B4" s="45">
        <v>0</v>
      </c>
      <c r="C4" s="45">
        <v>12789</v>
      </c>
      <c r="D4" s="45">
        <v>11850</v>
      </c>
      <c r="E4" s="9" t="s">
        <v>177</v>
      </c>
      <c r="F4" s="9" t="s">
        <v>178</v>
      </c>
      <c r="G4" s="9"/>
    </row>
    <row r="5" spans="1:19" x14ac:dyDescent="0.2">
      <c r="A5" s="92" t="s">
        <v>28</v>
      </c>
      <c r="B5" s="9">
        <v>300</v>
      </c>
      <c r="C5" s="9">
        <v>320</v>
      </c>
      <c r="D5" s="9">
        <v>310</v>
      </c>
      <c r="E5" s="9" t="s">
        <v>177</v>
      </c>
      <c r="F5" s="9" t="s">
        <v>178</v>
      </c>
      <c r="G5" s="9"/>
    </row>
    <row r="6" spans="1:19" x14ac:dyDescent="0.2">
      <c r="A6" s="92" t="s">
        <v>27</v>
      </c>
      <c r="B6" s="45">
        <v>902171.34</v>
      </c>
      <c r="C6" s="45">
        <v>902171.34</v>
      </c>
      <c r="D6" s="45">
        <v>902171.34</v>
      </c>
      <c r="E6" s="9" t="s">
        <v>177</v>
      </c>
      <c r="F6" s="9" t="s">
        <v>178</v>
      </c>
      <c r="G6" s="9" t="s">
        <v>169</v>
      </c>
    </row>
    <row r="7" spans="1:19" x14ac:dyDescent="0.2">
      <c r="A7" s="92" t="s">
        <v>48</v>
      </c>
      <c r="B7" s="9">
        <v>100</v>
      </c>
      <c r="C7" s="9">
        <v>100</v>
      </c>
      <c r="D7" s="9">
        <v>100</v>
      </c>
      <c r="E7" s="9" t="s">
        <v>177</v>
      </c>
      <c r="F7" s="9" t="s">
        <v>178</v>
      </c>
      <c r="G7" s="9"/>
    </row>
    <row r="10" spans="1:19" ht="16" customHeight="1" thickBot="1" x14ac:dyDescent="0.25">
      <c r="A10" s="91" t="s">
        <v>179</v>
      </c>
    </row>
    <row r="11" spans="1:19" ht="16" customHeight="1" thickBot="1" x14ac:dyDescent="0.25">
      <c r="A11" s="123" t="s">
        <v>174</v>
      </c>
      <c r="B11" s="124" t="s">
        <v>180</v>
      </c>
      <c r="C11" s="125" t="s">
        <v>181</v>
      </c>
      <c r="D11" s="126" t="s">
        <v>182</v>
      </c>
      <c r="E11" s="127" t="s">
        <v>183</v>
      </c>
      <c r="F11" s="127" t="s">
        <v>184</v>
      </c>
      <c r="G11" s="127" t="s">
        <v>185</v>
      </c>
      <c r="H11" s="93" t="s">
        <v>186</v>
      </c>
      <c r="I11" s="124" t="s">
        <v>187</v>
      </c>
      <c r="J11" s="125" t="s">
        <v>188</v>
      </c>
      <c r="K11" s="126" t="s">
        <v>189</v>
      </c>
      <c r="L11" s="93" t="s">
        <v>190</v>
      </c>
      <c r="M11" s="124" t="s">
        <v>191</v>
      </c>
      <c r="N11" s="94" t="s">
        <v>192</v>
      </c>
      <c r="O11" s="123" t="s">
        <v>62</v>
      </c>
      <c r="P11" s="123" t="s">
        <v>63</v>
      </c>
      <c r="R11" s="94"/>
      <c r="S11" t="s">
        <v>193</v>
      </c>
    </row>
    <row r="12" spans="1:19" ht="16" customHeight="1" thickBot="1" x14ac:dyDescent="0.25">
      <c r="A12" s="128" t="s">
        <v>18</v>
      </c>
      <c r="B12" s="129">
        <v>0</v>
      </c>
      <c r="C12" s="130">
        <v>132.1138129435102</v>
      </c>
      <c r="D12" s="29">
        <v>334.5549512355899</v>
      </c>
      <c r="E12" s="79">
        <v>301.5706207743001</v>
      </c>
      <c r="F12" s="79">
        <v>212.0418932866599</v>
      </c>
      <c r="G12" s="79">
        <v>179.0575628253699</v>
      </c>
      <c r="H12" s="131">
        <v>84.816757314669871</v>
      </c>
      <c r="I12" s="129">
        <v>0</v>
      </c>
      <c r="J12" s="130">
        <v>105.6910503548001</v>
      </c>
      <c r="K12" s="29">
        <v>105.6910503548001</v>
      </c>
      <c r="L12" s="131">
        <f>105.6910503548+0.147</f>
        <v>105.8380503548</v>
      </c>
      <c r="M12" s="129">
        <v>0</v>
      </c>
      <c r="N12" s="132">
        <v>0</v>
      </c>
      <c r="O12" s="129" t="s">
        <v>194</v>
      </c>
      <c r="P12" s="129" t="s">
        <v>195</v>
      </c>
      <c r="R12" s="93"/>
      <c r="S12" t="s">
        <v>196</v>
      </c>
    </row>
    <row r="13" spans="1:19" x14ac:dyDescent="0.2">
      <c r="A13" s="133" t="s">
        <v>20</v>
      </c>
      <c r="B13" s="26">
        <v>440.37930928179981</v>
      </c>
      <c r="C13" s="134">
        <v>317.07315106442002</v>
      </c>
      <c r="D13" s="8">
        <v>317.07315106441979</v>
      </c>
      <c r="E13" s="9">
        <v>317.07315106441979</v>
      </c>
      <c r="F13" s="9">
        <v>317.07315106441979</v>
      </c>
      <c r="G13" s="9">
        <v>317.07315106441979</v>
      </c>
      <c r="H13" s="14">
        <v>317.07315106441979</v>
      </c>
      <c r="I13" s="26">
        <v>484.41738132276009</v>
      </c>
      <c r="J13" s="134">
        <v>264.22762588702</v>
      </c>
      <c r="K13" s="8">
        <v>264.22762588702</v>
      </c>
      <c r="L13" s="14">
        <v>264.22762588702</v>
      </c>
      <c r="M13" s="26">
        <v>493.22483445920028</v>
      </c>
      <c r="N13" s="30">
        <v>0</v>
      </c>
      <c r="O13" s="26" t="s">
        <v>194</v>
      </c>
      <c r="P13" s="26" t="s">
        <v>195</v>
      </c>
    </row>
    <row r="14" spans="1:19" x14ac:dyDescent="0.2">
      <c r="A14" s="133" t="s">
        <v>29</v>
      </c>
      <c r="B14" s="26">
        <v>598.9160864036869</v>
      </c>
      <c r="C14" s="134">
        <v>607.72374112982209</v>
      </c>
      <c r="D14" s="8">
        <v>654.97377625205797</v>
      </c>
      <c r="E14" s="9">
        <v>631.41349398681803</v>
      </c>
      <c r="F14" s="9">
        <v>654.97377625205797</v>
      </c>
      <c r="G14" s="9">
        <v>560.732862891266</v>
      </c>
      <c r="H14" s="14">
        <v>518.32448423393498</v>
      </c>
      <c r="I14" s="26">
        <v>519.64759704790811</v>
      </c>
      <c r="J14" s="134">
        <v>572.49332381499198</v>
      </c>
      <c r="K14" s="135">
        <v>572.49332381499198</v>
      </c>
      <c r="L14" s="136">
        <v>572.49332381499198</v>
      </c>
      <c r="M14" s="26">
        <v>510.8399423217781</v>
      </c>
      <c r="N14" s="30">
        <v>0</v>
      </c>
      <c r="O14" s="26" t="s">
        <v>194</v>
      </c>
      <c r="P14" s="26" t="s">
        <v>195</v>
      </c>
    </row>
    <row r="15" spans="1:19" x14ac:dyDescent="0.2">
      <c r="A15" s="133" t="s">
        <v>31</v>
      </c>
      <c r="B15" s="26">
        <v>1277.1002589838199</v>
      </c>
      <c r="C15" s="134">
        <v>158.53657553220989</v>
      </c>
      <c r="D15" s="8">
        <v>306.28280664744801</v>
      </c>
      <c r="E15" s="9">
        <v>282.72252438220801</v>
      </c>
      <c r="F15" s="9">
        <v>193.19379689456511</v>
      </c>
      <c r="G15" s="9">
        <v>169.63351462932499</v>
      </c>
      <c r="H15" s="14">
        <v>80.10478714168201</v>
      </c>
      <c r="I15" s="26">
        <v>317.07315106442002</v>
      </c>
      <c r="J15" s="134">
        <v>0</v>
      </c>
      <c r="K15" s="8">
        <v>0</v>
      </c>
      <c r="L15" s="14">
        <v>0</v>
      </c>
      <c r="M15" s="26">
        <v>0</v>
      </c>
      <c r="N15" s="30">
        <v>554.87801436273696</v>
      </c>
      <c r="O15" s="26" t="s">
        <v>194</v>
      </c>
      <c r="P15" s="26" t="s">
        <v>195</v>
      </c>
    </row>
    <row r="16" spans="1:19" ht="16" customHeight="1" thickBot="1" x14ac:dyDescent="0.25">
      <c r="A16" s="95" t="s">
        <v>34</v>
      </c>
      <c r="B16" s="96">
        <v>0</v>
      </c>
      <c r="C16" s="97">
        <v>563.68566908885987</v>
      </c>
      <c r="D16" s="88">
        <v>339.26702925864407</v>
      </c>
      <c r="E16" s="89">
        <v>400.52372000823402</v>
      </c>
      <c r="F16" s="89">
        <v>513.61251406094698</v>
      </c>
      <c r="G16" s="89">
        <v>527.74885598022911</v>
      </c>
      <c r="H16" s="98">
        <v>654.97388410213307</v>
      </c>
      <c r="I16" s="96">
        <v>0</v>
      </c>
      <c r="J16" s="97">
        <v>704.60713675850002</v>
      </c>
      <c r="K16" s="88">
        <v>735.07856339373586</v>
      </c>
      <c r="L16" s="98">
        <v>673.82208834431788</v>
      </c>
      <c r="M16" s="96">
        <v>0</v>
      </c>
      <c r="N16" s="99">
        <v>334.688460516676</v>
      </c>
      <c r="O16" s="96" t="s">
        <v>194</v>
      </c>
      <c r="P16" s="96" t="s">
        <v>195</v>
      </c>
    </row>
    <row r="19" spans="1:14" ht="16" customHeight="1" thickBot="1" x14ac:dyDescent="0.25">
      <c r="A19" s="91" t="s">
        <v>197</v>
      </c>
    </row>
    <row r="20" spans="1:14" ht="16" customHeight="1" thickBot="1" x14ac:dyDescent="0.25">
      <c r="A20" s="28" t="s">
        <v>174</v>
      </c>
      <c r="B20" s="100" t="s">
        <v>198</v>
      </c>
      <c r="C20" s="100" t="s">
        <v>199</v>
      </c>
      <c r="D20" s="101" t="s">
        <v>200</v>
      </c>
      <c r="E20" s="101" t="s">
        <v>201</v>
      </c>
      <c r="F20" s="101" t="s">
        <v>202</v>
      </c>
      <c r="G20" s="101" t="s">
        <v>203</v>
      </c>
      <c r="H20" s="102" t="s">
        <v>62</v>
      </c>
      <c r="I20" s="102" t="s">
        <v>63</v>
      </c>
      <c r="K20" s="94"/>
      <c r="L20" t="s">
        <v>204</v>
      </c>
      <c r="N20" s="33" t="s">
        <v>205</v>
      </c>
    </row>
    <row r="21" spans="1:14" ht="16" customHeight="1" thickBot="1" x14ac:dyDescent="0.25">
      <c r="A21" s="103" t="s">
        <v>14</v>
      </c>
      <c r="B21" s="104">
        <v>0</v>
      </c>
      <c r="C21" s="104">
        <v>0</v>
      </c>
      <c r="D21" s="104">
        <v>0</v>
      </c>
      <c r="E21" s="104">
        <v>0</v>
      </c>
      <c r="F21" s="104">
        <f>B22/3.4</f>
        <v>4083.6764705882356</v>
      </c>
      <c r="G21" s="104">
        <f>C22/3.4</f>
        <v>9903.9705882352937</v>
      </c>
      <c r="H21" s="9" t="s">
        <v>177</v>
      </c>
      <c r="I21" s="9" t="s">
        <v>206</v>
      </c>
      <c r="K21" s="93"/>
      <c r="L21" t="s">
        <v>207</v>
      </c>
    </row>
    <row r="22" spans="1:14" x14ac:dyDescent="0.2">
      <c r="A22" s="92" t="s">
        <v>20</v>
      </c>
      <c r="B22" s="5">
        <v>13884.5</v>
      </c>
      <c r="C22" s="5">
        <v>33673.5</v>
      </c>
      <c r="D22" s="5">
        <v>13884.5</v>
      </c>
      <c r="E22" s="5">
        <v>33673.5</v>
      </c>
      <c r="F22" s="5">
        <v>0</v>
      </c>
      <c r="G22" s="5">
        <v>0</v>
      </c>
      <c r="H22" s="9" t="s">
        <v>177</v>
      </c>
      <c r="I22" s="9" t="s">
        <v>208</v>
      </c>
    </row>
    <row r="23" spans="1:14" x14ac:dyDescent="0.2">
      <c r="A23" s="92" t="s">
        <v>21</v>
      </c>
      <c r="B23" s="105">
        <v>83</v>
      </c>
      <c r="C23" s="5">
        <v>0</v>
      </c>
      <c r="D23" s="105">
        <v>83</v>
      </c>
      <c r="E23" s="5">
        <v>0</v>
      </c>
      <c r="F23" s="105">
        <v>83</v>
      </c>
      <c r="G23" s="5">
        <v>0</v>
      </c>
      <c r="H23" s="9" t="s">
        <v>177</v>
      </c>
      <c r="I23" s="9" t="s">
        <v>209</v>
      </c>
    </row>
    <row r="24" spans="1:14" x14ac:dyDescent="0.2">
      <c r="A24" s="92" t="s">
        <v>33</v>
      </c>
      <c r="B24" s="105">
        <v>695</v>
      </c>
      <c r="C24" s="5">
        <v>0</v>
      </c>
      <c r="D24" s="105">
        <v>695</v>
      </c>
      <c r="E24" s="5">
        <v>0</v>
      </c>
      <c r="F24" s="105">
        <v>695</v>
      </c>
      <c r="G24" s="5">
        <v>0</v>
      </c>
      <c r="H24" s="9" t="s">
        <v>177</v>
      </c>
      <c r="I24" s="9" t="s">
        <v>209</v>
      </c>
    </row>
    <row r="25" spans="1:14" x14ac:dyDescent="0.2">
      <c r="A25" s="92" t="s">
        <v>37</v>
      </c>
      <c r="B25" s="5">
        <v>1</v>
      </c>
      <c r="C25" s="5">
        <v>0</v>
      </c>
      <c r="D25" s="5">
        <v>1</v>
      </c>
      <c r="E25" s="5">
        <v>0</v>
      </c>
      <c r="F25" s="5">
        <v>1</v>
      </c>
      <c r="G25" s="5">
        <v>0</v>
      </c>
      <c r="H25" s="9" t="s">
        <v>177</v>
      </c>
      <c r="I25" s="9" t="s">
        <v>209</v>
      </c>
    </row>
    <row r="26" spans="1:14" x14ac:dyDescent="0.2">
      <c r="A26" s="1"/>
      <c r="B26" s="1"/>
      <c r="C26" s="1"/>
      <c r="D26" s="1"/>
      <c r="E26" s="1"/>
      <c r="F26" s="1"/>
      <c r="G26" s="1"/>
    </row>
    <row r="28" spans="1:14" x14ac:dyDescent="0.2">
      <c r="A28" s="91" t="s">
        <v>57</v>
      </c>
    </row>
    <row r="29" spans="1:14" x14ac:dyDescent="0.2">
      <c r="A29" s="106" t="s">
        <v>58</v>
      </c>
      <c r="B29" s="107" t="s">
        <v>210</v>
      </c>
      <c r="C29" s="107" t="s">
        <v>60</v>
      </c>
      <c r="D29" s="100" t="s">
        <v>61</v>
      </c>
      <c r="E29" s="108" t="s">
        <v>62</v>
      </c>
      <c r="F29" s="102" t="s">
        <v>63</v>
      </c>
    </row>
    <row r="30" spans="1:14" x14ac:dyDescent="0.2">
      <c r="A30" s="92" t="s">
        <v>64</v>
      </c>
      <c r="B30" s="9">
        <v>1.3</v>
      </c>
      <c r="C30" s="9">
        <v>21.8</v>
      </c>
      <c r="D30" s="9">
        <v>62.5</v>
      </c>
      <c r="E30" s="9" t="s">
        <v>65</v>
      </c>
      <c r="F30" s="36" t="s">
        <v>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1"/>
  <sheetViews>
    <sheetView workbookViewId="0">
      <selection activeCell="C45" sqref="C45"/>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4" width="21.83203125" bestFit="1" customWidth="1"/>
  </cols>
  <sheetData>
    <row r="1" spans="1:14" ht="21" customHeight="1" x14ac:dyDescent="0.25">
      <c r="A1" s="92" t="s">
        <v>0</v>
      </c>
      <c r="B1" s="211" t="s">
        <v>1</v>
      </c>
      <c r="C1" s="211" t="s">
        <v>2</v>
      </c>
      <c r="D1" s="245" t="s">
        <v>3</v>
      </c>
      <c r="E1" s="245" t="s">
        <v>4</v>
      </c>
      <c r="F1" s="245" t="s">
        <v>5</v>
      </c>
      <c r="G1" s="244" t="s">
        <v>6</v>
      </c>
      <c r="H1" s="244" t="s">
        <v>7</v>
      </c>
      <c r="I1" s="243" t="s">
        <v>8</v>
      </c>
      <c r="J1" s="243" t="s">
        <v>9</v>
      </c>
      <c r="K1" s="243" t="s">
        <v>10</v>
      </c>
      <c r="L1" s="243" t="s">
        <v>11</v>
      </c>
      <c r="M1" s="243" t="s">
        <v>12</v>
      </c>
      <c r="N1" s="243" t="s">
        <v>13</v>
      </c>
    </row>
    <row r="2" spans="1:14" x14ac:dyDescent="0.2">
      <c r="A2" s="92" t="s">
        <v>14</v>
      </c>
      <c r="B2" s="242">
        <v>71300</v>
      </c>
      <c r="C2" s="79">
        <v>32888</v>
      </c>
      <c r="D2" s="242">
        <v>71300</v>
      </c>
      <c r="E2" s="79">
        <v>110658</v>
      </c>
      <c r="F2" s="79">
        <v>127302</v>
      </c>
      <c r="G2" s="79">
        <v>0</v>
      </c>
      <c r="H2" s="79">
        <v>0</v>
      </c>
      <c r="I2" s="9">
        <v>0</v>
      </c>
      <c r="J2" s="9">
        <v>0</v>
      </c>
      <c r="K2" s="9">
        <v>0</v>
      </c>
      <c r="L2" s="9">
        <v>0</v>
      </c>
      <c r="M2" s="9">
        <v>0</v>
      </c>
      <c r="N2" s="9">
        <v>0</v>
      </c>
    </row>
    <row r="3" spans="1:14" x14ac:dyDescent="0.2">
      <c r="A3" s="92" t="s">
        <v>15</v>
      </c>
      <c r="B3" s="45">
        <v>0</v>
      </c>
      <c r="C3" s="9">
        <v>0</v>
      </c>
      <c r="D3" s="45">
        <v>0</v>
      </c>
      <c r="E3" s="9">
        <v>0</v>
      </c>
      <c r="F3" s="9">
        <v>0</v>
      </c>
      <c r="G3" s="9">
        <v>0</v>
      </c>
      <c r="H3" s="9">
        <v>0</v>
      </c>
      <c r="I3" s="9">
        <v>0</v>
      </c>
      <c r="J3" s="9">
        <v>0</v>
      </c>
      <c r="K3" s="9">
        <v>0</v>
      </c>
      <c r="L3" s="9">
        <v>0</v>
      </c>
      <c r="M3" s="9">
        <v>0</v>
      </c>
      <c r="N3" s="9">
        <v>0</v>
      </c>
    </row>
    <row r="4" spans="1:14" x14ac:dyDescent="0.2">
      <c r="A4" s="92" t="s">
        <v>16</v>
      </c>
      <c r="B4" s="45">
        <v>0</v>
      </c>
      <c r="C4" s="9">
        <v>0</v>
      </c>
      <c r="D4" s="45">
        <v>0</v>
      </c>
      <c r="E4" s="9">
        <v>0</v>
      </c>
      <c r="F4" s="9">
        <v>0</v>
      </c>
      <c r="G4" s="9">
        <v>0</v>
      </c>
      <c r="H4" s="9">
        <v>0</v>
      </c>
      <c r="I4" s="9">
        <v>0</v>
      </c>
      <c r="J4" s="9">
        <v>0</v>
      </c>
      <c r="K4" s="9">
        <v>0</v>
      </c>
      <c r="L4" s="9">
        <v>0</v>
      </c>
      <c r="M4" s="9">
        <v>0</v>
      </c>
      <c r="N4" s="9">
        <v>0</v>
      </c>
    </row>
    <row r="5" spans="1:14" x14ac:dyDescent="0.2">
      <c r="A5" s="92" t="s">
        <v>17</v>
      </c>
      <c r="B5" s="45">
        <v>0</v>
      </c>
      <c r="C5" s="9">
        <v>0</v>
      </c>
      <c r="D5" s="45">
        <v>0</v>
      </c>
      <c r="E5" s="9">
        <v>12789</v>
      </c>
      <c r="F5" s="9">
        <v>11850</v>
      </c>
      <c r="G5" s="9">
        <v>0</v>
      </c>
      <c r="H5" s="9">
        <v>0</v>
      </c>
      <c r="I5" s="9">
        <v>0</v>
      </c>
      <c r="J5" s="9">
        <v>0</v>
      </c>
      <c r="K5" s="9">
        <v>0</v>
      </c>
      <c r="L5" s="9">
        <v>0</v>
      </c>
      <c r="M5" s="9">
        <v>0</v>
      </c>
      <c r="N5" s="9">
        <v>0</v>
      </c>
    </row>
    <row r="6" spans="1:14" x14ac:dyDescent="0.2">
      <c r="A6" s="92" t="s">
        <v>18</v>
      </c>
      <c r="B6" s="45">
        <v>0</v>
      </c>
      <c r="C6" s="9">
        <v>501</v>
      </c>
      <c r="D6" s="45">
        <v>0</v>
      </c>
      <c r="E6" s="9">
        <v>0</v>
      </c>
      <c r="F6" s="9">
        <v>0</v>
      </c>
      <c r="G6" s="9">
        <v>0</v>
      </c>
      <c r="H6" s="9">
        <v>0</v>
      </c>
      <c r="I6" s="9">
        <v>0</v>
      </c>
      <c r="J6" s="9">
        <v>0</v>
      </c>
      <c r="K6" s="9">
        <v>132.1138129435102</v>
      </c>
      <c r="L6" s="9">
        <v>105.6910503548001</v>
      </c>
      <c r="M6" s="9">
        <v>0</v>
      </c>
      <c r="N6" s="9">
        <v>0</v>
      </c>
    </row>
    <row r="7" spans="1:14" x14ac:dyDescent="0.2">
      <c r="A7" s="92" t="s">
        <v>19</v>
      </c>
      <c r="B7" s="45">
        <v>0</v>
      </c>
      <c r="C7" s="9">
        <v>0</v>
      </c>
      <c r="D7" s="45">
        <v>0</v>
      </c>
      <c r="E7" s="9">
        <v>0</v>
      </c>
      <c r="F7" s="9">
        <v>0</v>
      </c>
      <c r="G7" s="9">
        <v>0</v>
      </c>
      <c r="H7" s="9">
        <v>0</v>
      </c>
      <c r="I7" s="9">
        <v>0</v>
      </c>
      <c r="J7" s="9">
        <v>0</v>
      </c>
      <c r="K7" s="9">
        <v>0</v>
      </c>
      <c r="L7" s="9">
        <v>0</v>
      </c>
      <c r="M7" s="9">
        <v>0</v>
      </c>
      <c r="N7" s="9">
        <v>0</v>
      </c>
    </row>
    <row r="8" spans="1:14" x14ac:dyDescent="0.2">
      <c r="A8" s="92" t="s">
        <v>20</v>
      </c>
      <c r="B8" s="45">
        <v>0</v>
      </c>
      <c r="C8" s="9">
        <v>31500</v>
      </c>
      <c r="D8" s="45">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92" t="s">
        <v>21</v>
      </c>
      <c r="B9" s="45">
        <v>0</v>
      </c>
      <c r="C9" s="9">
        <v>34</v>
      </c>
      <c r="D9" s="45">
        <v>0</v>
      </c>
      <c r="E9" s="9">
        <v>0</v>
      </c>
      <c r="F9" s="9">
        <v>0</v>
      </c>
      <c r="G9" s="9">
        <v>83</v>
      </c>
      <c r="H9" s="9">
        <v>0</v>
      </c>
      <c r="I9" s="9">
        <v>0</v>
      </c>
      <c r="J9" s="9">
        <v>0</v>
      </c>
      <c r="K9" s="9">
        <v>0</v>
      </c>
      <c r="L9" s="9">
        <v>0</v>
      </c>
      <c r="M9" s="9">
        <v>0</v>
      </c>
      <c r="N9" s="9">
        <v>0</v>
      </c>
    </row>
    <row r="10" spans="1:14" x14ac:dyDescent="0.2">
      <c r="A10" s="92" t="s">
        <v>22</v>
      </c>
      <c r="B10" s="45">
        <v>0</v>
      </c>
      <c r="C10" s="9"/>
      <c r="D10" s="45">
        <v>0</v>
      </c>
      <c r="E10" s="9">
        <v>0</v>
      </c>
      <c r="F10" s="9">
        <v>0</v>
      </c>
      <c r="G10" s="9">
        <v>0</v>
      </c>
      <c r="H10" s="9">
        <v>0</v>
      </c>
      <c r="I10" s="9">
        <v>0</v>
      </c>
      <c r="J10" s="9">
        <v>0</v>
      </c>
      <c r="K10" s="9">
        <v>0</v>
      </c>
      <c r="L10" s="9">
        <v>0</v>
      </c>
      <c r="M10" s="9">
        <v>0</v>
      </c>
      <c r="N10" s="9">
        <v>0</v>
      </c>
    </row>
    <row r="11" spans="1:14" x14ac:dyDescent="0.2">
      <c r="A11" s="92" t="s">
        <v>23</v>
      </c>
      <c r="B11" s="45">
        <v>0</v>
      </c>
      <c r="C11" s="9"/>
      <c r="D11" s="45">
        <v>0</v>
      </c>
      <c r="E11" s="9">
        <v>0</v>
      </c>
      <c r="F11" s="9">
        <v>0</v>
      </c>
      <c r="G11" s="9">
        <v>0</v>
      </c>
      <c r="H11" s="9">
        <v>0</v>
      </c>
      <c r="I11" s="9">
        <v>0</v>
      </c>
      <c r="J11" s="9">
        <v>0</v>
      </c>
      <c r="K11" s="9">
        <v>0</v>
      </c>
      <c r="L11" s="9">
        <v>0</v>
      </c>
      <c r="M11" s="9">
        <v>0</v>
      </c>
      <c r="N11" s="9">
        <v>0</v>
      </c>
    </row>
    <row r="12" spans="1:14" x14ac:dyDescent="0.2">
      <c r="A12" s="92" t="s">
        <v>24</v>
      </c>
      <c r="B12" s="45">
        <v>0</v>
      </c>
      <c r="C12" s="9"/>
      <c r="D12" s="45">
        <v>0</v>
      </c>
      <c r="E12" s="9">
        <v>0</v>
      </c>
      <c r="F12" s="9">
        <v>0</v>
      </c>
      <c r="G12" s="9">
        <v>0</v>
      </c>
      <c r="H12" s="9">
        <v>0</v>
      </c>
      <c r="I12" s="9">
        <v>0</v>
      </c>
      <c r="J12" s="9">
        <v>0</v>
      </c>
      <c r="K12" s="9">
        <v>0</v>
      </c>
      <c r="L12" s="9">
        <v>0</v>
      </c>
      <c r="M12" s="9">
        <v>0</v>
      </c>
      <c r="N12" s="9">
        <v>0</v>
      </c>
    </row>
    <row r="13" spans="1:14" x14ac:dyDescent="0.2">
      <c r="A13" s="92" t="s">
        <v>25</v>
      </c>
      <c r="B13" s="45">
        <v>0</v>
      </c>
      <c r="C13" s="9"/>
      <c r="D13" s="45">
        <v>0</v>
      </c>
      <c r="E13" s="9">
        <v>0</v>
      </c>
      <c r="F13" s="9">
        <v>0</v>
      </c>
      <c r="G13" s="9">
        <v>0</v>
      </c>
      <c r="H13" s="9">
        <v>0</v>
      </c>
      <c r="I13" s="9">
        <v>0</v>
      </c>
      <c r="J13" s="9">
        <v>0</v>
      </c>
      <c r="K13" s="9">
        <v>0</v>
      </c>
      <c r="L13" s="9">
        <v>0</v>
      </c>
      <c r="M13" s="9">
        <v>0</v>
      </c>
      <c r="N13" s="9">
        <v>0</v>
      </c>
    </row>
    <row r="14" spans="1:14" x14ac:dyDescent="0.2">
      <c r="A14" s="92" t="s">
        <v>26</v>
      </c>
      <c r="B14" s="45">
        <v>0</v>
      </c>
      <c r="C14" s="9"/>
      <c r="D14" s="45">
        <v>0</v>
      </c>
      <c r="E14" s="9">
        <v>0</v>
      </c>
      <c r="F14" s="9">
        <v>0</v>
      </c>
      <c r="G14" s="9">
        <v>0</v>
      </c>
      <c r="H14" s="9">
        <v>0</v>
      </c>
      <c r="I14" s="9">
        <v>0</v>
      </c>
      <c r="J14" s="9">
        <v>0</v>
      </c>
      <c r="K14" s="9">
        <v>0</v>
      </c>
      <c r="L14" s="9">
        <v>0</v>
      </c>
      <c r="M14" s="9">
        <v>0</v>
      </c>
      <c r="N14" s="9">
        <v>0</v>
      </c>
    </row>
    <row r="15" spans="1:14" x14ac:dyDescent="0.2">
      <c r="A15" s="92" t="s">
        <v>27</v>
      </c>
      <c r="B15" s="45">
        <v>902171.3</v>
      </c>
      <c r="C15" s="9">
        <v>909500</v>
      </c>
      <c r="D15" s="45">
        <v>902171.3</v>
      </c>
      <c r="E15" s="45">
        <v>902171.3</v>
      </c>
      <c r="F15" s="45">
        <v>902171.3</v>
      </c>
      <c r="G15" s="9">
        <v>0</v>
      </c>
      <c r="H15" s="9">
        <v>0</v>
      </c>
      <c r="I15" s="9">
        <v>0</v>
      </c>
      <c r="J15" s="9">
        <v>0</v>
      </c>
      <c r="K15" s="9">
        <v>0</v>
      </c>
      <c r="L15" s="9">
        <v>0</v>
      </c>
      <c r="M15" s="9">
        <v>0</v>
      </c>
      <c r="N15" s="9">
        <v>0</v>
      </c>
    </row>
    <row r="16" spans="1:14" x14ac:dyDescent="0.2">
      <c r="A16" s="92" t="s">
        <v>28</v>
      </c>
      <c r="B16" s="45">
        <v>300</v>
      </c>
      <c r="C16" s="9">
        <v>310</v>
      </c>
      <c r="D16" s="45">
        <v>300</v>
      </c>
      <c r="E16" s="9">
        <v>320</v>
      </c>
      <c r="F16" s="9">
        <v>310</v>
      </c>
      <c r="G16" s="9">
        <v>0</v>
      </c>
      <c r="H16" s="9">
        <v>0</v>
      </c>
      <c r="I16" s="9">
        <v>0</v>
      </c>
      <c r="J16" s="9">
        <v>0</v>
      </c>
      <c r="K16" s="9">
        <v>0</v>
      </c>
      <c r="L16" s="9">
        <v>0</v>
      </c>
      <c r="M16" s="9">
        <v>0</v>
      </c>
      <c r="N16" s="9">
        <v>0</v>
      </c>
    </row>
    <row r="17" spans="1:14" x14ac:dyDescent="0.2">
      <c r="A17" s="92" t="s">
        <v>29</v>
      </c>
      <c r="B17" s="45">
        <v>0</v>
      </c>
      <c r="C17" s="9">
        <v>187</v>
      </c>
      <c r="D17" s="45">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92" t="s">
        <v>30</v>
      </c>
      <c r="B18" s="45">
        <v>0</v>
      </c>
      <c r="C18" s="9">
        <v>200</v>
      </c>
      <c r="D18" s="45">
        <v>0</v>
      </c>
      <c r="E18" s="9">
        <v>0</v>
      </c>
      <c r="F18" s="9">
        <v>0</v>
      </c>
      <c r="G18" s="9">
        <v>0</v>
      </c>
      <c r="H18" s="9">
        <v>0</v>
      </c>
      <c r="I18" s="9">
        <v>0</v>
      </c>
      <c r="J18" s="9">
        <v>0</v>
      </c>
      <c r="K18" s="9">
        <v>0</v>
      </c>
      <c r="L18" s="9">
        <v>0</v>
      </c>
      <c r="M18" s="9">
        <v>0</v>
      </c>
      <c r="N18" s="9">
        <v>0</v>
      </c>
    </row>
    <row r="19" spans="1:14" x14ac:dyDescent="0.2">
      <c r="A19" s="92" t="s">
        <v>31</v>
      </c>
      <c r="B19" s="45">
        <v>0</v>
      </c>
      <c r="C19" s="9">
        <v>3739</v>
      </c>
      <c r="D19" s="45">
        <v>0</v>
      </c>
      <c r="E19" s="9">
        <v>0</v>
      </c>
      <c r="F19" s="9">
        <v>0</v>
      </c>
      <c r="G19" s="9">
        <v>0</v>
      </c>
      <c r="H19" s="9">
        <v>0</v>
      </c>
      <c r="I19" s="9">
        <v>0</v>
      </c>
      <c r="J19" s="9">
        <v>317.07315106442002</v>
      </c>
      <c r="K19" s="9">
        <v>158.53657553220989</v>
      </c>
      <c r="L19" s="9">
        <v>0</v>
      </c>
      <c r="M19" s="9">
        <v>1277.1002589838199</v>
      </c>
      <c r="N19" s="9">
        <v>554.87801436273696</v>
      </c>
    </row>
    <row r="20" spans="1:14" x14ac:dyDescent="0.2">
      <c r="A20" s="92" t="s">
        <v>32</v>
      </c>
      <c r="B20" s="45">
        <v>0</v>
      </c>
      <c r="C20" s="9">
        <v>0</v>
      </c>
      <c r="D20" s="45">
        <v>0</v>
      </c>
      <c r="E20" s="9">
        <v>0</v>
      </c>
      <c r="F20" s="9">
        <v>0</v>
      </c>
      <c r="G20" s="9">
        <v>0</v>
      </c>
      <c r="H20" s="9">
        <v>0</v>
      </c>
      <c r="I20" s="9">
        <v>0</v>
      </c>
      <c r="J20" s="9">
        <v>0</v>
      </c>
      <c r="K20" s="9">
        <v>0</v>
      </c>
      <c r="L20" s="9">
        <v>0</v>
      </c>
      <c r="M20" s="9">
        <v>0</v>
      </c>
      <c r="N20" s="9">
        <v>0</v>
      </c>
    </row>
    <row r="21" spans="1:14" x14ac:dyDescent="0.2">
      <c r="A21" s="92" t="s">
        <v>33</v>
      </c>
      <c r="B21" s="45">
        <v>0</v>
      </c>
      <c r="C21" s="9">
        <v>500</v>
      </c>
      <c r="D21" s="45">
        <v>0</v>
      </c>
      <c r="E21" s="9">
        <v>0</v>
      </c>
      <c r="F21" s="9">
        <v>0</v>
      </c>
      <c r="G21" s="9">
        <v>695</v>
      </c>
      <c r="H21" s="9">
        <v>0</v>
      </c>
      <c r="I21" s="9">
        <v>0</v>
      </c>
      <c r="J21" s="9">
        <v>0</v>
      </c>
      <c r="K21" s="9">
        <v>0</v>
      </c>
      <c r="L21" s="9">
        <v>0</v>
      </c>
      <c r="M21" s="9">
        <v>0</v>
      </c>
      <c r="N21" s="9">
        <v>0</v>
      </c>
    </row>
    <row r="22" spans="1:14" x14ac:dyDescent="0.2">
      <c r="A22" s="92" t="s">
        <v>34</v>
      </c>
      <c r="B22" s="45">
        <v>0</v>
      </c>
      <c r="C22" s="9">
        <v>794</v>
      </c>
      <c r="D22" s="45">
        <v>0</v>
      </c>
      <c r="E22" s="9">
        <v>0</v>
      </c>
      <c r="F22" s="9">
        <v>0</v>
      </c>
      <c r="G22" s="9">
        <v>0</v>
      </c>
      <c r="H22" s="9">
        <v>0</v>
      </c>
      <c r="I22" s="9">
        <v>0</v>
      </c>
      <c r="J22" s="9">
        <v>0</v>
      </c>
      <c r="K22" s="9">
        <v>563.68566908885987</v>
      </c>
      <c r="L22" s="9">
        <v>704.60713675850002</v>
      </c>
      <c r="M22" s="9">
        <v>0</v>
      </c>
      <c r="N22" s="9">
        <v>334.688460516676</v>
      </c>
    </row>
    <row r="23" spans="1:14" x14ac:dyDescent="0.2">
      <c r="A23" s="92" t="s">
        <v>35</v>
      </c>
      <c r="B23" s="45">
        <v>0</v>
      </c>
      <c r="C23" s="9">
        <v>0</v>
      </c>
      <c r="D23" s="45">
        <v>0</v>
      </c>
      <c r="E23" s="9">
        <v>0</v>
      </c>
      <c r="F23" s="9">
        <v>0</v>
      </c>
      <c r="G23" s="9">
        <v>0</v>
      </c>
      <c r="H23" s="9">
        <v>0</v>
      </c>
      <c r="I23" s="9">
        <v>0</v>
      </c>
      <c r="J23" s="9">
        <v>0</v>
      </c>
      <c r="K23" s="9">
        <v>0</v>
      </c>
      <c r="L23" s="9">
        <v>0</v>
      </c>
      <c r="M23" s="9">
        <v>0</v>
      </c>
      <c r="N23" s="9">
        <v>0</v>
      </c>
    </row>
    <row r="24" spans="1:14" x14ac:dyDescent="0.2">
      <c r="A24" s="92" t="s">
        <v>36</v>
      </c>
      <c r="B24" s="45">
        <v>0</v>
      </c>
      <c r="C24" s="9">
        <v>0</v>
      </c>
      <c r="D24" s="45">
        <v>0</v>
      </c>
      <c r="E24" s="9">
        <v>0</v>
      </c>
      <c r="F24" s="9">
        <v>0</v>
      </c>
      <c r="G24" s="9">
        <v>0</v>
      </c>
      <c r="H24" s="9">
        <v>0</v>
      </c>
      <c r="I24" s="9">
        <v>0</v>
      </c>
      <c r="J24" s="9">
        <v>0</v>
      </c>
      <c r="K24" s="9">
        <v>0</v>
      </c>
      <c r="L24" s="9">
        <v>0</v>
      </c>
      <c r="M24" s="9">
        <v>0</v>
      </c>
      <c r="N24" s="9">
        <v>0</v>
      </c>
    </row>
    <row r="25" spans="1:14" x14ac:dyDescent="0.2">
      <c r="A25" s="92" t="s">
        <v>37</v>
      </c>
      <c r="B25" s="45">
        <v>0</v>
      </c>
      <c r="C25" s="9">
        <v>1</v>
      </c>
      <c r="D25" s="45">
        <v>0</v>
      </c>
      <c r="E25" s="9">
        <v>0</v>
      </c>
      <c r="F25" s="9">
        <v>0</v>
      </c>
      <c r="G25" s="9">
        <v>1</v>
      </c>
      <c r="H25" s="9">
        <v>0</v>
      </c>
      <c r="I25" s="9">
        <v>0</v>
      </c>
      <c r="J25" s="9">
        <v>0</v>
      </c>
      <c r="K25" s="9">
        <v>0</v>
      </c>
      <c r="L25" s="9">
        <v>0</v>
      </c>
      <c r="M25" s="9">
        <v>0</v>
      </c>
      <c r="N25" s="9">
        <v>0</v>
      </c>
    </row>
    <row r="26" spans="1:14" x14ac:dyDescent="0.2">
      <c r="A26" s="92" t="s">
        <v>38</v>
      </c>
      <c r="B26" s="45">
        <v>0</v>
      </c>
      <c r="C26" s="9">
        <v>0</v>
      </c>
      <c r="D26" s="45">
        <v>0</v>
      </c>
      <c r="E26" s="9">
        <v>0</v>
      </c>
      <c r="F26" s="9">
        <v>0</v>
      </c>
      <c r="G26" s="9">
        <v>0</v>
      </c>
      <c r="H26" s="9">
        <v>0</v>
      </c>
      <c r="I26" s="9">
        <v>0</v>
      </c>
      <c r="J26" s="9">
        <v>0</v>
      </c>
      <c r="K26" s="9">
        <v>0</v>
      </c>
      <c r="L26" s="9">
        <v>0</v>
      </c>
      <c r="M26" s="9">
        <v>0</v>
      </c>
      <c r="N26" s="9">
        <v>0</v>
      </c>
    </row>
    <row r="27" spans="1:14" x14ac:dyDescent="0.2">
      <c r="A27" s="92" t="s">
        <v>39</v>
      </c>
      <c r="B27" s="45">
        <v>0</v>
      </c>
      <c r="C27" s="9">
        <v>0</v>
      </c>
      <c r="D27" s="45">
        <v>0</v>
      </c>
      <c r="E27" s="9">
        <v>0</v>
      </c>
      <c r="F27" s="9">
        <v>0</v>
      </c>
      <c r="G27" s="9">
        <v>0</v>
      </c>
      <c r="H27" s="9">
        <v>0</v>
      </c>
      <c r="I27" s="9">
        <v>0</v>
      </c>
      <c r="J27" s="9">
        <v>0</v>
      </c>
      <c r="K27" s="9">
        <v>0</v>
      </c>
      <c r="L27" s="9">
        <v>0</v>
      </c>
      <c r="M27" s="9">
        <v>0</v>
      </c>
      <c r="N27" s="9">
        <v>0</v>
      </c>
    </row>
    <row r="28" spans="1:14" x14ac:dyDescent="0.2">
      <c r="A28" s="92" t="s">
        <v>40</v>
      </c>
      <c r="B28" s="45">
        <v>0</v>
      </c>
      <c r="C28" s="9">
        <v>0</v>
      </c>
      <c r="D28" s="45">
        <v>0</v>
      </c>
      <c r="E28" s="9">
        <v>0</v>
      </c>
      <c r="F28" s="9">
        <v>0</v>
      </c>
      <c r="G28" s="9">
        <v>0</v>
      </c>
      <c r="H28" s="9">
        <v>0</v>
      </c>
      <c r="I28" s="9">
        <v>0</v>
      </c>
      <c r="J28" s="9">
        <v>0</v>
      </c>
      <c r="K28" s="9">
        <v>0</v>
      </c>
      <c r="L28" s="9">
        <v>0</v>
      </c>
      <c r="M28" s="9">
        <v>0</v>
      </c>
      <c r="N28" s="9">
        <v>0</v>
      </c>
    </row>
    <row r="29" spans="1:14" x14ac:dyDescent="0.2">
      <c r="A29" s="92" t="s">
        <v>41</v>
      </c>
      <c r="B29" s="45">
        <v>0</v>
      </c>
      <c r="C29" s="9">
        <v>0</v>
      </c>
      <c r="D29" s="45">
        <v>0</v>
      </c>
      <c r="E29" s="9">
        <v>0</v>
      </c>
      <c r="F29" s="9">
        <v>0</v>
      </c>
      <c r="G29" s="9">
        <v>0</v>
      </c>
      <c r="H29" s="9">
        <v>0</v>
      </c>
      <c r="I29" s="9">
        <v>0</v>
      </c>
      <c r="J29" s="9">
        <v>0</v>
      </c>
      <c r="K29" s="9">
        <v>0</v>
      </c>
      <c r="L29" s="9">
        <v>0</v>
      </c>
      <c r="M29" s="9">
        <v>0</v>
      </c>
      <c r="N29" s="9">
        <v>0</v>
      </c>
    </row>
    <row r="30" spans="1:14" x14ac:dyDescent="0.2">
      <c r="A30" s="92" t="s">
        <v>42</v>
      </c>
      <c r="B30" s="45">
        <v>0</v>
      </c>
      <c r="C30" s="9">
        <v>0</v>
      </c>
      <c r="D30" s="45">
        <v>0</v>
      </c>
      <c r="E30" s="9">
        <v>0</v>
      </c>
      <c r="F30" s="9">
        <v>0</v>
      </c>
      <c r="G30" s="9">
        <v>0</v>
      </c>
      <c r="H30" s="9">
        <v>0</v>
      </c>
      <c r="I30" s="9">
        <v>0</v>
      </c>
      <c r="J30" s="9">
        <v>0</v>
      </c>
      <c r="K30" s="9">
        <v>0</v>
      </c>
      <c r="L30" s="9">
        <v>0</v>
      </c>
      <c r="M30" s="9">
        <v>0</v>
      </c>
      <c r="N30" s="9">
        <v>0</v>
      </c>
    </row>
    <row r="31" spans="1:14" x14ac:dyDescent="0.2">
      <c r="A31" s="92" t="s">
        <v>43</v>
      </c>
      <c r="B31" s="45">
        <v>0</v>
      </c>
      <c r="C31" s="9">
        <v>0</v>
      </c>
      <c r="D31" s="45">
        <v>0</v>
      </c>
      <c r="E31" s="9">
        <v>0</v>
      </c>
      <c r="F31" s="9">
        <v>0</v>
      </c>
      <c r="G31" s="9">
        <v>0</v>
      </c>
      <c r="H31" s="9">
        <v>0</v>
      </c>
      <c r="I31" s="9">
        <v>0</v>
      </c>
      <c r="J31" s="9">
        <v>0</v>
      </c>
      <c r="K31" s="9">
        <v>0</v>
      </c>
      <c r="L31" s="9">
        <v>0</v>
      </c>
      <c r="M31" s="9">
        <v>0</v>
      </c>
      <c r="N31" s="9">
        <v>0</v>
      </c>
    </row>
    <row r="32" spans="1:14" x14ac:dyDescent="0.2">
      <c r="A32" s="92" t="s">
        <v>44</v>
      </c>
      <c r="B32" s="45">
        <v>0</v>
      </c>
      <c r="C32" s="9">
        <v>0</v>
      </c>
      <c r="D32" s="45">
        <v>0</v>
      </c>
      <c r="E32" s="9">
        <v>0</v>
      </c>
      <c r="F32" s="9">
        <v>0</v>
      </c>
      <c r="G32" s="9">
        <v>0</v>
      </c>
      <c r="H32" s="9">
        <v>0</v>
      </c>
      <c r="I32" s="9">
        <v>0</v>
      </c>
      <c r="J32" s="9">
        <v>0</v>
      </c>
      <c r="K32" s="9">
        <v>0</v>
      </c>
      <c r="L32" s="9">
        <v>0</v>
      </c>
      <c r="M32" s="9">
        <v>0</v>
      </c>
      <c r="N32" s="9">
        <v>0</v>
      </c>
    </row>
    <row r="33" spans="1:14" x14ac:dyDescent="0.2">
      <c r="A33" s="92" t="s">
        <v>45</v>
      </c>
      <c r="B33" s="45">
        <v>0</v>
      </c>
      <c r="C33" s="9">
        <v>0</v>
      </c>
      <c r="D33" s="45">
        <v>0</v>
      </c>
      <c r="E33" s="9">
        <v>0</v>
      </c>
      <c r="F33" s="9">
        <v>0</v>
      </c>
      <c r="G33" s="9">
        <v>0</v>
      </c>
      <c r="H33" s="9">
        <v>0</v>
      </c>
      <c r="I33" s="9">
        <v>0</v>
      </c>
      <c r="J33" s="9">
        <v>0</v>
      </c>
      <c r="K33" s="9">
        <v>0</v>
      </c>
      <c r="L33" s="9">
        <v>0</v>
      </c>
      <c r="M33" s="9">
        <v>0</v>
      </c>
      <c r="N33" s="9">
        <v>0</v>
      </c>
    </row>
    <row r="34" spans="1:14" x14ac:dyDescent="0.2">
      <c r="A34" s="92" t="s">
        <v>46</v>
      </c>
      <c r="B34" s="45">
        <v>0</v>
      </c>
      <c r="C34" s="9">
        <v>0</v>
      </c>
      <c r="D34" s="45">
        <v>0</v>
      </c>
      <c r="E34" s="9">
        <v>0</v>
      </c>
      <c r="F34" s="9">
        <v>0</v>
      </c>
      <c r="G34" s="9">
        <v>0</v>
      </c>
      <c r="H34" s="9">
        <v>0</v>
      </c>
      <c r="I34" s="9">
        <v>0</v>
      </c>
      <c r="J34" s="9">
        <v>0</v>
      </c>
      <c r="K34" s="9">
        <v>0</v>
      </c>
      <c r="L34" s="9">
        <v>0</v>
      </c>
      <c r="M34" s="9">
        <v>0</v>
      </c>
      <c r="N34" s="9">
        <v>0</v>
      </c>
    </row>
    <row r="35" spans="1:14" x14ac:dyDescent="0.2">
      <c r="A35" s="92" t="s">
        <v>47</v>
      </c>
      <c r="B35" s="45">
        <v>0</v>
      </c>
      <c r="C35" s="9">
        <v>0</v>
      </c>
      <c r="D35" s="45">
        <v>0</v>
      </c>
      <c r="E35" s="9">
        <v>0</v>
      </c>
      <c r="F35" s="9">
        <v>0</v>
      </c>
      <c r="G35" s="9">
        <v>0</v>
      </c>
      <c r="H35" s="9">
        <v>0</v>
      </c>
      <c r="I35" s="9">
        <v>0</v>
      </c>
      <c r="J35" s="9">
        <v>0</v>
      </c>
      <c r="K35" s="9">
        <v>0</v>
      </c>
      <c r="L35" s="9">
        <v>0</v>
      </c>
      <c r="M35" s="9">
        <v>0</v>
      </c>
      <c r="N35" s="9">
        <v>0</v>
      </c>
    </row>
    <row r="36" spans="1:14" x14ac:dyDescent="0.2">
      <c r="A36" s="92" t="s">
        <v>48</v>
      </c>
      <c r="B36" s="45">
        <v>100</v>
      </c>
      <c r="C36" s="9">
        <v>100</v>
      </c>
      <c r="D36" s="45">
        <v>100</v>
      </c>
      <c r="E36" s="45">
        <v>100</v>
      </c>
      <c r="F36" s="9">
        <v>100</v>
      </c>
      <c r="G36" s="9">
        <v>0</v>
      </c>
      <c r="H36" s="9">
        <v>0</v>
      </c>
      <c r="I36" s="9">
        <v>0</v>
      </c>
      <c r="J36" s="9">
        <v>0</v>
      </c>
      <c r="K36" s="9">
        <v>0</v>
      </c>
      <c r="L36" s="9">
        <v>0</v>
      </c>
      <c r="M36" s="9">
        <v>0</v>
      </c>
      <c r="N36" s="9">
        <v>0</v>
      </c>
    </row>
    <row r="37" spans="1:14" x14ac:dyDescent="0.2">
      <c r="A37" s="92" t="s">
        <v>49</v>
      </c>
      <c r="B37" s="45">
        <v>0</v>
      </c>
      <c r="C37" s="9">
        <v>0</v>
      </c>
      <c r="D37" s="45">
        <v>0</v>
      </c>
      <c r="E37" s="9">
        <v>0</v>
      </c>
      <c r="F37" s="9">
        <v>0</v>
      </c>
      <c r="G37" s="9">
        <v>0</v>
      </c>
      <c r="H37" s="9">
        <v>0</v>
      </c>
      <c r="I37" s="9">
        <v>0</v>
      </c>
      <c r="J37" s="9">
        <v>0</v>
      </c>
      <c r="K37" s="9">
        <v>0</v>
      </c>
      <c r="L37" s="9">
        <v>0</v>
      </c>
      <c r="M37" s="9">
        <v>0</v>
      </c>
      <c r="N37" s="9">
        <v>0</v>
      </c>
    </row>
    <row r="38" spans="1:14" x14ac:dyDescent="0.2">
      <c r="A38" s="92" t="s">
        <v>50</v>
      </c>
      <c r="B38" s="45">
        <v>0</v>
      </c>
      <c r="C38" s="9">
        <v>20</v>
      </c>
      <c r="D38" s="45">
        <v>0</v>
      </c>
      <c r="E38" s="9">
        <v>0</v>
      </c>
      <c r="F38" s="9">
        <v>0</v>
      </c>
      <c r="G38" s="9">
        <v>0</v>
      </c>
      <c r="H38" s="9">
        <v>0</v>
      </c>
      <c r="I38" s="9">
        <v>0</v>
      </c>
      <c r="J38" s="9">
        <v>0</v>
      </c>
      <c r="K38" s="9">
        <v>0</v>
      </c>
      <c r="L38" s="9">
        <v>0</v>
      </c>
      <c r="M38" s="9">
        <v>0</v>
      </c>
      <c r="N38" s="9">
        <v>0</v>
      </c>
    </row>
    <row r="39" spans="1:14" x14ac:dyDescent="0.2">
      <c r="A39" s="92" t="s">
        <v>51</v>
      </c>
      <c r="B39" s="45">
        <v>0</v>
      </c>
      <c r="C39" s="45">
        <v>0</v>
      </c>
      <c r="D39" s="45">
        <v>0</v>
      </c>
      <c r="E39" s="9">
        <v>0</v>
      </c>
      <c r="F39" s="45">
        <v>0</v>
      </c>
      <c r="G39" s="9">
        <v>0</v>
      </c>
      <c r="H39" s="9">
        <v>0</v>
      </c>
      <c r="I39" s="9">
        <v>0</v>
      </c>
      <c r="J39" s="9">
        <v>0</v>
      </c>
      <c r="K39" s="9">
        <v>0</v>
      </c>
      <c r="L39" s="9">
        <v>0</v>
      </c>
      <c r="M39" s="9">
        <v>0</v>
      </c>
      <c r="N39" s="9">
        <v>0</v>
      </c>
    </row>
    <row r="40" spans="1:14" x14ac:dyDescent="0.2">
      <c r="A40" s="92" t="s">
        <v>52</v>
      </c>
      <c r="B40" s="45">
        <v>0</v>
      </c>
      <c r="C40" s="45">
        <v>0</v>
      </c>
      <c r="D40" s="45">
        <v>0</v>
      </c>
      <c r="E40" s="9">
        <v>0</v>
      </c>
      <c r="F40" s="45">
        <v>0</v>
      </c>
      <c r="G40" s="9">
        <v>0</v>
      </c>
      <c r="H40" s="9">
        <v>0</v>
      </c>
      <c r="I40" s="9">
        <v>0</v>
      </c>
      <c r="J40" s="9">
        <v>0</v>
      </c>
      <c r="K40" s="9">
        <v>0</v>
      </c>
      <c r="L40" s="9">
        <v>0</v>
      </c>
      <c r="M40" s="9">
        <v>0</v>
      </c>
      <c r="N40" s="9">
        <v>0</v>
      </c>
    </row>
    <row r="41" spans="1:14" x14ac:dyDescent="0.2">
      <c r="A41" s="92" t="s">
        <v>53</v>
      </c>
      <c r="B41" s="45">
        <v>0</v>
      </c>
      <c r="C41" s="45">
        <v>0</v>
      </c>
      <c r="D41" s="45">
        <v>0</v>
      </c>
      <c r="E41" s="9">
        <v>0</v>
      </c>
      <c r="F41" s="45">
        <v>0</v>
      </c>
      <c r="G41" s="9">
        <v>0</v>
      </c>
      <c r="H41" s="9">
        <v>0</v>
      </c>
      <c r="I41" s="79">
        <v>0</v>
      </c>
      <c r="J41" s="9">
        <v>0</v>
      </c>
      <c r="K41" s="9">
        <v>0</v>
      </c>
      <c r="L41" s="9">
        <v>0</v>
      </c>
      <c r="M41" s="9">
        <v>0</v>
      </c>
      <c r="N41" s="9">
        <v>0</v>
      </c>
    </row>
    <row r="42" spans="1:14" x14ac:dyDescent="0.2">
      <c r="A42" s="241" t="s">
        <v>54</v>
      </c>
      <c r="B42" s="55" t="s">
        <v>55</v>
      </c>
      <c r="C42" s="55" t="s">
        <v>56</v>
      </c>
      <c r="D42" s="55" t="s">
        <v>55</v>
      </c>
      <c r="E42" s="55" t="s">
        <v>55</v>
      </c>
      <c r="F42" s="55" t="s">
        <v>55</v>
      </c>
      <c r="G42" s="55" t="s">
        <v>55</v>
      </c>
      <c r="H42" s="55" t="s">
        <v>55</v>
      </c>
      <c r="I42" s="55" t="s">
        <v>55</v>
      </c>
      <c r="J42" s="55" t="s">
        <v>55</v>
      </c>
      <c r="K42" s="55" t="s">
        <v>55</v>
      </c>
      <c r="L42" s="55" t="s">
        <v>55</v>
      </c>
      <c r="M42" s="55" t="s">
        <v>55</v>
      </c>
      <c r="N42" s="55" t="s">
        <v>55</v>
      </c>
    </row>
    <row r="49" spans="1:7" x14ac:dyDescent="0.2">
      <c r="A49" s="91" t="s">
        <v>57</v>
      </c>
    </row>
    <row r="50" spans="1:7" x14ac:dyDescent="0.2">
      <c r="A50" s="106" t="s">
        <v>58</v>
      </c>
      <c r="B50" s="107" t="s">
        <v>59</v>
      </c>
      <c r="D50" s="107" t="s">
        <v>60</v>
      </c>
      <c r="E50" s="100" t="s">
        <v>61</v>
      </c>
      <c r="F50" s="108" t="s">
        <v>62</v>
      </c>
      <c r="G50" s="102" t="s">
        <v>63</v>
      </c>
    </row>
    <row r="51" spans="1:7" x14ac:dyDescent="0.2">
      <c r="A51" s="92" t="s">
        <v>64</v>
      </c>
      <c r="B51" s="9">
        <v>1.3</v>
      </c>
      <c r="D51" s="9">
        <v>21.8</v>
      </c>
      <c r="E51" s="9">
        <v>62.5</v>
      </c>
      <c r="F51" s="9" t="s">
        <v>65</v>
      </c>
      <c r="G51" s="36" t="s">
        <v>66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W19"/>
  <sheetViews>
    <sheetView workbookViewId="0">
      <selection activeCell="L5" sqref="L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211</v>
      </c>
    </row>
    <row r="2" spans="1:23" x14ac:dyDescent="0.2">
      <c r="A2" s="28" t="s">
        <v>212</v>
      </c>
      <c r="B2" s="28" t="s">
        <v>213</v>
      </c>
      <c r="C2" s="189">
        <v>2014</v>
      </c>
      <c r="D2" s="189">
        <v>2015</v>
      </c>
      <c r="E2" s="189">
        <v>2016</v>
      </c>
      <c r="F2" s="189">
        <v>2017</v>
      </c>
      <c r="G2" s="189">
        <v>2018</v>
      </c>
      <c r="H2" s="189">
        <v>2019</v>
      </c>
      <c r="I2" s="189">
        <v>2020</v>
      </c>
      <c r="J2" s="189">
        <v>2021</v>
      </c>
      <c r="K2" s="189">
        <v>2022</v>
      </c>
      <c r="L2" s="189">
        <v>2023</v>
      </c>
      <c r="M2" s="189">
        <v>2024</v>
      </c>
      <c r="N2" s="189">
        <v>2025</v>
      </c>
      <c r="O2" s="189">
        <v>2026</v>
      </c>
      <c r="P2" s="189">
        <v>2027</v>
      </c>
      <c r="Q2" s="189">
        <v>2028</v>
      </c>
      <c r="R2" s="189">
        <v>2029</v>
      </c>
      <c r="S2" s="189">
        <v>2030</v>
      </c>
      <c r="T2" s="189">
        <v>2040</v>
      </c>
      <c r="U2" s="189">
        <v>2050</v>
      </c>
      <c r="V2" s="28" t="s">
        <v>63</v>
      </c>
      <c r="W2" s="33" t="s">
        <v>214</v>
      </c>
    </row>
    <row r="3" spans="1:23" x14ac:dyDescent="0.2">
      <c r="A3" s="190" t="s">
        <v>191</v>
      </c>
      <c r="B3" s="9" t="s">
        <v>215</v>
      </c>
      <c r="C3" s="41">
        <v>4.296505647281304E-2</v>
      </c>
      <c r="D3" s="41">
        <v>4.296505647281304E-2</v>
      </c>
      <c r="E3" s="41">
        <v>5.4472815343055557E-2</v>
      </c>
      <c r="F3" s="41">
        <v>0.1115362579800295</v>
      </c>
      <c r="G3" s="41">
        <v>6.0479777742159541E-2</v>
      </c>
      <c r="H3" s="41">
        <v>3.7740000000000003E-2</v>
      </c>
      <c r="I3" s="41">
        <v>0.16603999999999999</v>
      </c>
      <c r="J3" s="41">
        <v>0.27546999999999999</v>
      </c>
      <c r="K3" s="41">
        <v>0.40377000000000002</v>
      </c>
      <c r="L3" s="41">
        <v>0.4</v>
      </c>
      <c r="M3" s="41">
        <v>0.41509000000000001</v>
      </c>
      <c r="N3" s="41">
        <v>0.42642000000000002</v>
      </c>
      <c r="O3" s="41">
        <v>0.44151000000000001</v>
      </c>
      <c r="P3" s="41">
        <v>0.45283000000000001</v>
      </c>
      <c r="Q3" s="41">
        <v>0.46415000000000001</v>
      </c>
      <c r="R3" s="41">
        <v>0.47925000000000001</v>
      </c>
      <c r="S3" s="41">
        <v>0.49057000000000001</v>
      </c>
      <c r="T3" s="41">
        <v>0.51951390316304491</v>
      </c>
      <c r="U3" s="41">
        <v>0.4594179753504497</v>
      </c>
      <c r="V3" s="9" t="s">
        <v>195</v>
      </c>
      <c r="W3" s="33" t="s">
        <v>216</v>
      </c>
    </row>
    <row r="4" spans="1:23" x14ac:dyDescent="0.2">
      <c r="A4" s="190" t="s">
        <v>187</v>
      </c>
      <c r="B4" s="9" t="s">
        <v>215</v>
      </c>
      <c r="C4" s="41">
        <v>0</v>
      </c>
      <c r="D4" s="41">
        <v>0</v>
      </c>
      <c r="E4" s="41">
        <v>0</v>
      </c>
      <c r="F4" s="41">
        <v>0</v>
      </c>
      <c r="G4" s="41">
        <v>0</v>
      </c>
      <c r="H4" s="41">
        <v>0</v>
      </c>
      <c r="I4" s="41">
        <v>0</v>
      </c>
      <c r="J4" s="41">
        <v>0</v>
      </c>
      <c r="K4" s="41">
        <v>0</v>
      </c>
      <c r="L4" s="41">
        <v>4.1510000000000033E-2</v>
      </c>
      <c r="M4" s="41">
        <v>6.0379999999999968E-2</v>
      </c>
      <c r="N4" s="41">
        <v>9.0559999999999974E-2</v>
      </c>
      <c r="O4" s="41">
        <v>0.11321000000000001</v>
      </c>
      <c r="P4" s="41">
        <v>0.13585</v>
      </c>
      <c r="Q4" s="41">
        <v>0.16603999999999999</v>
      </c>
      <c r="R4" s="41">
        <v>0.18867</v>
      </c>
      <c r="S4" s="41">
        <v>0.21509</v>
      </c>
      <c r="T4" s="41">
        <v>0.38713927541982168</v>
      </c>
      <c r="U4" s="41">
        <v>0.43596399472444969</v>
      </c>
      <c r="V4" s="9" t="s">
        <v>195</v>
      </c>
    </row>
    <row r="5" spans="1:23" x14ac:dyDescent="0.2">
      <c r="A5" s="92" t="s">
        <v>181</v>
      </c>
      <c r="B5" s="9" t="s">
        <v>215</v>
      </c>
      <c r="C5" s="41">
        <v>0.30078656705562079</v>
      </c>
      <c r="D5" s="41">
        <v>0.30078656705562079</v>
      </c>
      <c r="E5" s="41">
        <v>0.44746783692310882</v>
      </c>
      <c r="F5" s="41">
        <v>0.5384678343427729</v>
      </c>
      <c r="G5" s="41">
        <v>0.63709996260084423</v>
      </c>
      <c r="H5" s="41">
        <v>0.6</v>
      </c>
      <c r="I5" s="41">
        <v>0.5773600000000001</v>
      </c>
      <c r="J5" s="41">
        <v>0.5547200000000001</v>
      </c>
      <c r="K5" s="41">
        <v>0.44529000000000002</v>
      </c>
      <c r="L5" s="41">
        <v>0.45660000000000012</v>
      </c>
      <c r="M5" s="41">
        <v>0.42264000000000013</v>
      </c>
      <c r="N5" s="41">
        <v>0.38113000000000008</v>
      </c>
      <c r="O5" s="41">
        <v>0.34716999999999992</v>
      </c>
      <c r="P5" s="41">
        <v>0.30565999999999988</v>
      </c>
      <c r="Q5" s="41">
        <v>0.27169999999999989</v>
      </c>
      <c r="R5" s="41">
        <v>0.22642000000000001</v>
      </c>
      <c r="S5" s="41">
        <v>0.19245000000000001</v>
      </c>
      <c r="T5" s="41">
        <v>0</v>
      </c>
      <c r="U5" s="41">
        <v>0</v>
      </c>
      <c r="V5" s="9" t="s">
        <v>195</v>
      </c>
    </row>
    <row r="6" spans="1:23" x14ac:dyDescent="0.2">
      <c r="A6" s="92" t="s">
        <v>188</v>
      </c>
      <c r="B6" s="9" t="s">
        <v>215</v>
      </c>
      <c r="C6" s="41">
        <v>0.60545921177045126</v>
      </c>
      <c r="D6" s="41">
        <v>0.60545921177045126</v>
      </c>
      <c r="E6" s="41">
        <v>0.46692611031184977</v>
      </c>
      <c r="F6" s="41">
        <v>0.33077222131281708</v>
      </c>
      <c r="G6" s="41">
        <v>0.30242025965699632</v>
      </c>
      <c r="H6" s="41">
        <v>0.36226000000000003</v>
      </c>
      <c r="I6" s="41">
        <v>0.25659999999999988</v>
      </c>
      <c r="J6" s="41">
        <v>0.16980999999999991</v>
      </c>
      <c r="K6" s="41">
        <v>0.15093999999999991</v>
      </c>
      <c r="L6" s="41">
        <v>9.0569999999999873E-2</v>
      </c>
      <c r="M6" s="41">
        <v>8.3019999999999927E-2</v>
      </c>
      <c r="N6" s="41">
        <v>8.3019999999999927E-2</v>
      </c>
      <c r="O6" s="41">
        <v>7.1690000000000115E-2</v>
      </c>
      <c r="P6" s="41">
        <v>6.7920000000000022E-2</v>
      </c>
      <c r="Q6" s="41">
        <v>5.6600000000000109E-2</v>
      </c>
      <c r="R6" s="41">
        <v>6.0379999999999968E-2</v>
      </c>
      <c r="S6" s="41">
        <v>4.5289999999999962E-2</v>
      </c>
      <c r="T6" s="41">
        <v>0</v>
      </c>
      <c r="U6" s="41">
        <v>0</v>
      </c>
      <c r="V6" s="9" t="s">
        <v>195</v>
      </c>
    </row>
    <row r="7" spans="1:23" x14ac:dyDescent="0.2">
      <c r="A7" s="190" t="s">
        <v>180</v>
      </c>
      <c r="B7" s="9" t="s">
        <v>215</v>
      </c>
      <c r="C7" s="41">
        <v>5.0789164701114969E-2</v>
      </c>
      <c r="D7" s="41">
        <v>5.0789164701114969E-2</v>
      </c>
      <c r="E7" s="41">
        <v>3.1133237421985881E-2</v>
      </c>
      <c r="F7" s="41">
        <v>1.922368636438047E-2</v>
      </c>
      <c r="G7" s="41">
        <v>0</v>
      </c>
      <c r="H7" s="41">
        <v>0</v>
      </c>
      <c r="I7" s="41">
        <v>0</v>
      </c>
      <c r="J7" s="41">
        <v>0</v>
      </c>
      <c r="K7" s="41">
        <v>0</v>
      </c>
      <c r="L7" s="41">
        <v>0</v>
      </c>
      <c r="M7" s="41">
        <v>0</v>
      </c>
      <c r="N7" s="41">
        <v>0</v>
      </c>
      <c r="O7" s="41">
        <v>0</v>
      </c>
      <c r="P7" s="41">
        <v>0</v>
      </c>
      <c r="Q7" s="41">
        <v>0</v>
      </c>
      <c r="R7" s="41">
        <v>0</v>
      </c>
      <c r="S7" s="41">
        <v>0</v>
      </c>
      <c r="T7" s="41">
        <v>0</v>
      </c>
      <c r="U7" s="41">
        <v>0</v>
      </c>
      <c r="V7" s="9" t="s">
        <v>195</v>
      </c>
    </row>
    <row r="8" spans="1:23" x14ac:dyDescent="0.2">
      <c r="A8" s="92" t="s">
        <v>192</v>
      </c>
      <c r="B8" s="9" t="s">
        <v>215</v>
      </c>
      <c r="C8" s="41">
        <v>0</v>
      </c>
      <c r="D8" s="41">
        <v>0</v>
      </c>
      <c r="E8" s="41">
        <v>0</v>
      </c>
      <c r="F8" s="41">
        <v>0</v>
      </c>
      <c r="G8" s="41">
        <v>0</v>
      </c>
      <c r="H8" s="41">
        <v>0</v>
      </c>
      <c r="I8" s="41">
        <v>0</v>
      </c>
      <c r="J8" s="41">
        <v>0</v>
      </c>
      <c r="K8" s="41">
        <v>0</v>
      </c>
      <c r="L8" s="41">
        <v>1.1320000000000051E-2</v>
      </c>
      <c r="M8" s="41">
        <v>1.8870000000000001E-2</v>
      </c>
      <c r="N8" s="41">
        <v>1.8870000000000001E-2</v>
      </c>
      <c r="O8" s="41">
        <v>2.6419999999999961E-2</v>
      </c>
      <c r="P8" s="41">
        <v>3.774000000000001E-2</v>
      </c>
      <c r="Q8" s="41">
        <v>4.1509999999999957E-2</v>
      </c>
      <c r="R8" s="41">
        <v>4.5280000000000063E-2</v>
      </c>
      <c r="S8" s="41">
        <v>5.6599999999999963E-2</v>
      </c>
      <c r="T8" s="41">
        <v>9.3346821417133477E-2</v>
      </c>
      <c r="U8" s="41">
        <v>0.10461802992510059</v>
      </c>
      <c r="V8" s="9" t="s">
        <v>195</v>
      </c>
    </row>
    <row r="10" spans="1:23" x14ac:dyDescent="0.2">
      <c r="A10" s="91" t="s">
        <v>217</v>
      </c>
    </row>
    <row r="11" spans="1:23" x14ac:dyDescent="0.2">
      <c r="A11" s="28" t="s">
        <v>218</v>
      </c>
      <c r="B11" s="90" t="s">
        <v>198</v>
      </c>
      <c r="C11" s="90" t="s">
        <v>199</v>
      </c>
      <c r="D11" s="191" t="s">
        <v>63</v>
      </c>
    </row>
    <row r="12" spans="1:23" x14ac:dyDescent="0.2">
      <c r="A12" s="28" t="s">
        <v>219</v>
      </c>
      <c r="B12" s="41">
        <v>0.87628865979381443</v>
      </c>
      <c r="C12" s="41">
        <v>0.1237113402061856</v>
      </c>
      <c r="D12" s="9" t="s">
        <v>220</v>
      </c>
    </row>
    <row r="14" spans="1:23" x14ac:dyDescent="0.2">
      <c r="A14" s="2" t="s">
        <v>221</v>
      </c>
    </row>
    <row r="15" spans="1:23" x14ac:dyDescent="0.2">
      <c r="A15" s="79"/>
      <c r="B15" s="28" t="s">
        <v>222</v>
      </c>
      <c r="C15" s="22" t="s">
        <v>63</v>
      </c>
    </row>
    <row r="16" spans="1:23" x14ac:dyDescent="0.2">
      <c r="A16" s="87" t="s">
        <v>223</v>
      </c>
      <c r="B16" s="9">
        <v>0.57750000000000001</v>
      </c>
      <c r="C16" s="9" t="s">
        <v>224</v>
      </c>
    </row>
    <row r="17" spans="1:3" x14ac:dyDescent="0.2">
      <c r="A17" s="87" t="s">
        <v>225</v>
      </c>
      <c r="B17" s="9">
        <v>0.374</v>
      </c>
      <c r="C17" s="9" t="s">
        <v>224</v>
      </c>
    </row>
    <row r="18" spans="1:3" x14ac:dyDescent="0.2">
      <c r="A18" s="87" t="s">
        <v>226</v>
      </c>
      <c r="B18" s="9">
        <v>0.39</v>
      </c>
      <c r="C18" s="9" t="s">
        <v>224</v>
      </c>
    </row>
    <row r="19" spans="1:3" x14ac:dyDescent="0.2">
      <c r="A19" s="87" t="s">
        <v>227</v>
      </c>
      <c r="B19" s="9">
        <v>0.54600000000000004</v>
      </c>
      <c r="C19" s="9" t="s">
        <v>224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AC42"/>
  <sheetViews>
    <sheetView workbookViewId="0">
      <selection activeCell="H35" sqref="H35"/>
    </sheetView>
  </sheetViews>
  <sheetFormatPr baseColWidth="10" defaultRowHeight="15" x14ac:dyDescent="0.2"/>
  <cols>
    <col min="1" max="1" width="22.83203125" bestFit="1" customWidth="1"/>
    <col min="2" max="2" width="18.83203125"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2" t="s">
        <v>0</v>
      </c>
      <c r="B1" s="208" t="s">
        <v>228</v>
      </c>
      <c r="C1" s="208" t="s">
        <v>59</v>
      </c>
      <c r="D1" s="208" t="s">
        <v>60</v>
      </c>
      <c r="E1" s="208" t="s">
        <v>167</v>
      </c>
      <c r="F1" s="211" t="s">
        <v>2</v>
      </c>
      <c r="G1" s="209" t="s">
        <v>168</v>
      </c>
      <c r="H1" s="212" t="s">
        <v>169</v>
      </c>
      <c r="I1" s="2"/>
      <c r="J1" s="2"/>
      <c r="K1" s="2"/>
      <c r="L1" s="2"/>
      <c r="M1" s="2"/>
      <c r="N1" s="2"/>
      <c r="O1" s="2"/>
      <c r="P1" s="2"/>
      <c r="Q1" s="2"/>
      <c r="R1" s="2"/>
      <c r="S1" s="2"/>
      <c r="T1" s="2"/>
      <c r="U1" s="2"/>
      <c r="V1" s="2"/>
      <c r="W1" s="2"/>
      <c r="X1" s="2"/>
      <c r="Y1" s="2"/>
      <c r="Z1" s="2"/>
      <c r="AA1" s="2"/>
      <c r="AB1" s="2"/>
      <c r="AC1" s="2"/>
    </row>
    <row r="2" spans="1:29" x14ac:dyDescent="0.2">
      <c r="A2" s="92" t="s">
        <v>14</v>
      </c>
      <c r="B2" s="213">
        <v>71300</v>
      </c>
      <c r="C2" s="9">
        <v>94750</v>
      </c>
      <c r="D2" s="215">
        <v>110658</v>
      </c>
      <c r="E2" s="215">
        <v>127302</v>
      </c>
      <c r="F2" s="9">
        <v>32888</v>
      </c>
      <c r="I2" s="219"/>
      <c r="J2" t="s">
        <v>170</v>
      </c>
    </row>
    <row r="3" spans="1:29" x14ac:dyDescent="0.2">
      <c r="A3" s="92" t="s">
        <v>15</v>
      </c>
      <c r="B3" s="213">
        <v>0</v>
      </c>
      <c r="C3" s="9">
        <v>0</v>
      </c>
      <c r="D3" s="215">
        <v>0</v>
      </c>
      <c r="E3" s="215">
        <v>0</v>
      </c>
      <c r="F3" s="9">
        <v>0</v>
      </c>
      <c r="I3" s="220"/>
      <c r="J3" t="s">
        <v>171</v>
      </c>
    </row>
    <row r="4" spans="1:29" x14ac:dyDescent="0.2">
      <c r="A4" s="92" t="s">
        <v>16</v>
      </c>
      <c r="B4" s="213">
        <v>0</v>
      </c>
      <c r="C4" s="9">
        <v>0</v>
      </c>
      <c r="D4" s="215">
        <v>0</v>
      </c>
      <c r="E4" s="215">
        <v>0</v>
      </c>
      <c r="F4" s="9">
        <v>0</v>
      </c>
      <c r="I4" s="221"/>
      <c r="J4" t="s">
        <v>172</v>
      </c>
    </row>
    <row r="5" spans="1:29" x14ac:dyDescent="0.2">
      <c r="A5" s="92" t="s">
        <v>17</v>
      </c>
      <c r="B5" s="213">
        <v>0</v>
      </c>
      <c r="C5" s="9">
        <v>560</v>
      </c>
      <c r="D5" s="215">
        <v>12789</v>
      </c>
      <c r="E5" s="215">
        <v>11850</v>
      </c>
      <c r="F5" s="9">
        <v>0</v>
      </c>
    </row>
    <row r="6" spans="1:29" x14ac:dyDescent="0.2">
      <c r="A6" s="92" t="s">
        <v>18</v>
      </c>
      <c r="B6" s="213">
        <v>0</v>
      </c>
      <c r="C6" s="9">
        <v>753</v>
      </c>
      <c r="D6" s="216">
        <v>3775</v>
      </c>
      <c r="E6" s="216">
        <v>13460</v>
      </c>
      <c r="F6" s="9">
        <v>501</v>
      </c>
    </row>
    <row r="7" spans="1:29" x14ac:dyDescent="0.2">
      <c r="A7" s="92" t="s">
        <v>19</v>
      </c>
      <c r="B7" s="213">
        <v>0</v>
      </c>
      <c r="C7" s="9">
        <v>0</v>
      </c>
      <c r="D7" s="215">
        <v>0</v>
      </c>
      <c r="E7" s="215">
        <v>0</v>
      </c>
      <c r="F7" s="9">
        <v>0</v>
      </c>
    </row>
    <row r="8" spans="1:29" x14ac:dyDescent="0.2">
      <c r="A8" s="92" t="s">
        <v>20</v>
      </c>
      <c r="B8" s="214">
        <v>22300</v>
      </c>
      <c r="C8" s="9">
        <v>36300</v>
      </c>
      <c r="D8" s="216">
        <v>71900</v>
      </c>
      <c r="E8" s="216">
        <v>92500</v>
      </c>
      <c r="F8" s="9">
        <v>31500</v>
      </c>
    </row>
    <row r="9" spans="1:29" x14ac:dyDescent="0.2">
      <c r="A9" s="92" t="s">
        <v>21</v>
      </c>
      <c r="B9" s="213">
        <v>0</v>
      </c>
      <c r="C9" s="9">
        <v>181</v>
      </c>
      <c r="D9" s="216">
        <v>125</v>
      </c>
      <c r="E9" s="216">
        <v>279</v>
      </c>
      <c r="F9" s="9">
        <v>34</v>
      </c>
    </row>
    <row r="10" spans="1:29" x14ac:dyDescent="0.2">
      <c r="A10" s="92" t="s">
        <v>22</v>
      </c>
      <c r="B10" s="213">
        <v>0</v>
      </c>
      <c r="C10" s="9">
        <v>0</v>
      </c>
      <c r="D10" s="215">
        <v>0</v>
      </c>
      <c r="E10" s="215">
        <v>0</v>
      </c>
      <c r="F10" s="9"/>
    </row>
    <row r="11" spans="1:29" x14ac:dyDescent="0.2">
      <c r="A11" s="92" t="s">
        <v>23</v>
      </c>
      <c r="B11" s="213">
        <v>0</v>
      </c>
      <c r="C11" s="9">
        <v>0</v>
      </c>
      <c r="D11" s="215">
        <v>0</v>
      </c>
      <c r="E11" s="215">
        <v>0</v>
      </c>
      <c r="F11" s="9"/>
    </row>
    <row r="12" spans="1:29" x14ac:dyDescent="0.2">
      <c r="A12" s="92" t="s">
        <v>24</v>
      </c>
      <c r="B12" s="213">
        <v>0</v>
      </c>
      <c r="C12" s="9">
        <v>0</v>
      </c>
      <c r="D12" s="215">
        <v>0</v>
      </c>
      <c r="E12" s="215">
        <v>0</v>
      </c>
      <c r="F12" s="9"/>
    </row>
    <row r="13" spans="1:29" x14ac:dyDescent="0.2">
      <c r="A13" s="92" t="s">
        <v>25</v>
      </c>
      <c r="B13" s="213">
        <v>0</v>
      </c>
      <c r="C13" s="9">
        <v>0</v>
      </c>
      <c r="D13" s="215">
        <v>0</v>
      </c>
      <c r="E13" s="215">
        <v>0</v>
      </c>
      <c r="F13" s="9"/>
    </row>
    <row r="14" spans="1:29" x14ac:dyDescent="0.2">
      <c r="A14" s="92" t="s">
        <v>26</v>
      </c>
      <c r="B14" s="213">
        <v>0</v>
      </c>
      <c r="C14" s="9">
        <v>0</v>
      </c>
      <c r="D14" s="215">
        <v>0</v>
      </c>
      <c r="E14" s="215">
        <v>0</v>
      </c>
      <c r="F14" s="9"/>
    </row>
    <row r="15" spans="1:29" x14ac:dyDescent="0.2">
      <c r="A15" s="92" t="s">
        <v>27</v>
      </c>
      <c r="B15" s="214">
        <v>921943</v>
      </c>
      <c r="C15" s="9">
        <v>1056200</v>
      </c>
      <c r="D15" s="216">
        <v>1185900</v>
      </c>
      <c r="E15" s="216">
        <v>909500</v>
      </c>
      <c r="F15" s="210">
        <v>909500</v>
      </c>
    </row>
    <row r="16" spans="1:29" x14ac:dyDescent="0.2">
      <c r="A16" s="92" t="s">
        <v>28</v>
      </c>
      <c r="B16" s="213">
        <v>300</v>
      </c>
      <c r="C16" s="9">
        <v>310</v>
      </c>
      <c r="D16" s="215">
        <v>320</v>
      </c>
      <c r="E16" s="215">
        <v>310</v>
      </c>
      <c r="F16" s="210">
        <v>310</v>
      </c>
    </row>
    <row r="17" spans="1:6" x14ac:dyDescent="0.2">
      <c r="A17" s="92" t="s">
        <v>29</v>
      </c>
      <c r="B17" s="213">
        <v>0</v>
      </c>
      <c r="C17" s="9">
        <v>132</v>
      </c>
      <c r="D17" s="217">
        <v>2694</v>
      </c>
      <c r="E17" s="217">
        <v>6768</v>
      </c>
      <c r="F17" s="9">
        <v>187</v>
      </c>
    </row>
    <row r="18" spans="1:6" x14ac:dyDescent="0.2">
      <c r="A18" s="92" t="s">
        <v>30</v>
      </c>
      <c r="B18" s="214">
        <v>200</v>
      </c>
      <c r="C18" s="9">
        <v>200</v>
      </c>
      <c r="D18" s="217">
        <v>200</v>
      </c>
      <c r="E18" s="217">
        <v>200</v>
      </c>
      <c r="F18" s="210">
        <v>200</v>
      </c>
    </row>
    <row r="19" spans="1:6" x14ac:dyDescent="0.2">
      <c r="A19" s="92" t="s">
        <v>31</v>
      </c>
      <c r="B19" s="214">
        <v>11152</v>
      </c>
      <c r="C19" s="9">
        <v>4970</v>
      </c>
      <c r="D19" s="216">
        <v>13399</v>
      </c>
      <c r="E19" s="216">
        <v>36050</v>
      </c>
      <c r="F19" s="9">
        <v>3739</v>
      </c>
    </row>
    <row r="20" spans="1:6" x14ac:dyDescent="0.2">
      <c r="A20" s="92" t="s">
        <v>32</v>
      </c>
      <c r="B20" s="213">
        <v>0</v>
      </c>
      <c r="C20" s="9">
        <v>0</v>
      </c>
      <c r="D20" s="215">
        <v>0</v>
      </c>
      <c r="E20" s="215">
        <v>0</v>
      </c>
      <c r="F20" s="9">
        <v>0</v>
      </c>
    </row>
    <row r="21" spans="1:6" x14ac:dyDescent="0.2">
      <c r="A21" s="92" t="s">
        <v>33</v>
      </c>
      <c r="B21" s="213">
        <v>0</v>
      </c>
      <c r="C21" s="9">
        <v>683</v>
      </c>
      <c r="D21" s="216">
        <v>876</v>
      </c>
      <c r="E21" s="216">
        <v>969</v>
      </c>
      <c r="F21" s="9">
        <v>500</v>
      </c>
    </row>
    <row r="22" spans="1:6" x14ac:dyDescent="0.2">
      <c r="A22" s="92" t="s">
        <v>34</v>
      </c>
      <c r="B22" s="213">
        <v>0</v>
      </c>
      <c r="C22" s="9">
        <v>5368</v>
      </c>
      <c r="D22" s="216">
        <v>11689</v>
      </c>
      <c r="E22" s="216">
        <v>34589</v>
      </c>
      <c r="F22" s="9">
        <v>794</v>
      </c>
    </row>
    <row r="23" spans="1:6" x14ac:dyDescent="0.2">
      <c r="A23" s="92" t="s">
        <v>35</v>
      </c>
      <c r="B23" s="213">
        <v>0</v>
      </c>
      <c r="C23" s="9">
        <v>0</v>
      </c>
      <c r="D23" s="215">
        <v>0</v>
      </c>
      <c r="E23" s="215">
        <v>0</v>
      </c>
      <c r="F23" s="9">
        <v>0</v>
      </c>
    </row>
    <row r="24" spans="1:6" x14ac:dyDescent="0.2">
      <c r="A24" s="92" t="s">
        <v>36</v>
      </c>
      <c r="B24" s="213">
        <v>0</v>
      </c>
      <c r="C24" s="9">
        <v>0</v>
      </c>
      <c r="D24" s="215">
        <v>0</v>
      </c>
      <c r="E24" s="215">
        <v>0</v>
      </c>
      <c r="F24" s="9">
        <v>0</v>
      </c>
    </row>
    <row r="25" spans="1:6" x14ac:dyDescent="0.2">
      <c r="A25" s="92" t="s">
        <v>37</v>
      </c>
      <c r="B25" s="213">
        <v>0</v>
      </c>
      <c r="C25" s="9">
        <v>74</v>
      </c>
      <c r="D25" s="215">
        <v>1</v>
      </c>
      <c r="E25" s="215">
        <v>1</v>
      </c>
      <c r="F25" s="210">
        <v>1</v>
      </c>
    </row>
    <row r="26" spans="1:6" x14ac:dyDescent="0.2">
      <c r="A26" s="92" t="s">
        <v>38</v>
      </c>
      <c r="B26" s="213">
        <v>0</v>
      </c>
      <c r="C26" s="9">
        <v>0</v>
      </c>
      <c r="D26" s="215">
        <v>0</v>
      </c>
      <c r="E26" s="215">
        <v>0</v>
      </c>
      <c r="F26" s="9">
        <v>0</v>
      </c>
    </row>
    <row r="27" spans="1:6" x14ac:dyDescent="0.2">
      <c r="A27" s="92" t="s">
        <v>39</v>
      </c>
      <c r="B27" s="213">
        <v>0</v>
      </c>
      <c r="C27" s="9">
        <v>0</v>
      </c>
      <c r="D27" s="215">
        <v>0</v>
      </c>
      <c r="E27" s="215">
        <v>0</v>
      </c>
      <c r="F27" s="9">
        <v>0</v>
      </c>
    </row>
    <row r="28" spans="1:6" x14ac:dyDescent="0.2">
      <c r="A28" s="92" t="s">
        <v>40</v>
      </c>
      <c r="B28" s="213">
        <v>0</v>
      </c>
      <c r="C28" s="9">
        <v>0</v>
      </c>
      <c r="D28" s="215">
        <v>0</v>
      </c>
      <c r="E28" s="215">
        <v>0</v>
      </c>
      <c r="F28" s="9">
        <v>0</v>
      </c>
    </row>
    <row r="29" spans="1:6" x14ac:dyDescent="0.2">
      <c r="A29" s="92" t="s">
        <v>41</v>
      </c>
      <c r="B29" s="213">
        <v>0</v>
      </c>
      <c r="C29" s="9">
        <v>0</v>
      </c>
      <c r="D29" s="215">
        <v>0</v>
      </c>
      <c r="E29" s="215">
        <v>0</v>
      </c>
      <c r="F29" s="9">
        <v>0</v>
      </c>
    </row>
    <row r="30" spans="1:6" x14ac:dyDescent="0.2">
      <c r="A30" s="92" t="s">
        <v>42</v>
      </c>
      <c r="B30" s="213">
        <v>0</v>
      </c>
      <c r="C30" s="9">
        <v>0</v>
      </c>
      <c r="D30" s="215">
        <v>0</v>
      </c>
      <c r="E30" s="215">
        <v>0</v>
      </c>
      <c r="F30" s="9">
        <v>0</v>
      </c>
    </row>
    <row r="31" spans="1:6" x14ac:dyDescent="0.2">
      <c r="A31" s="92" t="s">
        <v>43</v>
      </c>
      <c r="B31" s="213">
        <v>0</v>
      </c>
      <c r="C31" s="9">
        <v>0</v>
      </c>
      <c r="D31" s="215">
        <v>0</v>
      </c>
      <c r="E31" s="215">
        <v>0</v>
      </c>
      <c r="F31" s="9">
        <v>0</v>
      </c>
    </row>
    <row r="32" spans="1:6" x14ac:dyDescent="0.2">
      <c r="A32" s="92" t="s">
        <v>44</v>
      </c>
      <c r="B32" s="213">
        <v>0</v>
      </c>
      <c r="C32" s="9">
        <v>0</v>
      </c>
      <c r="D32" s="215">
        <v>0</v>
      </c>
      <c r="E32" s="215">
        <v>0</v>
      </c>
      <c r="F32" s="9">
        <v>0</v>
      </c>
    </row>
    <row r="33" spans="1:6" x14ac:dyDescent="0.2">
      <c r="A33" s="92" t="s">
        <v>45</v>
      </c>
      <c r="B33" s="213">
        <v>0</v>
      </c>
      <c r="C33" s="9">
        <v>0</v>
      </c>
      <c r="D33" s="215">
        <v>0</v>
      </c>
      <c r="E33" s="215">
        <v>0</v>
      </c>
      <c r="F33" s="9">
        <v>0</v>
      </c>
    </row>
    <row r="34" spans="1:6" x14ac:dyDescent="0.2">
      <c r="A34" s="92" t="s">
        <v>46</v>
      </c>
      <c r="B34" s="213">
        <v>0</v>
      </c>
      <c r="C34" s="9">
        <v>0</v>
      </c>
      <c r="D34" s="215">
        <v>0</v>
      </c>
      <c r="E34" s="215">
        <v>0</v>
      </c>
      <c r="F34" s="9">
        <v>0</v>
      </c>
    </row>
    <row r="35" spans="1:6" x14ac:dyDescent="0.2">
      <c r="A35" s="92" t="s">
        <v>47</v>
      </c>
      <c r="B35" s="213">
        <v>0</v>
      </c>
      <c r="C35" s="9">
        <v>0</v>
      </c>
      <c r="D35" s="215">
        <v>0</v>
      </c>
      <c r="E35" s="215">
        <v>0</v>
      </c>
      <c r="F35" s="9">
        <v>0</v>
      </c>
    </row>
    <row r="36" spans="1:6" x14ac:dyDescent="0.2">
      <c r="A36" s="92" t="s">
        <v>48</v>
      </c>
      <c r="B36" s="213">
        <v>100</v>
      </c>
      <c r="C36" s="9">
        <v>100</v>
      </c>
      <c r="D36" s="215">
        <v>100</v>
      </c>
      <c r="E36" s="215">
        <v>100</v>
      </c>
      <c r="F36" s="9">
        <v>100</v>
      </c>
    </row>
    <row r="37" spans="1:6" x14ac:dyDescent="0.2">
      <c r="A37" s="92" t="s">
        <v>49</v>
      </c>
      <c r="B37" s="213">
        <v>0</v>
      </c>
      <c r="C37" s="9">
        <v>0</v>
      </c>
      <c r="D37" s="215">
        <v>0</v>
      </c>
      <c r="E37" s="215">
        <v>0</v>
      </c>
      <c r="F37" s="9">
        <v>0</v>
      </c>
    </row>
    <row r="38" spans="1:6" x14ac:dyDescent="0.2">
      <c r="A38" s="92" t="s">
        <v>50</v>
      </c>
      <c r="B38" s="218">
        <v>2</v>
      </c>
      <c r="C38" s="9">
        <v>2</v>
      </c>
      <c r="D38" s="217">
        <v>2</v>
      </c>
      <c r="E38" s="215">
        <v>0</v>
      </c>
      <c r="F38" s="9">
        <v>20</v>
      </c>
    </row>
    <row r="39" spans="1:6" x14ac:dyDescent="0.2">
      <c r="A39" s="92" t="s">
        <v>51</v>
      </c>
      <c r="B39" s="213">
        <v>0</v>
      </c>
      <c r="C39" s="9">
        <v>0</v>
      </c>
      <c r="D39" s="215">
        <v>0</v>
      </c>
      <c r="E39" s="215">
        <v>0</v>
      </c>
      <c r="F39" s="9">
        <v>0</v>
      </c>
    </row>
    <row r="40" spans="1:6" x14ac:dyDescent="0.2">
      <c r="A40" s="92" t="s">
        <v>52</v>
      </c>
      <c r="B40" s="213">
        <v>0</v>
      </c>
      <c r="C40" s="45">
        <v>0</v>
      </c>
      <c r="D40" s="213">
        <v>0</v>
      </c>
      <c r="E40" s="213">
        <v>0</v>
      </c>
      <c r="F40" s="45">
        <v>0</v>
      </c>
    </row>
    <row r="41" spans="1:6" x14ac:dyDescent="0.2">
      <c r="A41" s="92" t="s">
        <v>53</v>
      </c>
      <c r="B41" s="213">
        <v>0</v>
      </c>
      <c r="C41" s="45">
        <v>0</v>
      </c>
      <c r="D41" s="213">
        <v>0</v>
      </c>
      <c r="E41" s="213">
        <v>0</v>
      </c>
      <c r="F41" s="45">
        <v>0</v>
      </c>
    </row>
    <row r="42" spans="1:6" x14ac:dyDescent="0.2">
      <c r="B42" s="55">
        <f>SUM(B2:B39)</f>
        <v>1027297</v>
      </c>
      <c r="C42" s="55">
        <f>SUM(C2:C39)</f>
        <v>1200583</v>
      </c>
      <c r="D42" s="55">
        <f>SUM(D2:D39)</f>
        <v>1414428</v>
      </c>
      <c r="E42" s="55">
        <f>SUM(E2:E39)</f>
        <v>1233878</v>
      </c>
      <c r="F42" s="55">
        <f>SUM(F2:F39)</f>
        <v>980274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6BECF"/>
  </sheetPr>
  <dimension ref="A1:D42"/>
  <sheetViews>
    <sheetView workbookViewId="0">
      <selection activeCell="I35" sqref="I35"/>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92" t="s">
        <v>115</v>
      </c>
      <c r="B1" s="92" t="s">
        <v>229</v>
      </c>
      <c r="C1" s="92" t="s">
        <v>230</v>
      </c>
      <c r="D1" s="92" t="s">
        <v>231</v>
      </c>
    </row>
    <row r="2" spans="1:4" x14ac:dyDescent="0.2">
      <c r="A2" s="92" t="s">
        <v>14</v>
      </c>
      <c r="B2" s="9">
        <v>75</v>
      </c>
      <c r="C2" s="9">
        <v>0</v>
      </c>
      <c r="D2" s="9">
        <v>127</v>
      </c>
    </row>
    <row r="3" spans="1:4" x14ac:dyDescent="0.2">
      <c r="A3" s="92" t="s">
        <v>15</v>
      </c>
      <c r="B3" s="9">
        <v>0</v>
      </c>
      <c r="C3" s="9">
        <v>0</v>
      </c>
      <c r="D3" s="9">
        <v>0</v>
      </c>
    </row>
    <row r="4" spans="1:4" x14ac:dyDescent="0.2">
      <c r="A4" s="92" t="s">
        <v>16</v>
      </c>
      <c r="B4" s="9">
        <v>0</v>
      </c>
      <c r="C4" s="9">
        <v>0</v>
      </c>
      <c r="D4" s="9">
        <v>0</v>
      </c>
    </row>
    <row r="5" spans="1:4" x14ac:dyDescent="0.2">
      <c r="A5" s="92" t="s">
        <v>17</v>
      </c>
      <c r="B5" s="9">
        <v>0</v>
      </c>
      <c r="C5" s="9">
        <v>303.58</v>
      </c>
      <c r="D5" s="9">
        <v>418.4</v>
      </c>
    </row>
    <row r="6" spans="1:4" x14ac:dyDescent="0.2">
      <c r="A6" s="92" t="s">
        <v>18</v>
      </c>
      <c r="B6" s="9">
        <v>0</v>
      </c>
      <c r="C6" s="9">
        <v>0.3</v>
      </c>
      <c r="D6" s="9">
        <v>0</v>
      </c>
    </row>
    <row r="7" spans="1:4" x14ac:dyDescent="0.2">
      <c r="A7" s="92" t="s">
        <v>19</v>
      </c>
      <c r="B7" s="9">
        <v>0</v>
      </c>
      <c r="C7" s="9">
        <v>0</v>
      </c>
      <c r="D7" s="9">
        <v>5600</v>
      </c>
    </row>
    <row r="8" spans="1:4" x14ac:dyDescent="0.2">
      <c r="A8" s="92" t="s">
        <v>20</v>
      </c>
      <c r="B8" s="9">
        <v>333</v>
      </c>
      <c r="C8" s="9">
        <v>0</v>
      </c>
      <c r="D8" s="9">
        <v>104.5</v>
      </c>
    </row>
    <row r="9" spans="1:4" x14ac:dyDescent="0.2">
      <c r="A9" s="92" t="s">
        <v>21</v>
      </c>
      <c r="B9" s="9">
        <v>0</v>
      </c>
      <c r="C9" s="9">
        <v>0</v>
      </c>
      <c r="D9" s="9">
        <v>0</v>
      </c>
    </row>
    <row r="10" spans="1:4" x14ac:dyDescent="0.2">
      <c r="A10" s="92" t="s">
        <v>22</v>
      </c>
      <c r="B10" s="9">
        <v>0</v>
      </c>
      <c r="C10" s="9">
        <v>0</v>
      </c>
      <c r="D10" s="9">
        <v>0</v>
      </c>
    </row>
    <row r="11" spans="1:4" x14ac:dyDescent="0.2">
      <c r="A11" s="92" t="s">
        <v>23</v>
      </c>
      <c r="B11" s="9">
        <v>0</v>
      </c>
      <c r="C11" s="9">
        <v>0</v>
      </c>
      <c r="D11" s="9">
        <v>0</v>
      </c>
    </row>
    <row r="12" spans="1:4" x14ac:dyDescent="0.2">
      <c r="A12" s="92" t="s">
        <v>24</v>
      </c>
      <c r="B12" s="9">
        <v>0</v>
      </c>
      <c r="C12" s="9">
        <v>0</v>
      </c>
      <c r="D12" s="9">
        <v>0</v>
      </c>
    </row>
    <row r="13" spans="1:4" x14ac:dyDescent="0.2">
      <c r="A13" s="92" t="s">
        <v>25</v>
      </c>
      <c r="B13" s="9">
        <v>0</v>
      </c>
      <c r="C13" s="9">
        <v>0</v>
      </c>
      <c r="D13" s="9">
        <v>0</v>
      </c>
    </row>
    <row r="14" spans="1:4" x14ac:dyDescent="0.2">
      <c r="A14" s="92" t="s">
        <v>26</v>
      </c>
      <c r="B14" s="9">
        <v>0</v>
      </c>
      <c r="C14" s="9">
        <v>0</v>
      </c>
      <c r="D14" s="9">
        <v>0</v>
      </c>
    </row>
    <row r="15" spans="1:4" x14ac:dyDescent="0.2">
      <c r="A15" s="92" t="s">
        <v>27</v>
      </c>
      <c r="B15" s="9">
        <v>33333</v>
      </c>
      <c r="C15" s="9">
        <v>1097.24</v>
      </c>
      <c r="D15" s="9">
        <v>6006</v>
      </c>
    </row>
    <row r="16" spans="1:4" x14ac:dyDescent="0.2">
      <c r="A16" s="92" t="s">
        <v>28</v>
      </c>
      <c r="B16" s="9">
        <v>0</v>
      </c>
      <c r="C16" s="9">
        <v>0</v>
      </c>
      <c r="D16" s="9">
        <v>0</v>
      </c>
    </row>
    <row r="17" spans="1:4" x14ac:dyDescent="0.2">
      <c r="A17" s="92" t="s">
        <v>29</v>
      </c>
      <c r="B17" s="9">
        <v>0</v>
      </c>
      <c r="C17" s="9">
        <v>0</v>
      </c>
      <c r="D17" s="9">
        <v>0</v>
      </c>
    </row>
    <row r="18" spans="1:4" x14ac:dyDescent="0.2">
      <c r="A18" s="92" t="s">
        <v>30</v>
      </c>
      <c r="B18" s="9">
        <v>0</v>
      </c>
      <c r="C18" s="9">
        <v>0</v>
      </c>
      <c r="D18" s="9">
        <v>0</v>
      </c>
    </row>
    <row r="19" spans="1:4" x14ac:dyDescent="0.2">
      <c r="A19" s="92" t="s">
        <v>31</v>
      </c>
      <c r="B19" s="9">
        <v>0</v>
      </c>
      <c r="C19" s="9">
        <v>0</v>
      </c>
      <c r="D19" s="9">
        <v>78.400000000000006</v>
      </c>
    </row>
    <row r="20" spans="1:4" x14ac:dyDescent="0.2">
      <c r="A20" s="92" t="s">
        <v>32</v>
      </c>
      <c r="B20" s="9">
        <v>0</v>
      </c>
      <c r="C20" s="9">
        <v>0</v>
      </c>
      <c r="D20" s="9">
        <v>39.6</v>
      </c>
    </row>
    <row r="21" spans="1:4" x14ac:dyDescent="0.2">
      <c r="A21" s="92" t="s">
        <v>33</v>
      </c>
      <c r="B21" s="9">
        <v>0</v>
      </c>
      <c r="C21" s="9">
        <v>0</v>
      </c>
      <c r="D21" s="9">
        <v>0</v>
      </c>
    </row>
    <row r="22" spans="1:4" x14ac:dyDescent="0.2">
      <c r="A22" s="92" t="s">
        <v>34</v>
      </c>
      <c r="B22" s="9">
        <v>5117</v>
      </c>
      <c r="C22" s="9">
        <v>191.61</v>
      </c>
      <c r="D22" s="9">
        <v>200</v>
      </c>
    </row>
    <row r="23" spans="1:4" x14ac:dyDescent="0.2">
      <c r="A23" s="92" t="s">
        <v>35</v>
      </c>
      <c r="B23" s="9">
        <v>0</v>
      </c>
      <c r="C23" s="9">
        <v>0</v>
      </c>
      <c r="D23" s="9">
        <v>0</v>
      </c>
    </row>
    <row r="24" spans="1:4" x14ac:dyDescent="0.2">
      <c r="A24" s="92" t="s">
        <v>36</v>
      </c>
      <c r="B24" s="9">
        <v>0</v>
      </c>
      <c r="C24" s="9">
        <v>0</v>
      </c>
      <c r="D24" s="9">
        <v>0</v>
      </c>
    </row>
    <row r="25" spans="1:4" x14ac:dyDescent="0.2">
      <c r="A25" s="92" t="s">
        <v>37</v>
      </c>
      <c r="B25" s="9">
        <v>0</v>
      </c>
      <c r="C25" s="9">
        <v>0</v>
      </c>
      <c r="D25" s="9">
        <v>0</v>
      </c>
    </row>
    <row r="26" spans="1:4" x14ac:dyDescent="0.2">
      <c r="A26" s="92" t="s">
        <v>38</v>
      </c>
      <c r="B26" s="9">
        <v>0</v>
      </c>
      <c r="C26" s="9">
        <v>0</v>
      </c>
      <c r="D26" s="9">
        <v>0</v>
      </c>
    </row>
    <row r="27" spans="1:4" x14ac:dyDescent="0.2">
      <c r="A27" s="92" t="s">
        <v>39</v>
      </c>
      <c r="B27" s="9">
        <v>0</v>
      </c>
      <c r="C27" s="9">
        <v>0</v>
      </c>
      <c r="D27" s="9">
        <v>0</v>
      </c>
    </row>
    <row r="28" spans="1:4" x14ac:dyDescent="0.2">
      <c r="A28" s="92" t="s">
        <v>40</v>
      </c>
      <c r="B28" s="9">
        <v>0</v>
      </c>
      <c r="C28" s="9">
        <v>0</v>
      </c>
      <c r="D28" s="9">
        <v>0</v>
      </c>
    </row>
    <row r="29" spans="1:4" x14ac:dyDescent="0.2">
      <c r="A29" s="92" t="s">
        <v>41</v>
      </c>
      <c r="B29" s="9">
        <v>0</v>
      </c>
      <c r="C29" s="9">
        <v>0</v>
      </c>
      <c r="D29" s="9">
        <v>0</v>
      </c>
    </row>
    <row r="30" spans="1:4" x14ac:dyDescent="0.2">
      <c r="A30" s="92" t="s">
        <v>42</v>
      </c>
      <c r="B30" s="9">
        <v>0</v>
      </c>
      <c r="C30" s="9">
        <v>0</v>
      </c>
      <c r="D30" s="9">
        <v>0</v>
      </c>
    </row>
    <row r="31" spans="1:4" x14ac:dyDescent="0.2">
      <c r="A31" s="92" t="s">
        <v>43</v>
      </c>
      <c r="B31" s="9">
        <v>0</v>
      </c>
      <c r="C31" s="9">
        <v>0</v>
      </c>
      <c r="D31" s="9">
        <v>0</v>
      </c>
    </row>
    <row r="32" spans="1:4" x14ac:dyDescent="0.2">
      <c r="A32" s="92" t="s">
        <v>44</v>
      </c>
      <c r="B32" s="9">
        <v>0</v>
      </c>
      <c r="C32" s="9">
        <v>0</v>
      </c>
      <c r="D32" s="9">
        <v>0</v>
      </c>
    </row>
    <row r="33" spans="1:4" x14ac:dyDescent="0.2">
      <c r="A33" s="92" t="s">
        <v>45</v>
      </c>
      <c r="B33" s="9">
        <v>0</v>
      </c>
      <c r="C33" s="9">
        <v>0</v>
      </c>
      <c r="D33" s="9">
        <v>0</v>
      </c>
    </row>
    <row r="34" spans="1:4" x14ac:dyDescent="0.2">
      <c r="A34" s="92" t="s">
        <v>46</v>
      </c>
      <c r="B34" s="9">
        <v>0</v>
      </c>
      <c r="C34" s="9">
        <v>0</v>
      </c>
      <c r="D34" s="9">
        <v>0</v>
      </c>
    </row>
    <row r="35" spans="1:4" x14ac:dyDescent="0.2">
      <c r="A35" s="92" t="s">
        <v>47</v>
      </c>
      <c r="B35" s="9">
        <v>0</v>
      </c>
      <c r="C35" s="9">
        <v>1.5</v>
      </c>
      <c r="D35" s="9">
        <v>0</v>
      </c>
    </row>
    <row r="36" spans="1:4" x14ac:dyDescent="0.2">
      <c r="A36" s="92" t="s">
        <v>48</v>
      </c>
      <c r="B36" s="9">
        <v>0</v>
      </c>
      <c r="C36" s="9">
        <v>0</v>
      </c>
      <c r="D36" s="9">
        <v>0</v>
      </c>
    </row>
    <row r="37" spans="1:4" x14ac:dyDescent="0.2">
      <c r="A37" s="92" t="s">
        <v>49</v>
      </c>
      <c r="B37" s="9">
        <v>135</v>
      </c>
      <c r="C37" s="9">
        <v>21.76</v>
      </c>
      <c r="D37" s="9">
        <v>0</v>
      </c>
    </row>
    <row r="38" spans="1:4" x14ac:dyDescent="0.2">
      <c r="A38" s="92" t="s">
        <v>50</v>
      </c>
      <c r="B38" s="9">
        <v>0</v>
      </c>
      <c r="C38" s="9">
        <v>0</v>
      </c>
      <c r="D38" s="9">
        <v>7.4999999999999997E-2</v>
      </c>
    </row>
    <row r="39" spans="1:4" x14ac:dyDescent="0.2">
      <c r="A39" s="92" t="s">
        <v>51</v>
      </c>
      <c r="B39" s="9">
        <v>0</v>
      </c>
      <c r="C39" s="9">
        <v>0</v>
      </c>
      <c r="D39" s="9">
        <v>0</v>
      </c>
    </row>
    <row r="40" spans="1:4" x14ac:dyDescent="0.2">
      <c r="A40" s="92" t="s">
        <v>52</v>
      </c>
      <c r="B40" s="9">
        <v>0</v>
      </c>
      <c r="C40" s="9">
        <v>0</v>
      </c>
      <c r="D40" s="9">
        <v>528</v>
      </c>
    </row>
    <row r="41" spans="1:4" x14ac:dyDescent="0.2">
      <c r="A41" s="92" t="s">
        <v>53</v>
      </c>
      <c r="B41" s="9">
        <v>0</v>
      </c>
      <c r="C41" s="9">
        <v>0</v>
      </c>
      <c r="D41" s="9">
        <v>0.75</v>
      </c>
    </row>
    <row r="42" spans="1:4" x14ac:dyDescent="0.2">
      <c r="A42" s="238" t="s">
        <v>148</v>
      </c>
      <c r="B42" s="9">
        <v>0</v>
      </c>
      <c r="C42" s="9">
        <v>2.15</v>
      </c>
      <c r="D42" s="9">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tabColor rgb="FFFF0000"/>
  </sheetPr>
  <dimension ref="A1:H691"/>
  <sheetViews>
    <sheetView workbookViewId="0">
      <pane ySplit="1" topLeftCell="A2" activePane="bottomLeft" state="frozen"/>
      <selection pane="bottomLeft" activeCell="G30" sqref="G30"/>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92" t="s">
        <v>272</v>
      </c>
      <c r="B1" s="192" t="s">
        <v>273</v>
      </c>
      <c r="C1" s="192" t="s">
        <v>274</v>
      </c>
      <c r="D1" s="192" t="s">
        <v>275</v>
      </c>
      <c r="E1" s="192" t="s">
        <v>276</v>
      </c>
      <c r="F1" s="192" t="s">
        <v>277</v>
      </c>
      <c r="G1" s="192" t="s">
        <v>278</v>
      </c>
      <c r="H1" t="s">
        <v>279</v>
      </c>
    </row>
    <row r="2" spans="1:8" x14ac:dyDescent="0.2">
      <c r="A2" s="193" t="s">
        <v>280</v>
      </c>
      <c r="B2" s="194" t="s">
        <v>281</v>
      </c>
      <c r="C2" s="194" t="s">
        <v>160</v>
      </c>
      <c r="D2" s="194" t="s">
        <v>282</v>
      </c>
      <c r="E2" s="194" t="s">
        <v>283</v>
      </c>
      <c r="F2" s="194" t="s">
        <v>284</v>
      </c>
      <c r="G2" s="194" t="s">
        <v>285</v>
      </c>
      <c r="H2" s="195" t="s">
        <v>286</v>
      </c>
    </row>
    <row r="3" spans="1:8" x14ac:dyDescent="0.2">
      <c r="A3" s="193" t="s">
        <v>287</v>
      </c>
      <c r="B3" s="194" t="s">
        <v>281</v>
      </c>
      <c r="C3" s="194" t="s">
        <v>160</v>
      </c>
      <c r="D3" s="194" t="s">
        <v>282</v>
      </c>
      <c r="E3" s="194" t="s">
        <v>283</v>
      </c>
      <c r="F3" s="194" t="s">
        <v>288</v>
      </c>
      <c r="G3" s="194" t="s">
        <v>289</v>
      </c>
      <c r="H3" s="195" t="s">
        <v>286</v>
      </c>
    </row>
    <row r="4" spans="1:8" x14ac:dyDescent="0.2">
      <c r="A4" s="193" t="s">
        <v>290</v>
      </c>
      <c r="B4" s="194" t="s">
        <v>281</v>
      </c>
      <c r="C4" s="194" t="s">
        <v>162</v>
      </c>
      <c r="D4" s="194" t="s">
        <v>291</v>
      </c>
      <c r="E4" s="194" t="s">
        <v>283</v>
      </c>
      <c r="F4" s="194" t="s">
        <v>284</v>
      </c>
      <c r="G4" s="194"/>
      <c r="H4" s="195" t="s">
        <v>286</v>
      </c>
    </row>
    <row r="5" spans="1:8" x14ac:dyDescent="0.2">
      <c r="A5" s="193" t="s">
        <v>292</v>
      </c>
      <c r="B5" s="194" t="s">
        <v>281</v>
      </c>
      <c r="C5" s="194" t="s">
        <v>162</v>
      </c>
      <c r="D5" s="194" t="s">
        <v>291</v>
      </c>
      <c r="E5" s="194" t="s">
        <v>283</v>
      </c>
      <c r="F5" s="194" t="s">
        <v>284</v>
      </c>
      <c r="G5" s="194" t="s">
        <v>293</v>
      </c>
      <c r="H5" s="195" t="s">
        <v>286</v>
      </c>
    </row>
    <row r="6" spans="1:8" x14ac:dyDescent="0.2">
      <c r="A6" s="193" t="s">
        <v>294</v>
      </c>
      <c r="B6" s="194" t="s">
        <v>281</v>
      </c>
      <c r="C6" s="194" t="s">
        <v>161</v>
      </c>
      <c r="D6" s="194" t="s">
        <v>295</v>
      </c>
      <c r="E6" s="194" t="s">
        <v>283</v>
      </c>
      <c r="F6" s="194" t="s">
        <v>284</v>
      </c>
      <c r="G6" s="194"/>
      <c r="H6" s="195" t="s">
        <v>286</v>
      </c>
    </row>
    <row r="7" spans="1:8" x14ac:dyDescent="0.2">
      <c r="A7" s="193" t="s">
        <v>296</v>
      </c>
      <c r="B7" s="194" t="s">
        <v>297</v>
      </c>
      <c r="C7" s="194" t="s">
        <v>156</v>
      </c>
      <c r="D7" s="194" t="s">
        <v>133</v>
      </c>
      <c r="E7" s="194" t="s">
        <v>283</v>
      </c>
      <c r="F7" s="194" t="s">
        <v>284</v>
      </c>
      <c r="G7" s="194" t="s">
        <v>298</v>
      </c>
      <c r="H7" s="195" t="s">
        <v>286</v>
      </c>
    </row>
    <row r="8" spans="1:8" x14ac:dyDescent="0.2">
      <c r="A8" s="193" t="s">
        <v>299</v>
      </c>
      <c r="B8" s="194" t="s">
        <v>300</v>
      </c>
      <c r="C8" s="194" t="s">
        <v>155</v>
      </c>
      <c r="D8" s="194" t="s">
        <v>136</v>
      </c>
      <c r="E8" s="194" t="s">
        <v>283</v>
      </c>
      <c r="F8" s="194" t="s">
        <v>288</v>
      </c>
      <c r="G8" s="194" t="s">
        <v>301</v>
      </c>
      <c r="H8" s="195" t="s">
        <v>286</v>
      </c>
    </row>
    <row r="9" spans="1:8" x14ac:dyDescent="0.2">
      <c r="A9" s="193" t="s">
        <v>302</v>
      </c>
      <c r="B9" s="194" t="s">
        <v>300</v>
      </c>
      <c r="C9" s="194" t="s">
        <v>155</v>
      </c>
      <c r="D9" s="194" t="s">
        <v>136</v>
      </c>
      <c r="E9" s="194" t="s">
        <v>283</v>
      </c>
      <c r="F9" s="194" t="s">
        <v>288</v>
      </c>
      <c r="G9" s="194" t="s">
        <v>303</v>
      </c>
      <c r="H9" s="195" t="s">
        <v>286</v>
      </c>
    </row>
    <row r="10" spans="1:8" x14ac:dyDescent="0.2">
      <c r="A10" s="193" t="s">
        <v>304</v>
      </c>
      <c r="B10" s="194" t="s">
        <v>300</v>
      </c>
      <c r="C10" s="194" t="s">
        <v>155</v>
      </c>
      <c r="D10" s="194" t="s">
        <v>136</v>
      </c>
      <c r="E10" s="194" t="s">
        <v>283</v>
      </c>
      <c r="F10" s="194" t="s">
        <v>288</v>
      </c>
      <c r="G10" s="194" t="s">
        <v>303</v>
      </c>
      <c r="H10" s="195" t="s">
        <v>286</v>
      </c>
    </row>
    <row r="11" spans="1:8" x14ac:dyDescent="0.2">
      <c r="A11" s="193" t="s">
        <v>305</v>
      </c>
      <c r="B11" s="194" t="s">
        <v>300</v>
      </c>
      <c r="C11" s="194" t="s">
        <v>155</v>
      </c>
      <c r="D11" s="194" t="s">
        <v>136</v>
      </c>
      <c r="E11" s="194" t="s">
        <v>283</v>
      </c>
      <c r="F11" s="194" t="s">
        <v>288</v>
      </c>
      <c r="G11" s="194" t="s">
        <v>303</v>
      </c>
      <c r="H11" s="195" t="s">
        <v>286</v>
      </c>
    </row>
    <row r="12" spans="1:8" x14ac:dyDescent="0.2">
      <c r="A12" s="193" t="s">
        <v>306</v>
      </c>
      <c r="B12" s="194" t="s">
        <v>300</v>
      </c>
      <c r="C12" s="194" t="s">
        <v>153</v>
      </c>
      <c r="D12" s="194" t="s">
        <v>140</v>
      </c>
      <c r="E12" s="194" t="s">
        <v>283</v>
      </c>
      <c r="F12" s="194" t="s">
        <v>288</v>
      </c>
      <c r="G12" s="194" t="s">
        <v>307</v>
      </c>
      <c r="H12" s="195" t="s">
        <v>286</v>
      </c>
    </row>
    <row r="13" spans="1:8" x14ac:dyDescent="0.2">
      <c r="A13" s="193" t="s">
        <v>308</v>
      </c>
      <c r="B13" s="194" t="s">
        <v>297</v>
      </c>
      <c r="C13" s="194" t="s">
        <v>154</v>
      </c>
      <c r="D13" s="194" t="s">
        <v>138</v>
      </c>
      <c r="E13" s="194" t="s">
        <v>283</v>
      </c>
      <c r="F13" s="194" t="s">
        <v>284</v>
      </c>
      <c r="G13" s="194"/>
      <c r="H13" s="195" t="s">
        <v>286</v>
      </c>
    </row>
    <row r="14" spans="1:8" x14ac:dyDescent="0.2">
      <c r="A14" s="193" t="s">
        <v>309</v>
      </c>
      <c r="B14" s="194" t="s">
        <v>297</v>
      </c>
      <c r="C14" s="194" t="s">
        <v>164</v>
      </c>
      <c r="D14" s="194" t="s">
        <v>144</v>
      </c>
      <c r="E14" s="194" t="s">
        <v>283</v>
      </c>
      <c r="F14" s="194" t="s">
        <v>284</v>
      </c>
      <c r="G14" s="194" t="s">
        <v>310</v>
      </c>
      <c r="H14" s="195" t="s">
        <v>286</v>
      </c>
    </row>
    <row r="15" spans="1:8" x14ac:dyDescent="0.2">
      <c r="A15" s="193" t="s">
        <v>311</v>
      </c>
      <c r="B15" s="194" t="s">
        <v>297</v>
      </c>
      <c r="C15" s="194" t="s">
        <v>153</v>
      </c>
      <c r="D15" s="194" t="s">
        <v>140</v>
      </c>
      <c r="E15" s="194" t="s">
        <v>283</v>
      </c>
      <c r="F15" s="194" t="s">
        <v>284</v>
      </c>
      <c r="G15" s="194" t="s">
        <v>312</v>
      </c>
      <c r="H15" s="195" t="s">
        <v>286</v>
      </c>
    </row>
    <row r="16" spans="1:8" x14ac:dyDescent="0.2">
      <c r="A16" s="193" t="s">
        <v>313</v>
      </c>
      <c r="B16" s="194" t="s">
        <v>281</v>
      </c>
      <c r="C16" s="194"/>
      <c r="D16" s="194" t="s">
        <v>314</v>
      </c>
      <c r="E16" s="194"/>
      <c r="F16" s="194" t="s">
        <v>284</v>
      </c>
      <c r="G16" s="194" t="s">
        <v>315</v>
      </c>
      <c r="H16" s="195" t="s">
        <v>286</v>
      </c>
    </row>
    <row r="17" spans="1:8" x14ac:dyDescent="0.2">
      <c r="A17" s="193" t="s">
        <v>316</v>
      </c>
      <c r="B17" s="194" t="s">
        <v>300</v>
      </c>
      <c r="C17" s="194" t="s">
        <v>153</v>
      </c>
      <c r="D17" s="194" t="s">
        <v>140</v>
      </c>
      <c r="E17" s="194" t="s">
        <v>283</v>
      </c>
      <c r="F17" s="194" t="s">
        <v>288</v>
      </c>
      <c r="G17" s="194" t="s">
        <v>317</v>
      </c>
      <c r="H17" s="195" t="s">
        <v>286</v>
      </c>
    </row>
    <row r="18" spans="1:8" x14ac:dyDescent="0.2">
      <c r="A18" s="193" t="s">
        <v>318</v>
      </c>
      <c r="B18" s="194" t="s">
        <v>281</v>
      </c>
      <c r="C18" s="194"/>
      <c r="D18" s="194" t="s">
        <v>314</v>
      </c>
      <c r="E18" s="194"/>
      <c r="F18" s="194" t="s">
        <v>288</v>
      </c>
      <c r="G18" s="194" t="s">
        <v>319</v>
      </c>
      <c r="H18" s="195" t="s">
        <v>286</v>
      </c>
    </row>
    <row r="19" spans="1:8" x14ac:dyDescent="0.2">
      <c r="A19" s="193" t="s">
        <v>320</v>
      </c>
      <c r="B19" s="194" t="s">
        <v>300</v>
      </c>
      <c r="C19" s="194" t="s">
        <v>153</v>
      </c>
      <c r="D19" s="194" t="s">
        <v>142</v>
      </c>
      <c r="E19" s="194" t="s">
        <v>283</v>
      </c>
      <c r="F19" s="194" t="s">
        <v>288</v>
      </c>
      <c r="G19" s="194" t="s">
        <v>321</v>
      </c>
      <c r="H19" s="195" t="s">
        <v>286</v>
      </c>
    </row>
    <row r="20" spans="1:8" x14ac:dyDescent="0.2">
      <c r="A20" s="193" t="s">
        <v>322</v>
      </c>
      <c r="B20" s="194" t="s">
        <v>300</v>
      </c>
      <c r="C20" s="194" t="s">
        <v>153</v>
      </c>
      <c r="D20" s="194" t="s">
        <v>142</v>
      </c>
      <c r="E20" s="194" t="s">
        <v>283</v>
      </c>
      <c r="F20" s="194" t="s">
        <v>288</v>
      </c>
      <c r="G20" s="194" t="s">
        <v>321</v>
      </c>
      <c r="H20" s="195" t="s">
        <v>286</v>
      </c>
    </row>
    <row r="21" spans="1:8" x14ac:dyDescent="0.2">
      <c r="A21" s="193" t="s">
        <v>323</v>
      </c>
      <c r="B21" s="194" t="s">
        <v>281</v>
      </c>
      <c r="C21" s="194"/>
      <c r="D21" s="194" t="s">
        <v>324</v>
      </c>
      <c r="E21" s="194"/>
      <c r="F21" s="194" t="s">
        <v>288</v>
      </c>
      <c r="G21" s="194" t="s">
        <v>325</v>
      </c>
      <c r="H21" s="195" t="s">
        <v>286</v>
      </c>
    </row>
    <row r="22" spans="1:8" x14ac:dyDescent="0.2">
      <c r="A22" s="193" t="s">
        <v>326</v>
      </c>
      <c r="B22" s="194" t="s">
        <v>300</v>
      </c>
      <c r="C22" s="194" t="s">
        <v>153</v>
      </c>
      <c r="D22" s="194" t="s">
        <v>142</v>
      </c>
      <c r="E22" s="194" t="s">
        <v>283</v>
      </c>
      <c r="F22" s="194" t="s">
        <v>288</v>
      </c>
      <c r="G22" s="194" t="s">
        <v>321</v>
      </c>
      <c r="H22" s="195" t="s">
        <v>286</v>
      </c>
    </row>
    <row r="23" spans="1:8" x14ac:dyDescent="0.2">
      <c r="A23" s="193" t="s">
        <v>327</v>
      </c>
      <c r="B23" s="194" t="s">
        <v>281</v>
      </c>
      <c r="C23" s="194"/>
      <c r="D23" s="194" t="s">
        <v>324</v>
      </c>
      <c r="E23" s="194"/>
      <c r="F23" s="194" t="s">
        <v>288</v>
      </c>
      <c r="G23" s="194" t="s">
        <v>325</v>
      </c>
      <c r="H23" s="195" t="s">
        <v>286</v>
      </c>
    </row>
    <row r="24" spans="1:8" x14ac:dyDescent="0.2">
      <c r="A24" s="193" t="s">
        <v>328</v>
      </c>
      <c r="B24" s="194" t="s">
        <v>300</v>
      </c>
      <c r="C24" s="194" t="s">
        <v>152</v>
      </c>
      <c r="D24" s="194" t="s">
        <v>139</v>
      </c>
      <c r="E24" s="194" t="s">
        <v>283</v>
      </c>
      <c r="F24" s="194" t="s">
        <v>284</v>
      </c>
      <c r="G24" s="194" t="s">
        <v>329</v>
      </c>
      <c r="H24" s="195" t="s">
        <v>286</v>
      </c>
    </row>
    <row r="25" spans="1:8" x14ac:dyDescent="0.2">
      <c r="A25" s="193" t="s">
        <v>330</v>
      </c>
      <c r="B25" s="194" t="s">
        <v>281</v>
      </c>
      <c r="C25" s="194"/>
      <c r="D25" s="194" t="s">
        <v>331</v>
      </c>
      <c r="E25" s="194"/>
      <c r="F25" s="194" t="s">
        <v>284</v>
      </c>
      <c r="G25" s="194" t="s">
        <v>332</v>
      </c>
      <c r="H25" s="195" t="s">
        <v>286</v>
      </c>
    </row>
    <row r="26" spans="1:8" x14ac:dyDescent="0.2">
      <c r="A26" s="193" t="s">
        <v>333</v>
      </c>
      <c r="B26" s="194" t="s">
        <v>300</v>
      </c>
      <c r="C26" s="194" t="s">
        <v>152</v>
      </c>
      <c r="D26" s="194" t="s">
        <v>139</v>
      </c>
      <c r="E26" s="194" t="s">
        <v>283</v>
      </c>
      <c r="F26" s="194" t="s">
        <v>284</v>
      </c>
      <c r="G26" s="194" t="s">
        <v>334</v>
      </c>
      <c r="H26" s="195" t="s">
        <v>286</v>
      </c>
    </row>
    <row r="27" spans="1:8" x14ac:dyDescent="0.2">
      <c r="A27" s="193" t="s">
        <v>335</v>
      </c>
      <c r="B27" s="194" t="s">
        <v>281</v>
      </c>
      <c r="C27" s="194"/>
      <c r="D27" s="194" t="s">
        <v>331</v>
      </c>
      <c r="E27" s="194"/>
      <c r="F27" s="194" t="s">
        <v>284</v>
      </c>
      <c r="G27" s="194" t="s">
        <v>332</v>
      </c>
      <c r="H27" s="195" t="s">
        <v>286</v>
      </c>
    </row>
    <row r="28" spans="1:8" x14ac:dyDescent="0.2">
      <c r="A28" s="193" t="s">
        <v>336</v>
      </c>
      <c r="B28" s="194" t="s">
        <v>300</v>
      </c>
      <c r="C28" s="194" t="s">
        <v>153</v>
      </c>
      <c r="D28" s="194" t="s">
        <v>140</v>
      </c>
      <c r="E28" s="194" t="s">
        <v>283</v>
      </c>
      <c r="F28" s="194" t="s">
        <v>337</v>
      </c>
      <c r="G28" s="194" t="s">
        <v>338</v>
      </c>
      <c r="H28" s="195" t="s">
        <v>286</v>
      </c>
    </row>
    <row r="29" spans="1:8" x14ac:dyDescent="0.2">
      <c r="A29" s="193" t="s">
        <v>339</v>
      </c>
      <c r="B29" s="194" t="s">
        <v>300</v>
      </c>
      <c r="C29" s="194" t="s">
        <v>153</v>
      </c>
      <c r="D29" s="194" t="s">
        <v>140</v>
      </c>
      <c r="E29" s="194" t="s">
        <v>283</v>
      </c>
      <c r="F29" s="194" t="s">
        <v>337</v>
      </c>
      <c r="G29" s="194" t="s">
        <v>340</v>
      </c>
      <c r="H29" s="195" t="s">
        <v>286</v>
      </c>
    </row>
    <row r="30" spans="1:8" x14ac:dyDescent="0.2">
      <c r="A30" s="193" t="s">
        <v>341</v>
      </c>
      <c r="B30" s="194" t="s">
        <v>300</v>
      </c>
      <c r="C30" s="194" t="s">
        <v>153</v>
      </c>
      <c r="D30" s="194" t="s">
        <v>140</v>
      </c>
      <c r="E30" s="194" t="s">
        <v>283</v>
      </c>
      <c r="F30" s="194" t="s">
        <v>337</v>
      </c>
      <c r="G30" s="194" t="s">
        <v>340</v>
      </c>
      <c r="H30" s="195" t="s">
        <v>286</v>
      </c>
    </row>
    <row r="31" spans="1:8" x14ac:dyDescent="0.2">
      <c r="A31" s="193" t="s">
        <v>342</v>
      </c>
      <c r="B31" s="194" t="s">
        <v>300</v>
      </c>
      <c r="C31" s="194" t="s">
        <v>153</v>
      </c>
      <c r="D31" s="194" t="s">
        <v>140</v>
      </c>
      <c r="E31" s="194" t="s">
        <v>283</v>
      </c>
      <c r="F31" s="194" t="s">
        <v>337</v>
      </c>
      <c r="G31" s="194" t="s">
        <v>340</v>
      </c>
      <c r="H31" s="195" t="s">
        <v>286</v>
      </c>
    </row>
    <row r="32" spans="1:8" x14ac:dyDescent="0.2">
      <c r="A32" s="193" t="s">
        <v>343</v>
      </c>
      <c r="B32" s="194" t="s">
        <v>297</v>
      </c>
      <c r="C32" s="194"/>
      <c r="D32" s="194" t="s">
        <v>143</v>
      </c>
      <c r="E32" s="194"/>
      <c r="F32" s="194" t="s">
        <v>284</v>
      </c>
      <c r="G32" s="194" t="s">
        <v>344</v>
      </c>
      <c r="H32" s="195" t="s">
        <v>286</v>
      </c>
    </row>
    <row r="33" spans="1:8" x14ac:dyDescent="0.2">
      <c r="A33" s="193" t="s">
        <v>345</v>
      </c>
      <c r="B33" s="194" t="s">
        <v>346</v>
      </c>
      <c r="C33" s="194"/>
      <c r="D33" s="194"/>
      <c r="E33" s="194"/>
      <c r="F33" s="194"/>
      <c r="G33" s="194" t="s">
        <v>347</v>
      </c>
      <c r="H33" s="195" t="s">
        <v>286</v>
      </c>
    </row>
    <row r="34" spans="1:8" x14ac:dyDescent="0.2">
      <c r="A34" s="193" t="s">
        <v>348</v>
      </c>
      <c r="B34" s="194" t="s">
        <v>297</v>
      </c>
      <c r="C34" s="194"/>
      <c r="D34" s="194" t="s">
        <v>147</v>
      </c>
      <c r="E34" s="194"/>
      <c r="F34" s="194"/>
      <c r="G34" s="194" t="s">
        <v>349</v>
      </c>
      <c r="H34" s="195" t="s">
        <v>286</v>
      </c>
    </row>
    <row r="35" spans="1:8" x14ac:dyDescent="0.2">
      <c r="A35" s="193" t="s">
        <v>350</v>
      </c>
      <c r="B35" s="194" t="s">
        <v>297</v>
      </c>
      <c r="C35" s="194"/>
      <c r="D35" s="194" t="s">
        <v>146</v>
      </c>
      <c r="E35" s="194"/>
      <c r="F35" s="194"/>
      <c r="G35" s="194" t="s">
        <v>351</v>
      </c>
      <c r="H35" s="195" t="s">
        <v>286</v>
      </c>
    </row>
    <row r="36" spans="1:8" hidden="1" x14ac:dyDescent="0.2">
      <c r="A36" s="196" t="s">
        <v>352</v>
      </c>
      <c r="B36" s="194" t="s">
        <v>297</v>
      </c>
      <c r="D36" t="s">
        <v>1</v>
      </c>
      <c r="H36" s="196" t="s">
        <v>353</v>
      </c>
    </row>
    <row r="37" spans="1:8" hidden="1" x14ac:dyDescent="0.2">
      <c r="A37" s="196" t="s">
        <v>354</v>
      </c>
      <c r="B37" s="194" t="s">
        <v>297</v>
      </c>
      <c r="D37" t="s">
        <v>1</v>
      </c>
      <c r="H37" s="196" t="s">
        <v>353</v>
      </c>
    </row>
    <row r="38" spans="1:8" hidden="1" x14ac:dyDescent="0.2">
      <c r="A38" s="196" t="s">
        <v>355</v>
      </c>
      <c r="B38" s="194" t="s">
        <v>297</v>
      </c>
      <c r="D38" t="s">
        <v>1</v>
      </c>
      <c r="H38" s="196" t="s">
        <v>353</v>
      </c>
    </row>
    <row r="39" spans="1:8" hidden="1" x14ac:dyDescent="0.2">
      <c r="A39" s="196" t="s">
        <v>356</v>
      </c>
      <c r="B39" s="194" t="s">
        <v>297</v>
      </c>
      <c r="D39" t="s">
        <v>1</v>
      </c>
      <c r="H39" s="196" t="s">
        <v>353</v>
      </c>
    </row>
    <row r="40" spans="1:8" hidden="1" x14ac:dyDescent="0.2">
      <c r="A40" s="196" t="s">
        <v>357</v>
      </c>
      <c r="B40" s="194" t="s">
        <v>297</v>
      </c>
      <c r="D40" t="s">
        <v>1</v>
      </c>
      <c r="H40" s="196" t="s">
        <v>353</v>
      </c>
    </row>
    <row r="41" spans="1:8" hidden="1" x14ac:dyDescent="0.2">
      <c r="A41" s="196" t="s">
        <v>358</v>
      </c>
      <c r="B41" s="194" t="s">
        <v>297</v>
      </c>
      <c r="D41" t="s">
        <v>1</v>
      </c>
      <c r="H41" s="196" t="s">
        <v>353</v>
      </c>
    </row>
    <row r="42" spans="1:8" hidden="1" x14ac:dyDescent="0.2">
      <c r="A42" s="196" t="s">
        <v>359</v>
      </c>
      <c r="B42" s="194" t="s">
        <v>297</v>
      </c>
      <c r="D42" t="s">
        <v>1</v>
      </c>
      <c r="H42" s="196" t="s">
        <v>353</v>
      </c>
    </row>
    <row r="43" spans="1:8" hidden="1" x14ac:dyDescent="0.2">
      <c r="A43" s="196" t="s">
        <v>360</v>
      </c>
      <c r="B43" s="194" t="s">
        <v>297</v>
      </c>
      <c r="D43" t="s">
        <v>1</v>
      </c>
      <c r="H43" s="196" t="s">
        <v>353</v>
      </c>
    </row>
    <row r="44" spans="1:8" hidden="1" x14ac:dyDescent="0.2">
      <c r="A44" s="196" t="s">
        <v>361</v>
      </c>
      <c r="B44" s="194" t="s">
        <v>297</v>
      </c>
      <c r="D44" t="s">
        <v>1</v>
      </c>
      <c r="H44" s="196" t="s">
        <v>353</v>
      </c>
    </row>
    <row r="45" spans="1:8" hidden="1" x14ac:dyDescent="0.2">
      <c r="A45" s="196" t="s">
        <v>362</v>
      </c>
      <c r="B45" s="194" t="s">
        <v>297</v>
      </c>
      <c r="D45" t="s">
        <v>1</v>
      </c>
      <c r="H45" s="196" t="s">
        <v>353</v>
      </c>
    </row>
    <row r="46" spans="1:8" hidden="1" x14ac:dyDescent="0.2">
      <c r="A46" s="196" t="s">
        <v>363</v>
      </c>
      <c r="B46" s="194" t="s">
        <v>297</v>
      </c>
      <c r="D46" t="s">
        <v>1</v>
      </c>
      <c r="H46" s="196" t="s">
        <v>353</v>
      </c>
    </row>
    <row r="47" spans="1:8" hidden="1" x14ac:dyDescent="0.2">
      <c r="A47" s="196" t="s">
        <v>364</v>
      </c>
      <c r="B47" s="194" t="s">
        <v>297</v>
      </c>
      <c r="D47" t="s">
        <v>1</v>
      </c>
      <c r="H47" s="196" t="s">
        <v>353</v>
      </c>
    </row>
    <row r="48" spans="1:8" hidden="1" x14ac:dyDescent="0.2">
      <c r="A48" s="196" t="s">
        <v>365</v>
      </c>
      <c r="B48" s="194" t="s">
        <v>297</v>
      </c>
      <c r="D48" t="s">
        <v>1</v>
      </c>
      <c r="H48" s="196" t="s">
        <v>353</v>
      </c>
    </row>
    <row r="49" spans="1:8" hidden="1" x14ac:dyDescent="0.2">
      <c r="A49" s="196" t="s">
        <v>366</v>
      </c>
      <c r="B49" s="194" t="s">
        <v>297</v>
      </c>
      <c r="D49" t="s">
        <v>1</v>
      </c>
      <c r="H49" s="196" t="s">
        <v>353</v>
      </c>
    </row>
    <row r="50" spans="1:8" hidden="1" x14ac:dyDescent="0.2">
      <c r="A50" s="196" t="s">
        <v>367</v>
      </c>
      <c r="B50" s="194" t="s">
        <v>297</v>
      </c>
      <c r="D50" t="s">
        <v>1</v>
      </c>
      <c r="H50" s="196" t="s">
        <v>353</v>
      </c>
    </row>
    <row r="51" spans="1:8" hidden="1" x14ac:dyDescent="0.2">
      <c r="A51" s="196" t="s">
        <v>368</v>
      </c>
      <c r="B51" s="194" t="s">
        <v>297</v>
      </c>
      <c r="D51" t="s">
        <v>1</v>
      </c>
      <c r="H51" s="196" t="s">
        <v>353</v>
      </c>
    </row>
    <row r="52" spans="1:8" hidden="1" x14ac:dyDescent="0.2">
      <c r="A52" s="196" t="s">
        <v>369</v>
      </c>
      <c r="B52" s="194" t="s">
        <v>297</v>
      </c>
      <c r="D52" t="s">
        <v>1</v>
      </c>
      <c r="H52" s="196" t="s">
        <v>353</v>
      </c>
    </row>
    <row r="53" spans="1:8" hidden="1" x14ac:dyDescent="0.2">
      <c r="A53" s="196" t="s">
        <v>370</v>
      </c>
      <c r="B53" s="194" t="s">
        <v>297</v>
      </c>
      <c r="D53" t="s">
        <v>1</v>
      </c>
      <c r="H53" s="196" t="s">
        <v>353</v>
      </c>
    </row>
    <row r="54" spans="1:8" hidden="1" x14ac:dyDescent="0.2">
      <c r="A54" s="196" t="s">
        <v>371</v>
      </c>
      <c r="B54" s="194" t="s">
        <v>297</v>
      </c>
      <c r="D54" t="s">
        <v>1</v>
      </c>
      <c r="H54" s="196" t="s">
        <v>353</v>
      </c>
    </row>
    <row r="55" spans="1:8" hidden="1" x14ac:dyDescent="0.2">
      <c r="A55" s="196" t="s">
        <v>372</v>
      </c>
      <c r="B55" s="194" t="s">
        <v>297</v>
      </c>
      <c r="D55" t="s">
        <v>1</v>
      </c>
      <c r="H55" s="196" t="s">
        <v>353</v>
      </c>
    </row>
    <row r="56" spans="1:8" hidden="1" x14ac:dyDescent="0.2">
      <c r="A56" s="196" t="s">
        <v>373</v>
      </c>
      <c r="B56" s="194" t="s">
        <v>297</v>
      </c>
      <c r="D56" t="s">
        <v>1</v>
      </c>
      <c r="H56" s="196" t="s">
        <v>353</v>
      </c>
    </row>
    <row r="57" spans="1:8" hidden="1" x14ac:dyDescent="0.2">
      <c r="A57" s="196" t="s">
        <v>374</v>
      </c>
      <c r="B57" s="194" t="s">
        <v>297</v>
      </c>
      <c r="D57" t="s">
        <v>1</v>
      </c>
      <c r="H57" s="196" t="s">
        <v>353</v>
      </c>
    </row>
    <row r="58" spans="1:8" hidden="1" x14ac:dyDescent="0.2">
      <c r="A58" s="196" t="s">
        <v>375</v>
      </c>
      <c r="B58" s="194" t="s">
        <v>297</v>
      </c>
      <c r="D58" t="s">
        <v>1</v>
      </c>
      <c r="H58" s="196" t="s">
        <v>353</v>
      </c>
    </row>
    <row r="59" spans="1:8" hidden="1" x14ac:dyDescent="0.2">
      <c r="A59" s="196" t="s">
        <v>376</v>
      </c>
      <c r="B59" s="194" t="s">
        <v>297</v>
      </c>
      <c r="D59" t="s">
        <v>1</v>
      </c>
      <c r="H59" s="196" t="s">
        <v>353</v>
      </c>
    </row>
    <row r="60" spans="1:8" hidden="1" x14ac:dyDescent="0.2">
      <c r="A60" s="196" t="s">
        <v>377</v>
      </c>
      <c r="B60" s="194" t="s">
        <v>297</v>
      </c>
      <c r="D60" t="s">
        <v>1</v>
      </c>
      <c r="H60" s="196" t="s">
        <v>353</v>
      </c>
    </row>
    <row r="61" spans="1:8" hidden="1" x14ac:dyDescent="0.2">
      <c r="A61" s="196" t="s">
        <v>378</v>
      </c>
      <c r="B61" s="194" t="s">
        <v>297</v>
      </c>
      <c r="D61" t="s">
        <v>1</v>
      </c>
      <c r="H61" s="196" t="s">
        <v>353</v>
      </c>
    </row>
    <row r="62" spans="1:8" hidden="1" x14ac:dyDescent="0.2">
      <c r="A62" s="196" t="s">
        <v>379</v>
      </c>
      <c r="B62" s="194" t="s">
        <v>297</v>
      </c>
      <c r="D62" t="s">
        <v>1</v>
      </c>
      <c r="H62" s="196" t="s">
        <v>353</v>
      </c>
    </row>
    <row r="63" spans="1:8" hidden="1" x14ac:dyDescent="0.2">
      <c r="A63" s="196" t="s">
        <v>380</v>
      </c>
      <c r="B63" s="194" t="s">
        <v>297</v>
      </c>
      <c r="D63" t="s">
        <v>1</v>
      </c>
      <c r="H63" s="196" t="s">
        <v>353</v>
      </c>
    </row>
    <row r="64" spans="1:8" hidden="1" x14ac:dyDescent="0.2">
      <c r="A64" s="196" t="s">
        <v>381</v>
      </c>
      <c r="B64" s="194" t="s">
        <v>297</v>
      </c>
      <c r="D64" t="s">
        <v>1</v>
      </c>
      <c r="H64" s="196" t="s">
        <v>353</v>
      </c>
    </row>
    <row r="65" spans="1:8" hidden="1" x14ac:dyDescent="0.2">
      <c r="A65" s="196" t="s">
        <v>382</v>
      </c>
      <c r="B65" s="194" t="s">
        <v>297</v>
      </c>
      <c r="D65" t="s">
        <v>1</v>
      </c>
      <c r="H65" s="196" t="s">
        <v>353</v>
      </c>
    </row>
    <row r="66" spans="1:8" hidden="1" x14ac:dyDescent="0.2">
      <c r="A66" s="196" t="s">
        <v>383</v>
      </c>
      <c r="B66" s="194" t="s">
        <v>297</v>
      </c>
      <c r="D66" t="s">
        <v>1</v>
      </c>
      <c r="H66" s="196" t="s">
        <v>353</v>
      </c>
    </row>
    <row r="67" spans="1:8" hidden="1" x14ac:dyDescent="0.2">
      <c r="A67" s="196" t="s">
        <v>384</v>
      </c>
      <c r="B67" s="194" t="s">
        <v>297</v>
      </c>
      <c r="D67" t="s">
        <v>1</v>
      </c>
      <c r="H67" s="196" t="s">
        <v>353</v>
      </c>
    </row>
    <row r="68" spans="1:8" hidden="1" x14ac:dyDescent="0.2">
      <c r="A68" s="196" t="s">
        <v>385</v>
      </c>
      <c r="B68" s="194" t="s">
        <v>297</v>
      </c>
      <c r="D68" t="s">
        <v>1</v>
      </c>
      <c r="H68" s="196" t="s">
        <v>353</v>
      </c>
    </row>
    <row r="69" spans="1:8" hidden="1" x14ac:dyDescent="0.2">
      <c r="A69" s="196" t="s">
        <v>386</v>
      </c>
      <c r="B69" s="194" t="s">
        <v>297</v>
      </c>
      <c r="D69" t="s">
        <v>1</v>
      </c>
      <c r="H69" s="196" t="s">
        <v>353</v>
      </c>
    </row>
    <row r="70" spans="1:8" hidden="1" x14ac:dyDescent="0.2">
      <c r="A70" s="196" t="s">
        <v>387</v>
      </c>
      <c r="B70" s="194" t="s">
        <v>297</v>
      </c>
      <c r="D70" t="s">
        <v>1</v>
      </c>
      <c r="H70" s="196" t="s">
        <v>353</v>
      </c>
    </row>
    <row r="71" spans="1:8" hidden="1" x14ac:dyDescent="0.2">
      <c r="A71" s="196" t="s">
        <v>388</v>
      </c>
      <c r="B71" s="194" t="s">
        <v>297</v>
      </c>
      <c r="D71" t="s">
        <v>1</v>
      </c>
      <c r="H71" s="196" t="s">
        <v>353</v>
      </c>
    </row>
    <row r="72" spans="1:8" hidden="1" x14ac:dyDescent="0.2">
      <c r="A72" s="196" t="s">
        <v>389</v>
      </c>
      <c r="B72" s="194" t="s">
        <v>297</v>
      </c>
      <c r="D72" t="s">
        <v>1</v>
      </c>
      <c r="H72" s="196" t="s">
        <v>353</v>
      </c>
    </row>
    <row r="73" spans="1:8" hidden="1" x14ac:dyDescent="0.2">
      <c r="A73" s="196" t="s">
        <v>390</v>
      </c>
      <c r="B73" s="194" t="s">
        <v>297</v>
      </c>
      <c r="D73" t="s">
        <v>1</v>
      </c>
      <c r="H73" s="196" t="s">
        <v>353</v>
      </c>
    </row>
    <row r="74" spans="1:8" hidden="1" x14ac:dyDescent="0.2">
      <c r="A74" s="196" t="s">
        <v>391</v>
      </c>
      <c r="B74" s="194" t="s">
        <v>297</v>
      </c>
      <c r="D74" t="s">
        <v>1</v>
      </c>
      <c r="H74" s="196" t="s">
        <v>353</v>
      </c>
    </row>
    <row r="75" spans="1:8" hidden="1" x14ac:dyDescent="0.2">
      <c r="A75" s="196" t="s">
        <v>392</v>
      </c>
      <c r="B75" s="194" t="s">
        <v>297</v>
      </c>
      <c r="D75" t="s">
        <v>1</v>
      </c>
      <c r="H75" s="196" t="s">
        <v>353</v>
      </c>
    </row>
    <row r="76" spans="1:8" hidden="1" x14ac:dyDescent="0.2">
      <c r="A76" s="196" t="s">
        <v>393</v>
      </c>
      <c r="B76" s="194" t="s">
        <v>297</v>
      </c>
      <c r="D76" t="s">
        <v>1</v>
      </c>
      <c r="H76" s="196" t="s">
        <v>353</v>
      </c>
    </row>
    <row r="77" spans="1:8" hidden="1" x14ac:dyDescent="0.2">
      <c r="A77" s="196" t="s">
        <v>394</v>
      </c>
      <c r="B77" s="194" t="s">
        <v>297</v>
      </c>
      <c r="D77" t="s">
        <v>1</v>
      </c>
      <c r="H77" s="196" t="s">
        <v>353</v>
      </c>
    </row>
    <row r="78" spans="1:8" hidden="1" x14ac:dyDescent="0.2">
      <c r="A78" s="196" t="s">
        <v>395</v>
      </c>
      <c r="B78" s="194" t="s">
        <v>297</v>
      </c>
      <c r="D78" t="s">
        <v>1</v>
      </c>
      <c r="H78" s="196" t="s">
        <v>353</v>
      </c>
    </row>
    <row r="79" spans="1:8" hidden="1" x14ac:dyDescent="0.2">
      <c r="A79" s="196" t="s">
        <v>396</v>
      </c>
      <c r="B79" s="194" t="s">
        <v>297</v>
      </c>
      <c r="D79" t="s">
        <v>1</v>
      </c>
      <c r="H79" s="196" t="s">
        <v>353</v>
      </c>
    </row>
    <row r="80" spans="1:8" hidden="1" x14ac:dyDescent="0.2">
      <c r="A80" s="196" t="s">
        <v>397</v>
      </c>
      <c r="B80" s="194" t="s">
        <v>297</v>
      </c>
      <c r="D80" t="s">
        <v>1</v>
      </c>
      <c r="H80" s="196" t="s">
        <v>353</v>
      </c>
    </row>
    <row r="81" spans="1:8" hidden="1" x14ac:dyDescent="0.2">
      <c r="A81" s="196" t="s">
        <v>398</v>
      </c>
      <c r="B81" s="194" t="s">
        <v>297</v>
      </c>
      <c r="D81" t="s">
        <v>1</v>
      </c>
      <c r="H81" s="196" t="s">
        <v>353</v>
      </c>
    </row>
    <row r="82" spans="1:8" hidden="1" x14ac:dyDescent="0.2">
      <c r="A82" s="196" t="s">
        <v>399</v>
      </c>
      <c r="B82" s="194" t="s">
        <v>297</v>
      </c>
      <c r="D82" t="s">
        <v>1</v>
      </c>
      <c r="H82" s="196" t="s">
        <v>353</v>
      </c>
    </row>
    <row r="83" spans="1:8" hidden="1" x14ac:dyDescent="0.2">
      <c r="A83" s="196" t="s">
        <v>400</v>
      </c>
      <c r="B83" s="194" t="s">
        <v>297</v>
      </c>
      <c r="D83" t="s">
        <v>1</v>
      </c>
      <c r="H83" s="196" t="s">
        <v>353</v>
      </c>
    </row>
    <row r="84" spans="1:8" hidden="1" x14ac:dyDescent="0.2">
      <c r="A84" s="196" t="s">
        <v>401</v>
      </c>
      <c r="B84" s="194" t="s">
        <v>297</v>
      </c>
      <c r="D84" t="s">
        <v>1</v>
      </c>
      <c r="H84" s="196" t="s">
        <v>353</v>
      </c>
    </row>
    <row r="85" spans="1:8" hidden="1" x14ac:dyDescent="0.2">
      <c r="A85" s="196" t="s">
        <v>402</v>
      </c>
      <c r="B85" s="194" t="s">
        <v>297</v>
      </c>
      <c r="D85" t="s">
        <v>1</v>
      </c>
      <c r="H85" s="196" t="s">
        <v>353</v>
      </c>
    </row>
    <row r="86" spans="1:8" hidden="1" x14ac:dyDescent="0.2">
      <c r="A86" s="196" t="s">
        <v>403</v>
      </c>
      <c r="B86" s="194" t="s">
        <v>297</v>
      </c>
      <c r="D86" t="s">
        <v>167</v>
      </c>
      <c r="H86" s="196" t="s">
        <v>353</v>
      </c>
    </row>
    <row r="87" spans="1:8" hidden="1" x14ac:dyDescent="0.2">
      <c r="A87" s="196" t="s">
        <v>404</v>
      </c>
      <c r="B87" s="194" t="s">
        <v>297</v>
      </c>
      <c r="D87" t="s">
        <v>167</v>
      </c>
      <c r="H87" s="196" t="s">
        <v>353</v>
      </c>
    </row>
    <row r="88" spans="1:8" hidden="1" x14ac:dyDescent="0.2">
      <c r="A88" s="196" t="s">
        <v>405</v>
      </c>
      <c r="B88" s="194" t="s">
        <v>297</v>
      </c>
      <c r="D88" t="s">
        <v>167</v>
      </c>
      <c r="H88" s="196" t="s">
        <v>353</v>
      </c>
    </row>
    <row r="89" spans="1:8" hidden="1" x14ac:dyDescent="0.2">
      <c r="A89" s="196" t="s">
        <v>406</v>
      </c>
      <c r="B89" s="194" t="s">
        <v>297</v>
      </c>
      <c r="D89" t="s">
        <v>167</v>
      </c>
      <c r="H89" s="196" t="s">
        <v>353</v>
      </c>
    </row>
    <row r="90" spans="1:8" hidden="1" x14ac:dyDescent="0.2">
      <c r="A90" s="196" t="s">
        <v>407</v>
      </c>
      <c r="B90" s="194" t="s">
        <v>297</v>
      </c>
      <c r="D90" t="s">
        <v>167</v>
      </c>
      <c r="H90" s="196" t="s">
        <v>353</v>
      </c>
    </row>
    <row r="91" spans="1:8" hidden="1" x14ac:dyDescent="0.2">
      <c r="A91" s="196" t="s">
        <v>408</v>
      </c>
      <c r="B91" s="194" t="s">
        <v>297</v>
      </c>
      <c r="D91" t="s">
        <v>2</v>
      </c>
      <c r="H91" s="196" t="s">
        <v>353</v>
      </c>
    </row>
    <row r="92" spans="1:8" hidden="1" x14ac:dyDescent="0.2">
      <c r="A92" s="196" t="s">
        <v>409</v>
      </c>
      <c r="B92" s="194" t="s">
        <v>297</v>
      </c>
      <c r="D92" t="s">
        <v>2</v>
      </c>
      <c r="H92" s="196" t="s">
        <v>353</v>
      </c>
    </row>
    <row r="93" spans="1:8" hidden="1" x14ac:dyDescent="0.2">
      <c r="A93" s="196" t="s">
        <v>410</v>
      </c>
      <c r="B93" s="194" t="s">
        <v>297</v>
      </c>
      <c r="D93" t="s">
        <v>2</v>
      </c>
      <c r="H93" s="196" t="s">
        <v>353</v>
      </c>
    </row>
    <row r="94" spans="1:8" hidden="1" x14ac:dyDescent="0.2">
      <c r="A94" s="196" t="s">
        <v>411</v>
      </c>
      <c r="B94" s="194" t="s">
        <v>297</v>
      </c>
      <c r="D94" t="s">
        <v>2</v>
      </c>
      <c r="H94" s="196" t="s">
        <v>353</v>
      </c>
    </row>
    <row r="95" spans="1:8" hidden="1" x14ac:dyDescent="0.2">
      <c r="A95" s="196" t="s">
        <v>412</v>
      </c>
      <c r="B95" s="194" t="s">
        <v>297</v>
      </c>
      <c r="D95" t="s">
        <v>2</v>
      </c>
      <c r="H95" s="196" t="s">
        <v>353</v>
      </c>
    </row>
    <row r="96" spans="1:8" hidden="1" x14ac:dyDescent="0.2">
      <c r="A96" s="196" t="s">
        <v>413</v>
      </c>
      <c r="B96" s="194" t="s">
        <v>297</v>
      </c>
      <c r="D96" t="s">
        <v>1</v>
      </c>
      <c r="H96" s="196" t="s">
        <v>353</v>
      </c>
    </row>
    <row r="97" spans="1:8" hidden="1" x14ac:dyDescent="0.2">
      <c r="A97" s="196" t="s">
        <v>414</v>
      </c>
      <c r="B97" s="194" t="s">
        <v>297</v>
      </c>
      <c r="D97" t="s">
        <v>1</v>
      </c>
      <c r="H97" s="196" t="s">
        <v>353</v>
      </c>
    </row>
    <row r="98" spans="1:8" hidden="1" x14ac:dyDescent="0.2">
      <c r="A98" s="196" t="s">
        <v>415</v>
      </c>
      <c r="B98" s="194" t="s">
        <v>297</v>
      </c>
      <c r="D98" t="s">
        <v>1</v>
      </c>
      <c r="H98" s="196" t="s">
        <v>353</v>
      </c>
    </row>
    <row r="99" spans="1:8" hidden="1" x14ac:dyDescent="0.2">
      <c r="A99" s="196" t="s">
        <v>416</v>
      </c>
      <c r="B99" s="194" t="s">
        <v>297</v>
      </c>
      <c r="D99" t="s">
        <v>1</v>
      </c>
      <c r="H99" s="196" t="s">
        <v>353</v>
      </c>
    </row>
    <row r="100" spans="1:8" hidden="1" x14ac:dyDescent="0.2">
      <c r="A100" s="196" t="s">
        <v>417</v>
      </c>
      <c r="B100" s="194" t="s">
        <v>297</v>
      </c>
      <c r="D100" t="s">
        <v>1</v>
      </c>
      <c r="H100" s="196" t="s">
        <v>353</v>
      </c>
    </row>
    <row r="101" spans="1:8" hidden="1" x14ac:dyDescent="0.2">
      <c r="A101" s="196" t="s">
        <v>418</v>
      </c>
      <c r="B101" s="194" t="s">
        <v>297</v>
      </c>
      <c r="D101" t="s">
        <v>59</v>
      </c>
      <c r="H101" s="196" t="s">
        <v>353</v>
      </c>
    </row>
    <row r="102" spans="1:8" hidden="1" x14ac:dyDescent="0.2">
      <c r="A102" s="196" t="s">
        <v>419</v>
      </c>
      <c r="B102" s="194" t="s">
        <v>297</v>
      </c>
      <c r="D102" t="s">
        <v>59</v>
      </c>
      <c r="H102" s="196" t="s">
        <v>353</v>
      </c>
    </row>
    <row r="103" spans="1:8" hidden="1" x14ac:dyDescent="0.2">
      <c r="A103" s="196" t="s">
        <v>420</v>
      </c>
      <c r="B103" s="194" t="s">
        <v>297</v>
      </c>
      <c r="D103" t="s">
        <v>59</v>
      </c>
      <c r="H103" s="196" t="s">
        <v>353</v>
      </c>
    </row>
    <row r="104" spans="1:8" hidden="1" x14ac:dyDescent="0.2">
      <c r="A104" s="196" t="s">
        <v>421</v>
      </c>
      <c r="B104" s="194" t="s">
        <v>297</v>
      </c>
      <c r="D104" t="s">
        <v>59</v>
      </c>
      <c r="H104" s="196" t="s">
        <v>353</v>
      </c>
    </row>
    <row r="105" spans="1:8" hidden="1" x14ac:dyDescent="0.2">
      <c r="A105" s="196" t="s">
        <v>422</v>
      </c>
      <c r="B105" s="194" t="s">
        <v>297</v>
      </c>
      <c r="D105" t="s">
        <v>59</v>
      </c>
      <c r="H105" s="196" t="s">
        <v>353</v>
      </c>
    </row>
    <row r="106" spans="1:8" hidden="1" x14ac:dyDescent="0.2">
      <c r="A106" s="196" t="s">
        <v>423</v>
      </c>
      <c r="B106" s="194" t="s">
        <v>297</v>
      </c>
      <c r="D106" t="s">
        <v>1</v>
      </c>
      <c r="H106" s="196" t="s">
        <v>353</v>
      </c>
    </row>
    <row r="107" spans="1:8" hidden="1" x14ac:dyDescent="0.2">
      <c r="A107" s="196" t="s">
        <v>424</v>
      </c>
      <c r="B107" s="194" t="s">
        <v>297</v>
      </c>
      <c r="D107" t="s">
        <v>1</v>
      </c>
      <c r="H107" s="196" t="s">
        <v>353</v>
      </c>
    </row>
    <row r="108" spans="1:8" hidden="1" x14ac:dyDescent="0.2">
      <c r="A108" s="196" t="s">
        <v>425</v>
      </c>
      <c r="B108" s="194" t="s">
        <v>297</v>
      </c>
      <c r="D108" t="s">
        <v>1</v>
      </c>
      <c r="H108" s="196" t="s">
        <v>353</v>
      </c>
    </row>
    <row r="109" spans="1:8" hidden="1" x14ac:dyDescent="0.2">
      <c r="A109" s="196" t="s">
        <v>426</v>
      </c>
      <c r="B109" s="194" t="s">
        <v>297</v>
      </c>
      <c r="D109" t="s">
        <v>1</v>
      </c>
      <c r="H109" s="196" t="s">
        <v>353</v>
      </c>
    </row>
    <row r="110" spans="1:8" hidden="1" x14ac:dyDescent="0.2">
      <c r="A110" s="196" t="s">
        <v>427</v>
      </c>
      <c r="B110" s="194" t="s">
        <v>297</v>
      </c>
      <c r="D110" t="s">
        <v>1</v>
      </c>
      <c r="H110" s="196" t="s">
        <v>353</v>
      </c>
    </row>
    <row r="111" spans="1:8" hidden="1" x14ac:dyDescent="0.2">
      <c r="A111" s="196" t="s">
        <v>428</v>
      </c>
      <c r="B111" s="194" t="s">
        <v>297</v>
      </c>
      <c r="D111" t="s">
        <v>60</v>
      </c>
      <c r="H111" s="196" t="s">
        <v>353</v>
      </c>
    </row>
    <row r="112" spans="1:8" hidden="1" x14ac:dyDescent="0.2">
      <c r="A112" s="196" t="s">
        <v>429</v>
      </c>
      <c r="B112" s="194" t="s">
        <v>297</v>
      </c>
      <c r="D112" t="s">
        <v>60</v>
      </c>
      <c r="H112" s="196" t="s">
        <v>353</v>
      </c>
    </row>
    <row r="113" spans="1:8" hidden="1" x14ac:dyDescent="0.2">
      <c r="A113" s="196" t="s">
        <v>430</v>
      </c>
      <c r="B113" s="194" t="s">
        <v>297</v>
      </c>
      <c r="D113" t="s">
        <v>60</v>
      </c>
      <c r="H113" s="196" t="s">
        <v>353</v>
      </c>
    </row>
    <row r="114" spans="1:8" hidden="1" x14ac:dyDescent="0.2">
      <c r="A114" s="196" t="s">
        <v>431</v>
      </c>
      <c r="B114" s="194" t="s">
        <v>297</v>
      </c>
      <c r="D114" t="s">
        <v>60</v>
      </c>
      <c r="H114" s="196" t="s">
        <v>353</v>
      </c>
    </row>
    <row r="115" spans="1:8" hidden="1" x14ac:dyDescent="0.2">
      <c r="A115" s="196" t="s">
        <v>432</v>
      </c>
      <c r="B115" s="194" t="s">
        <v>297</v>
      </c>
      <c r="D115" t="s">
        <v>60</v>
      </c>
      <c r="H115" s="196" t="s">
        <v>353</v>
      </c>
    </row>
    <row r="116" spans="1:8" hidden="1" x14ac:dyDescent="0.2">
      <c r="A116" s="196" t="s">
        <v>433</v>
      </c>
      <c r="B116" s="194" t="s">
        <v>297</v>
      </c>
      <c r="D116" t="s">
        <v>1</v>
      </c>
      <c r="H116" s="196" t="s">
        <v>353</v>
      </c>
    </row>
    <row r="117" spans="1:8" hidden="1" x14ac:dyDescent="0.2">
      <c r="A117" s="196" t="s">
        <v>434</v>
      </c>
      <c r="B117" s="194" t="s">
        <v>297</v>
      </c>
      <c r="D117" t="s">
        <v>1</v>
      </c>
      <c r="H117" s="196" t="s">
        <v>353</v>
      </c>
    </row>
    <row r="118" spans="1:8" hidden="1" x14ac:dyDescent="0.2">
      <c r="A118" s="196" t="s">
        <v>435</v>
      </c>
      <c r="B118" s="194" t="s">
        <v>297</v>
      </c>
      <c r="D118" t="s">
        <v>1</v>
      </c>
      <c r="H118" s="196" t="s">
        <v>353</v>
      </c>
    </row>
    <row r="119" spans="1:8" hidden="1" x14ac:dyDescent="0.2">
      <c r="A119" s="196" t="s">
        <v>436</v>
      </c>
      <c r="B119" s="194" t="s">
        <v>297</v>
      </c>
      <c r="D119" t="s">
        <v>1</v>
      </c>
      <c r="H119" s="196" t="s">
        <v>353</v>
      </c>
    </row>
    <row r="120" spans="1:8" hidden="1" x14ac:dyDescent="0.2">
      <c r="A120" s="196" t="s">
        <v>437</v>
      </c>
      <c r="B120" s="194" t="s">
        <v>297</v>
      </c>
      <c r="D120" t="s">
        <v>1</v>
      </c>
      <c r="H120" s="196" t="s">
        <v>353</v>
      </c>
    </row>
    <row r="121" spans="1:8" hidden="1" x14ac:dyDescent="0.2">
      <c r="A121" s="196" t="s">
        <v>438</v>
      </c>
      <c r="B121" s="194" t="s">
        <v>297</v>
      </c>
      <c r="D121" t="s">
        <v>1</v>
      </c>
      <c r="H121" s="196" t="s">
        <v>353</v>
      </c>
    </row>
    <row r="122" spans="1:8" hidden="1" x14ac:dyDescent="0.2">
      <c r="A122" s="196" t="s">
        <v>439</v>
      </c>
      <c r="B122" s="194" t="s">
        <v>297</v>
      </c>
      <c r="D122" t="s">
        <v>1</v>
      </c>
      <c r="H122" s="196" t="s">
        <v>353</v>
      </c>
    </row>
    <row r="123" spans="1:8" hidden="1" x14ac:dyDescent="0.2">
      <c r="A123" s="196" t="s">
        <v>440</v>
      </c>
      <c r="B123" s="194" t="s">
        <v>297</v>
      </c>
      <c r="D123" t="s">
        <v>1</v>
      </c>
      <c r="H123" s="196" t="s">
        <v>353</v>
      </c>
    </row>
    <row r="124" spans="1:8" hidden="1" x14ac:dyDescent="0.2">
      <c r="A124" s="196" t="s">
        <v>441</v>
      </c>
      <c r="B124" s="194" t="s">
        <v>297</v>
      </c>
      <c r="D124" t="s">
        <v>1</v>
      </c>
      <c r="H124" s="196" t="s">
        <v>353</v>
      </c>
    </row>
    <row r="125" spans="1:8" hidden="1" x14ac:dyDescent="0.2">
      <c r="A125" s="196" t="s">
        <v>442</v>
      </c>
      <c r="B125" s="194" t="s">
        <v>297</v>
      </c>
      <c r="D125" t="s">
        <v>1</v>
      </c>
      <c r="H125" s="196" t="s">
        <v>353</v>
      </c>
    </row>
    <row r="126" spans="1:8" hidden="1" x14ac:dyDescent="0.2">
      <c r="A126" s="196" t="s">
        <v>443</v>
      </c>
      <c r="B126" s="194" t="s">
        <v>297</v>
      </c>
      <c r="D126" t="s">
        <v>1</v>
      </c>
      <c r="H126" s="196" t="s">
        <v>353</v>
      </c>
    </row>
    <row r="127" spans="1:8" hidden="1" x14ac:dyDescent="0.2">
      <c r="A127" s="196" t="s">
        <v>444</v>
      </c>
      <c r="B127" s="194" t="s">
        <v>297</v>
      </c>
      <c r="D127" t="s">
        <v>1</v>
      </c>
      <c r="H127" s="196" t="s">
        <v>353</v>
      </c>
    </row>
    <row r="128" spans="1:8" hidden="1" x14ac:dyDescent="0.2">
      <c r="A128" s="196" t="s">
        <v>445</v>
      </c>
      <c r="B128" s="194" t="s">
        <v>297</v>
      </c>
      <c r="D128" t="s">
        <v>1</v>
      </c>
      <c r="H128" s="196" t="s">
        <v>353</v>
      </c>
    </row>
    <row r="129" spans="1:8" hidden="1" x14ac:dyDescent="0.2">
      <c r="A129" s="196" t="s">
        <v>446</v>
      </c>
      <c r="B129" s="194" t="s">
        <v>297</v>
      </c>
      <c r="D129" t="s">
        <v>1</v>
      </c>
      <c r="H129" s="196" t="s">
        <v>353</v>
      </c>
    </row>
    <row r="130" spans="1:8" hidden="1" x14ac:dyDescent="0.2">
      <c r="A130" s="196" t="s">
        <v>447</v>
      </c>
      <c r="B130" s="194" t="s">
        <v>297</v>
      </c>
      <c r="D130" t="s">
        <v>1</v>
      </c>
      <c r="H130" s="196" t="s">
        <v>353</v>
      </c>
    </row>
    <row r="131" spans="1:8" hidden="1" x14ac:dyDescent="0.2">
      <c r="A131" s="196" t="s">
        <v>448</v>
      </c>
      <c r="B131" s="194" t="s">
        <v>297</v>
      </c>
      <c r="D131" t="s">
        <v>1</v>
      </c>
      <c r="H131" s="196" t="s">
        <v>353</v>
      </c>
    </row>
    <row r="132" spans="1:8" hidden="1" x14ac:dyDescent="0.2">
      <c r="A132" s="196" t="s">
        <v>449</v>
      </c>
      <c r="B132" s="194" t="s">
        <v>297</v>
      </c>
      <c r="D132" t="s">
        <v>1</v>
      </c>
      <c r="H132" s="196" t="s">
        <v>353</v>
      </c>
    </row>
    <row r="133" spans="1:8" hidden="1" x14ac:dyDescent="0.2">
      <c r="A133" s="196" t="s">
        <v>450</v>
      </c>
      <c r="B133" s="194" t="s">
        <v>297</v>
      </c>
      <c r="D133" t="s">
        <v>1</v>
      </c>
      <c r="H133" s="196" t="s">
        <v>353</v>
      </c>
    </row>
    <row r="134" spans="1:8" hidden="1" x14ac:dyDescent="0.2">
      <c r="A134" s="196" t="s">
        <v>451</v>
      </c>
      <c r="B134" s="194" t="s">
        <v>297</v>
      </c>
      <c r="D134" t="s">
        <v>1</v>
      </c>
      <c r="H134" s="196" t="s">
        <v>353</v>
      </c>
    </row>
    <row r="135" spans="1:8" hidden="1" x14ac:dyDescent="0.2">
      <c r="A135" s="196" t="s">
        <v>452</v>
      </c>
      <c r="B135" s="194" t="s">
        <v>297</v>
      </c>
      <c r="D135" t="s">
        <v>1</v>
      </c>
      <c r="H135" s="196" t="s">
        <v>353</v>
      </c>
    </row>
    <row r="136" spans="1:8" hidden="1" x14ac:dyDescent="0.2">
      <c r="A136" s="196" t="s">
        <v>453</v>
      </c>
      <c r="B136" s="194" t="s">
        <v>297</v>
      </c>
      <c r="D136" t="s">
        <v>1</v>
      </c>
      <c r="H136" s="196" t="s">
        <v>353</v>
      </c>
    </row>
    <row r="137" spans="1:8" hidden="1" x14ac:dyDescent="0.2">
      <c r="A137" s="196" t="s">
        <v>454</v>
      </c>
      <c r="B137" s="194" t="s">
        <v>297</v>
      </c>
      <c r="D137" t="s">
        <v>1</v>
      </c>
      <c r="H137" s="196" t="s">
        <v>353</v>
      </c>
    </row>
    <row r="138" spans="1:8" hidden="1" x14ac:dyDescent="0.2">
      <c r="A138" s="196" t="s">
        <v>455</v>
      </c>
      <c r="B138" s="194" t="s">
        <v>297</v>
      </c>
      <c r="D138" t="s">
        <v>1</v>
      </c>
      <c r="H138" s="196" t="s">
        <v>353</v>
      </c>
    </row>
    <row r="139" spans="1:8" hidden="1" x14ac:dyDescent="0.2">
      <c r="A139" s="196" t="s">
        <v>456</v>
      </c>
      <c r="B139" s="194" t="s">
        <v>297</v>
      </c>
      <c r="D139" t="s">
        <v>1</v>
      </c>
      <c r="H139" s="196" t="s">
        <v>353</v>
      </c>
    </row>
    <row r="140" spans="1:8" hidden="1" x14ac:dyDescent="0.2">
      <c r="A140" s="196" t="s">
        <v>457</v>
      </c>
      <c r="B140" s="194" t="s">
        <v>297</v>
      </c>
      <c r="D140" t="s">
        <v>1</v>
      </c>
      <c r="H140" s="196" t="s">
        <v>353</v>
      </c>
    </row>
    <row r="141" spans="1:8" hidden="1" x14ac:dyDescent="0.2">
      <c r="A141" s="196" t="s">
        <v>458</v>
      </c>
      <c r="B141" s="194" t="s">
        <v>297</v>
      </c>
      <c r="D141" t="s">
        <v>1</v>
      </c>
      <c r="H141" s="196" t="s">
        <v>353</v>
      </c>
    </row>
    <row r="142" spans="1:8" hidden="1" x14ac:dyDescent="0.2">
      <c r="A142" s="196" t="s">
        <v>459</v>
      </c>
      <c r="B142" s="194" t="s">
        <v>297</v>
      </c>
      <c r="D142" t="s">
        <v>1</v>
      </c>
      <c r="H142" s="196" t="s">
        <v>353</v>
      </c>
    </row>
    <row r="143" spans="1:8" hidden="1" x14ac:dyDescent="0.2">
      <c r="A143" s="196" t="s">
        <v>460</v>
      </c>
      <c r="B143" s="194" t="s">
        <v>297</v>
      </c>
      <c r="D143" t="s">
        <v>1</v>
      </c>
      <c r="H143" s="196" t="s">
        <v>353</v>
      </c>
    </row>
    <row r="144" spans="1:8" hidden="1" x14ac:dyDescent="0.2">
      <c r="A144" s="196" t="s">
        <v>461</v>
      </c>
      <c r="B144" s="194" t="s">
        <v>297</v>
      </c>
      <c r="D144" t="s">
        <v>1</v>
      </c>
      <c r="H144" s="196" t="s">
        <v>353</v>
      </c>
    </row>
    <row r="145" spans="1:8" hidden="1" x14ac:dyDescent="0.2">
      <c r="A145" s="196" t="s">
        <v>462</v>
      </c>
      <c r="B145" s="194" t="s">
        <v>297</v>
      </c>
      <c r="D145" t="s">
        <v>1</v>
      </c>
      <c r="H145" s="196" t="s">
        <v>353</v>
      </c>
    </row>
    <row r="146" spans="1:8" hidden="1" x14ac:dyDescent="0.2">
      <c r="A146" s="196" t="s">
        <v>463</v>
      </c>
      <c r="B146" s="194" t="s">
        <v>297</v>
      </c>
      <c r="D146" t="s">
        <v>1</v>
      </c>
      <c r="H146" s="196" t="s">
        <v>353</v>
      </c>
    </row>
    <row r="147" spans="1:8" hidden="1" x14ac:dyDescent="0.2">
      <c r="A147" s="196" t="s">
        <v>464</v>
      </c>
      <c r="B147" s="194" t="s">
        <v>297</v>
      </c>
      <c r="D147" t="s">
        <v>1</v>
      </c>
      <c r="H147" s="196" t="s">
        <v>353</v>
      </c>
    </row>
    <row r="148" spans="1:8" hidden="1" x14ac:dyDescent="0.2">
      <c r="A148" s="196" t="s">
        <v>465</v>
      </c>
      <c r="B148" s="194" t="s">
        <v>297</v>
      </c>
      <c r="D148" t="s">
        <v>1</v>
      </c>
      <c r="H148" s="196" t="s">
        <v>353</v>
      </c>
    </row>
    <row r="149" spans="1:8" hidden="1" x14ac:dyDescent="0.2">
      <c r="A149" s="196" t="s">
        <v>466</v>
      </c>
      <c r="B149" s="194" t="s">
        <v>297</v>
      </c>
      <c r="D149" t="s">
        <v>1</v>
      </c>
      <c r="H149" s="196" t="s">
        <v>353</v>
      </c>
    </row>
    <row r="150" spans="1:8" hidden="1" x14ac:dyDescent="0.2">
      <c r="A150" s="196" t="s">
        <v>467</v>
      </c>
      <c r="B150" s="194" t="s">
        <v>297</v>
      </c>
      <c r="D150" t="s">
        <v>1</v>
      </c>
      <c r="H150" s="196" t="s">
        <v>353</v>
      </c>
    </row>
    <row r="151" spans="1:8" hidden="1" x14ac:dyDescent="0.2">
      <c r="A151" s="196" t="s">
        <v>468</v>
      </c>
      <c r="B151" s="194" t="s">
        <v>297</v>
      </c>
      <c r="D151" t="s">
        <v>1</v>
      </c>
      <c r="H151" s="196" t="s">
        <v>353</v>
      </c>
    </row>
    <row r="152" spans="1:8" hidden="1" x14ac:dyDescent="0.2">
      <c r="A152" s="196" t="s">
        <v>469</v>
      </c>
      <c r="B152" s="194" t="s">
        <v>297</v>
      </c>
      <c r="D152" t="s">
        <v>1</v>
      </c>
      <c r="H152" s="196" t="s">
        <v>353</v>
      </c>
    </row>
    <row r="153" spans="1:8" hidden="1" x14ac:dyDescent="0.2">
      <c r="A153" s="196" t="s">
        <v>470</v>
      </c>
      <c r="B153" s="194" t="s">
        <v>297</v>
      </c>
      <c r="D153" t="s">
        <v>1</v>
      </c>
      <c r="H153" s="196" t="s">
        <v>353</v>
      </c>
    </row>
    <row r="154" spans="1:8" hidden="1" x14ac:dyDescent="0.2">
      <c r="A154" s="196" t="s">
        <v>471</v>
      </c>
      <c r="B154" s="194" t="s">
        <v>297</v>
      </c>
      <c r="D154" t="s">
        <v>1</v>
      </c>
      <c r="H154" s="196" t="s">
        <v>353</v>
      </c>
    </row>
    <row r="155" spans="1:8" hidden="1" x14ac:dyDescent="0.2">
      <c r="A155" s="196" t="s">
        <v>472</v>
      </c>
      <c r="B155" s="194" t="s">
        <v>297</v>
      </c>
      <c r="D155" t="s">
        <v>1</v>
      </c>
      <c r="H155" s="196" t="s">
        <v>353</v>
      </c>
    </row>
    <row r="156" spans="1:8" hidden="1" x14ac:dyDescent="0.2">
      <c r="A156" s="196" t="s">
        <v>473</v>
      </c>
      <c r="B156" s="194" t="s">
        <v>297</v>
      </c>
      <c r="D156" t="s">
        <v>1</v>
      </c>
      <c r="H156" s="196" t="s">
        <v>353</v>
      </c>
    </row>
    <row r="157" spans="1:8" hidden="1" x14ac:dyDescent="0.2">
      <c r="A157" s="196" t="s">
        <v>474</v>
      </c>
      <c r="B157" s="194" t="s">
        <v>297</v>
      </c>
      <c r="D157" t="s">
        <v>1</v>
      </c>
      <c r="H157" s="196" t="s">
        <v>353</v>
      </c>
    </row>
    <row r="158" spans="1:8" hidden="1" x14ac:dyDescent="0.2">
      <c r="A158" s="196" t="s">
        <v>475</v>
      </c>
      <c r="B158" s="194" t="s">
        <v>297</v>
      </c>
      <c r="D158" t="s">
        <v>1</v>
      </c>
      <c r="H158" s="196" t="s">
        <v>353</v>
      </c>
    </row>
    <row r="159" spans="1:8" hidden="1" x14ac:dyDescent="0.2">
      <c r="A159" s="196" t="s">
        <v>476</v>
      </c>
      <c r="B159" s="194" t="s">
        <v>297</v>
      </c>
      <c r="D159" t="s">
        <v>1</v>
      </c>
      <c r="H159" s="196" t="s">
        <v>353</v>
      </c>
    </row>
    <row r="160" spans="1:8" hidden="1" x14ac:dyDescent="0.2">
      <c r="A160" s="196" t="s">
        <v>477</v>
      </c>
      <c r="B160" s="194" t="s">
        <v>297</v>
      </c>
      <c r="D160" t="s">
        <v>1</v>
      </c>
      <c r="H160" s="196" t="s">
        <v>353</v>
      </c>
    </row>
    <row r="161" spans="1:8" hidden="1" x14ac:dyDescent="0.2">
      <c r="A161" s="196" t="s">
        <v>478</v>
      </c>
      <c r="B161" s="194" t="s">
        <v>297</v>
      </c>
      <c r="D161" t="s">
        <v>1</v>
      </c>
      <c r="H161" s="196" t="s">
        <v>353</v>
      </c>
    </row>
    <row r="162" spans="1:8" hidden="1" x14ac:dyDescent="0.2">
      <c r="A162" s="196" t="s">
        <v>479</v>
      </c>
      <c r="B162" s="194" t="s">
        <v>297</v>
      </c>
      <c r="D162" t="s">
        <v>1</v>
      </c>
      <c r="H162" s="196" t="s">
        <v>353</v>
      </c>
    </row>
    <row r="163" spans="1:8" hidden="1" x14ac:dyDescent="0.2">
      <c r="A163" s="196" t="s">
        <v>480</v>
      </c>
      <c r="B163" s="194" t="s">
        <v>297</v>
      </c>
      <c r="D163" t="s">
        <v>1</v>
      </c>
      <c r="H163" s="196" t="s">
        <v>353</v>
      </c>
    </row>
    <row r="164" spans="1:8" hidden="1" x14ac:dyDescent="0.2">
      <c r="A164" s="196" t="s">
        <v>481</v>
      </c>
      <c r="B164" s="194" t="s">
        <v>297</v>
      </c>
      <c r="D164" t="s">
        <v>1</v>
      </c>
      <c r="H164" s="196" t="s">
        <v>353</v>
      </c>
    </row>
    <row r="165" spans="1:8" hidden="1" x14ac:dyDescent="0.2">
      <c r="A165" s="196" t="s">
        <v>482</v>
      </c>
      <c r="B165" s="194" t="s">
        <v>297</v>
      </c>
      <c r="D165" t="s">
        <v>1</v>
      </c>
      <c r="H165" s="196" t="s">
        <v>353</v>
      </c>
    </row>
    <row r="166" spans="1:8" hidden="1" x14ac:dyDescent="0.2">
      <c r="A166" s="196" t="s">
        <v>483</v>
      </c>
      <c r="B166" s="194" t="s">
        <v>297</v>
      </c>
      <c r="D166" t="s">
        <v>167</v>
      </c>
      <c r="H166" s="196" t="s">
        <v>353</v>
      </c>
    </row>
    <row r="167" spans="1:8" hidden="1" x14ac:dyDescent="0.2">
      <c r="A167" s="196" t="s">
        <v>484</v>
      </c>
      <c r="B167" s="194" t="s">
        <v>297</v>
      </c>
      <c r="D167" t="s">
        <v>167</v>
      </c>
      <c r="H167" s="196" t="s">
        <v>353</v>
      </c>
    </row>
    <row r="168" spans="1:8" hidden="1" x14ac:dyDescent="0.2">
      <c r="A168" s="196" t="s">
        <v>485</v>
      </c>
      <c r="B168" s="194" t="s">
        <v>297</v>
      </c>
      <c r="D168" t="s">
        <v>167</v>
      </c>
      <c r="H168" s="196" t="s">
        <v>353</v>
      </c>
    </row>
    <row r="169" spans="1:8" hidden="1" x14ac:dyDescent="0.2">
      <c r="A169" s="196" t="s">
        <v>486</v>
      </c>
      <c r="B169" s="194" t="s">
        <v>297</v>
      </c>
      <c r="D169" t="s">
        <v>167</v>
      </c>
      <c r="H169" s="196" t="s">
        <v>353</v>
      </c>
    </row>
    <row r="170" spans="1:8" hidden="1" x14ac:dyDescent="0.2">
      <c r="A170" s="196" t="s">
        <v>487</v>
      </c>
      <c r="B170" s="194" t="s">
        <v>297</v>
      </c>
      <c r="D170" t="s">
        <v>167</v>
      </c>
      <c r="H170" s="196" t="s">
        <v>353</v>
      </c>
    </row>
    <row r="171" spans="1:8" hidden="1" x14ac:dyDescent="0.2">
      <c r="A171" s="196" t="s">
        <v>488</v>
      </c>
      <c r="B171" s="194" t="s">
        <v>297</v>
      </c>
      <c r="D171" t="s">
        <v>2</v>
      </c>
      <c r="H171" s="196" t="s">
        <v>353</v>
      </c>
    </row>
    <row r="172" spans="1:8" hidden="1" x14ac:dyDescent="0.2">
      <c r="A172" s="196" t="s">
        <v>489</v>
      </c>
      <c r="B172" s="194" t="s">
        <v>297</v>
      </c>
      <c r="D172" t="s">
        <v>2</v>
      </c>
      <c r="H172" s="196" t="s">
        <v>353</v>
      </c>
    </row>
    <row r="173" spans="1:8" hidden="1" x14ac:dyDescent="0.2">
      <c r="A173" s="196" t="s">
        <v>490</v>
      </c>
      <c r="B173" s="194" t="s">
        <v>297</v>
      </c>
      <c r="D173" t="s">
        <v>2</v>
      </c>
      <c r="H173" s="196" t="s">
        <v>353</v>
      </c>
    </row>
    <row r="174" spans="1:8" hidden="1" x14ac:dyDescent="0.2">
      <c r="A174" s="196" t="s">
        <v>491</v>
      </c>
      <c r="B174" s="194" t="s">
        <v>297</v>
      </c>
      <c r="D174" t="s">
        <v>2</v>
      </c>
      <c r="H174" s="196" t="s">
        <v>353</v>
      </c>
    </row>
    <row r="175" spans="1:8" hidden="1" x14ac:dyDescent="0.2">
      <c r="A175" s="196" t="s">
        <v>492</v>
      </c>
      <c r="B175" s="194" t="s">
        <v>297</v>
      </c>
      <c r="D175" t="s">
        <v>2</v>
      </c>
      <c r="H175" s="196" t="s">
        <v>353</v>
      </c>
    </row>
    <row r="176" spans="1:8" hidden="1" x14ac:dyDescent="0.2">
      <c r="A176" s="196" t="s">
        <v>493</v>
      </c>
      <c r="B176" s="194" t="s">
        <v>297</v>
      </c>
      <c r="D176" t="s">
        <v>1</v>
      </c>
      <c r="H176" s="196" t="s">
        <v>353</v>
      </c>
    </row>
    <row r="177" spans="1:8" hidden="1" x14ac:dyDescent="0.2">
      <c r="A177" s="196" t="s">
        <v>494</v>
      </c>
      <c r="B177" s="194" t="s">
        <v>297</v>
      </c>
      <c r="D177" t="s">
        <v>1</v>
      </c>
      <c r="H177" s="196" t="s">
        <v>353</v>
      </c>
    </row>
    <row r="178" spans="1:8" hidden="1" x14ac:dyDescent="0.2">
      <c r="A178" s="196" t="s">
        <v>495</v>
      </c>
      <c r="B178" s="194" t="s">
        <v>297</v>
      </c>
      <c r="D178" t="s">
        <v>1</v>
      </c>
      <c r="H178" s="196" t="s">
        <v>353</v>
      </c>
    </row>
    <row r="179" spans="1:8" hidden="1" x14ac:dyDescent="0.2">
      <c r="A179" s="196" t="s">
        <v>496</v>
      </c>
      <c r="B179" s="194" t="s">
        <v>297</v>
      </c>
      <c r="D179" t="s">
        <v>1</v>
      </c>
      <c r="H179" s="196" t="s">
        <v>353</v>
      </c>
    </row>
    <row r="180" spans="1:8" hidden="1" x14ac:dyDescent="0.2">
      <c r="A180" s="196" t="s">
        <v>497</v>
      </c>
      <c r="B180" s="194" t="s">
        <v>297</v>
      </c>
      <c r="D180" t="s">
        <v>1</v>
      </c>
      <c r="H180" s="196" t="s">
        <v>353</v>
      </c>
    </row>
    <row r="181" spans="1:8" hidden="1" x14ac:dyDescent="0.2">
      <c r="A181" s="196" t="s">
        <v>498</v>
      </c>
      <c r="B181" s="194" t="s">
        <v>297</v>
      </c>
      <c r="D181" t="s">
        <v>59</v>
      </c>
      <c r="H181" s="196" t="s">
        <v>353</v>
      </c>
    </row>
    <row r="182" spans="1:8" hidden="1" x14ac:dyDescent="0.2">
      <c r="A182" s="196" t="s">
        <v>499</v>
      </c>
      <c r="B182" s="194" t="s">
        <v>297</v>
      </c>
      <c r="D182" t="s">
        <v>59</v>
      </c>
      <c r="H182" s="196" t="s">
        <v>353</v>
      </c>
    </row>
    <row r="183" spans="1:8" hidden="1" x14ac:dyDescent="0.2">
      <c r="A183" s="196" t="s">
        <v>500</v>
      </c>
      <c r="B183" s="194" t="s">
        <v>297</v>
      </c>
      <c r="D183" t="s">
        <v>59</v>
      </c>
      <c r="H183" s="196" t="s">
        <v>353</v>
      </c>
    </row>
    <row r="184" spans="1:8" hidden="1" x14ac:dyDescent="0.2">
      <c r="A184" s="196" t="s">
        <v>501</v>
      </c>
      <c r="B184" s="194" t="s">
        <v>297</v>
      </c>
      <c r="D184" t="s">
        <v>59</v>
      </c>
      <c r="H184" s="196" t="s">
        <v>353</v>
      </c>
    </row>
    <row r="185" spans="1:8" hidden="1" x14ac:dyDescent="0.2">
      <c r="A185" s="196" t="s">
        <v>502</v>
      </c>
      <c r="B185" s="194" t="s">
        <v>297</v>
      </c>
      <c r="D185" t="s">
        <v>59</v>
      </c>
      <c r="H185" s="196" t="s">
        <v>353</v>
      </c>
    </row>
    <row r="186" spans="1:8" hidden="1" x14ac:dyDescent="0.2">
      <c r="A186" s="196" t="s">
        <v>503</v>
      </c>
      <c r="B186" s="194" t="s">
        <v>297</v>
      </c>
      <c r="D186" t="s">
        <v>60</v>
      </c>
      <c r="H186" s="196" t="s">
        <v>353</v>
      </c>
    </row>
    <row r="187" spans="1:8" hidden="1" x14ac:dyDescent="0.2">
      <c r="A187" s="196" t="s">
        <v>504</v>
      </c>
      <c r="B187" s="194" t="s">
        <v>297</v>
      </c>
      <c r="D187" t="s">
        <v>60</v>
      </c>
      <c r="H187" s="196" t="s">
        <v>353</v>
      </c>
    </row>
    <row r="188" spans="1:8" hidden="1" x14ac:dyDescent="0.2">
      <c r="A188" s="196" t="s">
        <v>505</v>
      </c>
      <c r="B188" s="194" t="s">
        <v>297</v>
      </c>
      <c r="D188" t="s">
        <v>60</v>
      </c>
      <c r="H188" s="196" t="s">
        <v>353</v>
      </c>
    </row>
    <row r="189" spans="1:8" hidden="1" x14ac:dyDescent="0.2">
      <c r="A189" s="196" t="s">
        <v>506</v>
      </c>
      <c r="B189" s="194" t="s">
        <v>297</v>
      </c>
      <c r="D189" t="s">
        <v>60</v>
      </c>
      <c r="H189" s="196" t="s">
        <v>353</v>
      </c>
    </row>
    <row r="190" spans="1:8" hidden="1" x14ac:dyDescent="0.2">
      <c r="A190" s="196" t="s">
        <v>507</v>
      </c>
      <c r="B190" s="194" t="s">
        <v>297</v>
      </c>
      <c r="D190" t="s">
        <v>60</v>
      </c>
      <c r="H190" s="196" t="s">
        <v>353</v>
      </c>
    </row>
    <row r="191" spans="1:8" hidden="1" x14ac:dyDescent="0.2">
      <c r="A191" s="196" t="s">
        <v>508</v>
      </c>
      <c r="B191" s="194" t="s">
        <v>297</v>
      </c>
      <c r="D191" t="s">
        <v>1</v>
      </c>
      <c r="H191" s="196" t="s">
        <v>353</v>
      </c>
    </row>
    <row r="192" spans="1:8" hidden="1" x14ac:dyDescent="0.2">
      <c r="A192" s="196" t="s">
        <v>509</v>
      </c>
      <c r="B192" s="194" t="s">
        <v>297</v>
      </c>
      <c r="D192" t="s">
        <v>1</v>
      </c>
      <c r="H192" s="196" t="s">
        <v>353</v>
      </c>
    </row>
    <row r="193" spans="1:8" hidden="1" x14ac:dyDescent="0.2">
      <c r="A193" s="196" t="s">
        <v>510</v>
      </c>
      <c r="B193" s="194" t="s">
        <v>297</v>
      </c>
      <c r="D193" t="s">
        <v>1</v>
      </c>
      <c r="H193" s="196" t="s">
        <v>353</v>
      </c>
    </row>
    <row r="194" spans="1:8" hidden="1" x14ac:dyDescent="0.2">
      <c r="A194" s="196" t="s">
        <v>511</v>
      </c>
      <c r="B194" s="194" t="s">
        <v>297</v>
      </c>
      <c r="D194" t="s">
        <v>1</v>
      </c>
      <c r="H194" s="196" t="s">
        <v>353</v>
      </c>
    </row>
    <row r="195" spans="1:8" hidden="1" x14ac:dyDescent="0.2">
      <c r="A195" s="196" t="s">
        <v>512</v>
      </c>
      <c r="B195" s="194" t="s">
        <v>297</v>
      </c>
      <c r="D195" t="s">
        <v>1</v>
      </c>
      <c r="H195" s="196" t="s">
        <v>353</v>
      </c>
    </row>
    <row r="196" spans="1:8" hidden="1" x14ac:dyDescent="0.2">
      <c r="A196" s="197" t="s">
        <v>513</v>
      </c>
      <c r="B196" s="194" t="s">
        <v>297</v>
      </c>
      <c r="C196" s="194" t="s">
        <v>155</v>
      </c>
      <c r="D196" s="194" t="s">
        <v>136</v>
      </c>
      <c r="E196" s="194" t="s">
        <v>283</v>
      </c>
      <c r="F196" s="194" t="s">
        <v>288</v>
      </c>
      <c r="G196" s="194" t="s">
        <v>514</v>
      </c>
      <c r="H196" s="197" t="s">
        <v>515</v>
      </c>
    </row>
    <row r="197" spans="1:8" hidden="1" x14ac:dyDescent="0.2">
      <c r="A197" s="198" t="s">
        <v>516</v>
      </c>
      <c r="B197" s="194" t="s">
        <v>297</v>
      </c>
      <c r="C197" s="194"/>
      <c r="D197" t="s">
        <v>229</v>
      </c>
      <c r="E197" s="194"/>
      <c r="F197" s="194"/>
      <c r="G197" s="194"/>
      <c r="H197" s="198" t="s">
        <v>517</v>
      </c>
    </row>
    <row r="198" spans="1:8" hidden="1" x14ac:dyDescent="0.2">
      <c r="A198" s="199" t="s">
        <v>518</v>
      </c>
      <c r="B198" s="194" t="s">
        <v>346</v>
      </c>
      <c r="C198" s="194"/>
      <c r="D198" s="194"/>
      <c r="E198" s="194"/>
      <c r="F198" s="194"/>
      <c r="G198" s="194"/>
      <c r="H198" s="199" t="s">
        <v>519</v>
      </c>
    </row>
    <row r="199" spans="1:8" hidden="1" x14ac:dyDescent="0.2">
      <c r="A199" s="199" t="s">
        <v>520</v>
      </c>
      <c r="B199" s="194" t="s">
        <v>346</v>
      </c>
      <c r="C199" s="194"/>
      <c r="D199" s="194"/>
      <c r="E199" s="194"/>
      <c r="F199" s="194"/>
      <c r="G199" s="194"/>
      <c r="H199" s="199" t="s">
        <v>519</v>
      </c>
    </row>
    <row r="200" spans="1:8" hidden="1" x14ac:dyDescent="0.2">
      <c r="A200" s="198" t="s">
        <v>521</v>
      </c>
      <c r="B200" s="194" t="s">
        <v>346</v>
      </c>
      <c r="C200" s="194"/>
      <c r="D200" s="194"/>
      <c r="E200" s="194"/>
      <c r="F200" s="194"/>
      <c r="G200" s="194"/>
      <c r="H200" s="198" t="s">
        <v>517</v>
      </c>
    </row>
    <row r="201" spans="1:8" hidden="1" x14ac:dyDescent="0.2">
      <c r="A201" s="198" t="s">
        <v>522</v>
      </c>
      <c r="B201" s="194" t="s">
        <v>346</v>
      </c>
      <c r="C201" s="194"/>
      <c r="D201" s="194"/>
      <c r="E201" s="194"/>
      <c r="F201" s="194"/>
      <c r="G201" s="194"/>
      <c r="H201" s="198" t="s">
        <v>517</v>
      </c>
    </row>
    <row r="202" spans="1:8" hidden="1" x14ac:dyDescent="0.2">
      <c r="A202" s="198" t="s">
        <v>523</v>
      </c>
      <c r="B202" s="194" t="s">
        <v>346</v>
      </c>
      <c r="C202" s="194"/>
      <c r="D202" s="194"/>
      <c r="E202" s="194"/>
      <c r="F202" s="194"/>
      <c r="G202" s="194"/>
      <c r="H202" s="198" t="s">
        <v>517</v>
      </c>
    </row>
    <row r="203" spans="1:8" hidden="1" x14ac:dyDescent="0.2">
      <c r="A203" s="198" t="s">
        <v>524</v>
      </c>
      <c r="B203" s="194" t="s">
        <v>346</v>
      </c>
      <c r="C203" s="194"/>
      <c r="D203" s="194"/>
      <c r="E203" s="194"/>
      <c r="F203" s="194"/>
      <c r="G203" s="194"/>
      <c r="H203" s="198" t="s">
        <v>517</v>
      </c>
    </row>
    <row r="204" spans="1:8" hidden="1" x14ac:dyDescent="0.2">
      <c r="A204" s="200" t="s">
        <v>525</v>
      </c>
      <c r="B204" s="194" t="s">
        <v>346</v>
      </c>
      <c r="C204" s="194"/>
      <c r="D204" s="194"/>
      <c r="E204" s="194"/>
      <c r="F204" s="194"/>
      <c r="G204" s="194"/>
      <c r="H204" s="200" t="s">
        <v>515</v>
      </c>
    </row>
    <row r="205" spans="1:8" hidden="1" x14ac:dyDescent="0.2">
      <c r="A205" s="198" t="s">
        <v>526</v>
      </c>
      <c r="B205" s="194" t="s">
        <v>346</v>
      </c>
      <c r="C205" s="194"/>
      <c r="D205" s="194"/>
      <c r="E205" s="194"/>
      <c r="F205" s="194"/>
      <c r="G205" s="194"/>
      <c r="H205" s="198" t="s">
        <v>517</v>
      </c>
    </row>
    <row r="206" spans="1:8" hidden="1" x14ac:dyDescent="0.2">
      <c r="A206" s="198" t="s">
        <v>527</v>
      </c>
      <c r="B206" s="194" t="s">
        <v>346</v>
      </c>
      <c r="C206" s="194"/>
      <c r="D206" s="194"/>
      <c r="E206" s="194"/>
      <c r="F206" s="194"/>
      <c r="G206" s="194"/>
      <c r="H206" s="198" t="s">
        <v>517</v>
      </c>
    </row>
    <row r="207" spans="1:8" hidden="1" x14ac:dyDescent="0.2">
      <c r="A207" s="198" t="s">
        <v>528</v>
      </c>
      <c r="B207" s="194" t="s">
        <v>346</v>
      </c>
      <c r="C207" s="194"/>
      <c r="D207" s="194"/>
      <c r="E207" s="194"/>
      <c r="F207" s="194"/>
      <c r="G207" s="194"/>
      <c r="H207" s="198" t="s">
        <v>517</v>
      </c>
    </row>
    <row r="208" spans="1:8" hidden="1" x14ac:dyDescent="0.2">
      <c r="A208" s="198" t="s">
        <v>529</v>
      </c>
      <c r="B208" s="194" t="s">
        <v>346</v>
      </c>
      <c r="C208" s="194"/>
      <c r="D208" s="194"/>
      <c r="E208" s="194"/>
      <c r="F208" s="194"/>
      <c r="G208" s="194"/>
      <c r="H208" s="198" t="s">
        <v>517</v>
      </c>
    </row>
    <row r="209" spans="1:8" hidden="1" x14ac:dyDescent="0.2">
      <c r="A209" s="198" t="s">
        <v>530</v>
      </c>
      <c r="B209" s="194" t="s">
        <v>346</v>
      </c>
      <c r="C209" s="194"/>
      <c r="D209" s="194"/>
      <c r="E209" s="194"/>
      <c r="F209" s="194"/>
      <c r="G209" s="194"/>
      <c r="H209" s="198" t="s">
        <v>517</v>
      </c>
    </row>
    <row r="210" spans="1:8" hidden="1" x14ac:dyDescent="0.2">
      <c r="A210" s="198" t="s">
        <v>531</v>
      </c>
      <c r="B210" s="194" t="s">
        <v>346</v>
      </c>
      <c r="C210" s="194"/>
      <c r="D210" s="194"/>
      <c r="E210" s="194"/>
      <c r="F210" s="194"/>
      <c r="G210" s="194"/>
      <c r="H210" s="198" t="s">
        <v>517</v>
      </c>
    </row>
    <row r="211" spans="1:8" hidden="1" x14ac:dyDescent="0.2">
      <c r="A211" s="198" t="s">
        <v>532</v>
      </c>
      <c r="B211" s="194" t="s">
        <v>346</v>
      </c>
      <c r="C211" s="194"/>
      <c r="D211" s="194"/>
      <c r="E211" s="194"/>
      <c r="F211" s="194"/>
      <c r="G211" s="194"/>
      <c r="H211" s="198" t="s">
        <v>517</v>
      </c>
    </row>
    <row r="212" spans="1:8" hidden="1" x14ac:dyDescent="0.2">
      <c r="A212" s="198" t="s">
        <v>533</v>
      </c>
      <c r="B212" s="194" t="s">
        <v>346</v>
      </c>
      <c r="C212" s="194"/>
      <c r="D212" s="194"/>
      <c r="E212" s="194"/>
      <c r="F212" s="194"/>
      <c r="G212" s="194"/>
      <c r="H212" s="198" t="s">
        <v>517</v>
      </c>
    </row>
    <row r="213" spans="1:8" hidden="1" x14ac:dyDescent="0.2">
      <c r="A213" s="198" t="s">
        <v>534</v>
      </c>
      <c r="B213" s="194" t="s">
        <v>346</v>
      </c>
      <c r="C213" s="194"/>
      <c r="D213" s="194"/>
      <c r="E213" s="194"/>
      <c r="F213" s="194"/>
      <c r="G213" s="194"/>
      <c r="H213" s="198" t="s">
        <v>517</v>
      </c>
    </row>
    <row r="214" spans="1:8" hidden="1" x14ac:dyDescent="0.2">
      <c r="A214" s="198" t="s">
        <v>535</v>
      </c>
      <c r="B214" s="194" t="s">
        <v>346</v>
      </c>
      <c r="C214" s="194"/>
      <c r="D214" s="194"/>
      <c r="E214" s="194"/>
      <c r="F214" s="194"/>
      <c r="G214" s="194"/>
      <c r="H214" s="198" t="s">
        <v>517</v>
      </c>
    </row>
    <row r="215" spans="1:8" hidden="1" x14ac:dyDescent="0.2">
      <c r="A215" s="198" t="s">
        <v>536</v>
      </c>
      <c r="B215" s="194" t="s">
        <v>346</v>
      </c>
      <c r="C215" s="194"/>
      <c r="D215" s="194"/>
      <c r="E215" s="194"/>
      <c r="F215" s="194"/>
      <c r="G215" s="194"/>
      <c r="H215" s="198" t="s">
        <v>517</v>
      </c>
    </row>
    <row r="216" spans="1:8" hidden="1" x14ac:dyDescent="0.2">
      <c r="A216" s="198" t="s">
        <v>537</v>
      </c>
      <c r="B216" s="194" t="s">
        <v>346</v>
      </c>
      <c r="C216" s="194"/>
      <c r="D216" s="194"/>
      <c r="E216" s="194"/>
      <c r="F216" s="194"/>
      <c r="G216" s="194"/>
      <c r="H216" s="198" t="s">
        <v>517</v>
      </c>
    </row>
    <row r="217" spans="1:8" hidden="1" x14ac:dyDescent="0.2">
      <c r="A217" s="198" t="s">
        <v>538</v>
      </c>
      <c r="B217" s="194" t="s">
        <v>346</v>
      </c>
      <c r="C217" s="194"/>
      <c r="D217" s="194"/>
      <c r="E217" s="194"/>
      <c r="F217" s="194"/>
      <c r="G217" s="194"/>
      <c r="H217" s="198" t="s">
        <v>517</v>
      </c>
    </row>
    <row r="218" spans="1:8" hidden="1" x14ac:dyDescent="0.2">
      <c r="A218" s="198" t="s">
        <v>539</v>
      </c>
      <c r="B218" s="194" t="s">
        <v>346</v>
      </c>
      <c r="C218" s="194"/>
      <c r="D218" s="194"/>
      <c r="E218" s="194"/>
      <c r="F218" s="194"/>
      <c r="G218" s="194"/>
      <c r="H218" s="198" t="s">
        <v>517</v>
      </c>
    </row>
    <row r="219" spans="1:8" hidden="1" x14ac:dyDescent="0.2">
      <c r="A219" s="198" t="s">
        <v>540</v>
      </c>
      <c r="B219" s="194" t="s">
        <v>346</v>
      </c>
      <c r="C219" s="194"/>
      <c r="D219" s="194"/>
      <c r="E219" s="194"/>
      <c r="F219" s="194"/>
      <c r="G219" s="194"/>
      <c r="H219" s="198" t="s">
        <v>517</v>
      </c>
    </row>
    <row r="220" spans="1:8" hidden="1" x14ac:dyDescent="0.2">
      <c r="A220" s="201" t="s">
        <v>541</v>
      </c>
      <c r="B220" s="194" t="s">
        <v>346</v>
      </c>
      <c r="C220" s="194"/>
      <c r="D220" s="194"/>
      <c r="E220" s="194"/>
      <c r="F220" s="194"/>
      <c r="G220" s="194"/>
      <c r="H220" s="201" t="s">
        <v>542</v>
      </c>
    </row>
    <row r="221" spans="1:8" hidden="1" x14ac:dyDescent="0.2">
      <c r="A221" s="201" t="s">
        <v>543</v>
      </c>
      <c r="B221" s="194" t="s">
        <v>346</v>
      </c>
      <c r="C221" s="194"/>
      <c r="D221" s="194"/>
      <c r="E221" s="194"/>
      <c r="F221" s="194"/>
      <c r="G221" s="194"/>
      <c r="H221" s="201" t="s">
        <v>542</v>
      </c>
    </row>
    <row r="222" spans="1:8" hidden="1" x14ac:dyDescent="0.2">
      <c r="A222" s="201" t="s">
        <v>544</v>
      </c>
      <c r="B222" s="194" t="s">
        <v>346</v>
      </c>
      <c r="C222" s="194"/>
      <c r="D222" s="194"/>
      <c r="E222" s="194"/>
      <c r="F222" s="194"/>
      <c r="G222" s="194"/>
      <c r="H222" s="201" t="s">
        <v>542</v>
      </c>
    </row>
    <row r="223" spans="1:8" hidden="1" x14ac:dyDescent="0.2">
      <c r="A223" s="201" t="s">
        <v>545</v>
      </c>
      <c r="B223" s="194" t="s">
        <v>346</v>
      </c>
      <c r="C223" s="194"/>
      <c r="D223" s="194"/>
      <c r="E223" s="194"/>
      <c r="F223" s="194"/>
      <c r="G223" s="194"/>
      <c r="H223" s="201" t="s">
        <v>542</v>
      </c>
    </row>
    <row r="224" spans="1:8" hidden="1" x14ac:dyDescent="0.2">
      <c r="A224" s="201" t="s">
        <v>546</v>
      </c>
      <c r="B224" s="194" t="s">
        <v>346</v>
      </c>
      <c r="C224" s="194"/>
      <c r="D224" s="194"/>
      <c r="E224" s="194"/>
      <c r="F224" s="194"/>
      <c r="G224" s="194"/>
      <c r="H224" s="201" t="s">
        <v>542</v>
      </c>
    </row>
    <row r="225" spans="1:8" hidden="1" x14ac:dyDescent="0.2">
      <c r="A225" s="201" t="s">
        <v>547</v>
      </c>
      <c r="B225" s="194" t="s">
        <v>346</v>
      </c>
      <c r="C225" s="194"/>
      <c r="D225" s="194"/>
      <c r="E225" s="194"/>
      <c r="F225" s="194"/>
      <c r="G225" s="194"/>
      <c r="H225" s="201" t="s">
        <v>542</v>
      </c>
    </row>
    <row r="226" spans="1:8" hidden="1" x14ac:dyDescent="0.2">
      <c r="A226" s="201" t="s">
        <v>548</v>
      </c>
      <c r="B226" s="194" t="s">
        <v>346</v>
      </c>
      <c r="C226" s="194"/>
      <c r="D226" s="194"/>
      <c r="E226" s="194"/>
      <c r="F226" s="194"/>
      <c r="G226" s="194"/>
      <c r="H226" s="201" t="s">
        <v>542</v>
      </c>
    </row>
    <row r="227" spans="1:8" hidden="1" x14ac:dyDescent="0.2">
      <c r="A227" s="201" t="s">
        <v>549</v>
      </c>
      <c r="B227" s="194" t="s">
        <v>346</v>
      </c>
      <c r="C227" s="194"/>
      <c r="D227" s="194"/>
      <c r="E227" s="194"/>
      <c r="F227" s="194"/>
      <c r="G227" s="194"/>
      <c r="H227" s="201" t="s">
        <v>542</v>
      </c>
    </row>
    <row r="228" spans="1:8" hidden="1" x14ac:dyDescent="0.2">
      <c r="A228" s="202" t="s">
        <v>550</v>
      </c>
      <c r="B228" s="194" t="s">
        <v>346</v>
      </c>
      <c r="C228" s="194"/>
      <c r="D228" s="194"/>
      <c r="E228" s="194"/>
      <c r="F228" s="194"/>
      <c r="G228" s="194"/>
      <c r="H228" s="202" t="s">
        <v>551</v>
      </c>
    </row>
    <row r="229" spans="1:8" hidden="1" x14ac:dyDescent="0.2">
      <c r="A229" s="202" t="s">
        <v>552</v>
      </c>
      <c r="B229" s="194" t="s">
        <v>346</v>
      </c>
      <c r="C229" s="194"/>
      <c r="D229" s="194"/>
      <c r="E229" s="194"/>
      <c r="F229" s="194"/>
      <c r="G229" s="194"/>
      <c r="H229" s="202" t="s">
        <v>551</v>
      </c>
    </row>
    <row r="230" spans="1:8" hidden="1" x14ac:dyDescent="0.2">
      <c r="A230" s="202" t="s">
        <v>553</v>
      </c>
      <c r="B230" s="194" t="s">
        <v>346</v>
      </c>
      <c r="C230" s="194"/>
      <c r="D230" s="194"/>
      <c r="E230" s="194"/>
      <c r="F230" s="194"/>
      <c r="G230" s="194"/>
      <c r="H230" s="202" t="s">
        <v>551</v>
      </c>
    </row>
    <row r="231" spans="1:8" hidden="1" x14ac:dyDescent="0.2">
      <c r="A231" s="202" t="s">
        <v>554</v>
      </c>
      <c r="B231" s="194" t="s">
        <v>346</v>
      </c>
      <c r="C231" s="194"/>
      <c r="D231" s="194"/>
      <c r="E231" s="194"/>
      <c r="F231" s="194"/>
      <c r="G231" s="194"/>
      <c r="H231" s="202" t="s">
        <v>551</v>
      </c>
    </row>
    <row r="232" spans="1:8" hidden="1" x14ac:dyDescent="0.2">
      <c r="A232" s="202" t="s">
        <v>555</v>
      </c>
      <c r="B232" s="194" t="s">
        <v>346</v>
      </c>
      <c r="C232" s="194"/>
      <c r="D232" s="194"/>
      <c r="E232" s="194"/>
      <c r="F232" s="194"/>
      <c r="G232" s="194"/>
      <c r="H232" s="202" t="s">
        <v>551</v>
      </c>
    </row>
    <row r="233" spans="1:8" hidden="1" x14ac:dyDescent="0.2">
      <c r="A233" s="202" t="s">
        <v>556</v>
      </c>
      <c r="B233" s="194" t="s">
        <v>346</v>
      </c>
      <c r="C233" s="194"/>
      <c r="D233" s="194"/>
      <c r="E233" s="194"/>
      <c r="F233" s="194"/>
      <c r="G233" s="194"/>
      <c r="H233" s="202" t="s">
        <v>551</v>
      </c>
    </row>
    <row r="234" spans="1:8" hidden="1" x14ac:dyDescent="0.2">
      <c r="A234" s="202" t="s">
        <v>557</v>
      </c>
      <c r="B234" s="194" t="s">
        <v>346</v>
      </c>
      <c r="C234" s="194"/>
      <c r="D234" s="194"/>
      <c r="E234" s="194"/>
      <c r="F234" s="194"/>
      <c r="G234" s="194"/>
      <c r="H234" s="202" t="s">
        <v>551</v>
      </c>
    </row>
    <row r="235" spans="1:8" hidden="1" x14ac:dyDescent="0.2">
      <c r="A235" s="202" t="s">
        <v>558</v>
      </c>
      <c r="B235" s="194" t="s">
        <v>346</v>
      </c>
      <c r="C235" s="194"/>
      <c r="D235" s="194"/>
      <c r="E235" s="194"/>
      <c r="F235" s="194"/>
      <c r="G235" s="194"/>
      <c r="H235" s="202" t="s">
        <v>551</v>
      </c>
    </row>
    <row r="236" spans="1:8" hidden="1" x14ac:dyDescent="0.2">
      <c r="A236" s="202" t="s">
        <v>559</v>
      </c>
      <c r="B236" s="194" t="s">
        <v>346</v>
      </c>
      <c r="C236" s="194"/>
      <c r="D236" s="194"/>
      <c r="E236" s="194"/>
      <c r="F236" s="194"/>
      <c r="G236" s="194"/>
      <c r="H236" s="202" t="s">
        <v>551</v>
      </c>
    </row>
    <row r="237" spans="1:8" hidden="1" x14ac:dyDescent="0.2">
      <c r="A237" s="202" t="s">
        <v>560</v>
      </c>
      <c r="B237" s="194" t="s">
        <v>346</v>
      </c>
      <c r="C237" s="194"/>
      <c r="D237" s="194"/>
      <c r="E237" s="194"/>
      <c r="F237" s="194"/>
      <c r="G237" s="194"/>
      <c r="H237" s="202" t="s">
        <v>551</v>
      </c>
    </row>
    <row r="238" spans="1:8" hidden="1" x14ac:dyDescent="0.2">
      <c r="A238" s="202" t="s">
        <v>561</v>
      </c>
      <c r="B238" s="194" t="s">
        <v>346</v>
      </c>
      <c r="C238" s="194"/>
      <c r="D238" s="194"/>
      <c r="E238" s="194"/>
      <c r="F238" s="194"/>
      <c r="G238" s="194"/>
      <c r="H238" s="202" t="s">
        <v>551</v>
      </c>
    </row>
    <row r="239" spans="1:8" hidden="1" x14ac:dyDescent="0.2">
      <c r="A239" s="202" t="s">
        <v>562</v>
      </c>
      <c r="B239" s="194" t="s">
        <v>346</v>
      </c>
      <c r="C239" s="194"/>
      <c r="D239" s="194"/>
      <c r="E239" s="194"/>
      <c r="F239" s="194"/>
      <c r="G239" s="194"/>
      <c r="H239" s="202" t="s">
        <v>551</v>
      </c>
    </row>
    <row r="240" spans="1:8" hidden="1" x14ac:dyDescent="0.2">
      <c r="A240" s="202" t="s">
        <v>563</v>
      </c>
      <c r="B240" s="194" t="s">
        <v>346</v>
      </c>
      <c r="C240" s="194"/>
      <c r="D240" s="194"/>
      <c r="E240" s="194"/>
      <c r="F240" s="194"/>
      <c r="G240" s="194"/>
      <c r="H240" s="202" t="s">
        <v>551</v>
      </c>
    </row>
    <row r="241" spans="1:8" hidden="1" x14ac:dyDescent="0.2">
      <c r="A241" s="202" t="s">
        <v>564</v>
      </c>
      <c r="B241" s="194" t="s">
        <v>346</v>
      </c>
      <c r="C241" s="194"/>
      <c r="D241" s="194"/>
      <c r="E241" s="194"/>
      <c r="F241" s="194"/>
      <c r="G241" s="194"/>
      <c r="H241" s="202" t="s">
        <v>551</v>
      </c>
    </row>
    <row r="242" spans="1:8" hidden="1" x14ac:dyDescent="0.2">
      <c r="A242" s="202" t="s">
        <v>565</v>
      </c>
      <c r="B242" s="194" t="s">
        <v>346</v>
      </c>
      <c r="C242" s="194"/>
      <c r="D242" s="194"/>
      <c r="E242" s="194"/>
      <c r="F242" s="194"/>
      <c r="G242" s="194"/>
      <c r="H242" s="202" t="s">
        <v>551</v>
      </c>
    </row>
    <row r="243" spans="1:8" hidden="1" x14ac:dyDescent="0.2">
      <c r="A243" s="202" t="s">
        <v>566</v>
      </c>
      <c r="B243" s="194" t="s">
        <v>346</v>
      </c>
      <c r="C243" s="194"/>
      <c r="D243" s="194"/>
      <c r="E243" s="194"/>
      <c r="F243" s="194"/>
      <c r="G243" s="194"/>
      <c r="H243" s="202" t="s">
        <v>551</v>
      </c>
    </row>
    <row r="244" spans="1:8" hidden="1" x14ac:dyDescent="0.2">
      <c r="A244" s="202" t="s">
        <v>567</v>
      </c>
      <c r="B244" s="194" t="s">
        <v>346</v>
      </c>
      <c r="C244" s="194"/>
      <c r="D244" s="194"/>
      <c r="E244" s="194"/>
      <c r="F244" s="194"/>
      <c r="G244" s="194"/>
      <c r="H244" s="202" t="s">
        <v>551</v>
      </c>
    </row>
    <row r="245" spans="1:8" hidden="1" x14ac:dyDescent="0.2">
      <c r="A245" s="202" t="s">
        <v>568</v>
      </c>
      <c r="B245" s="194" t="s">
        <v>346</v>
      </c>
      <c r="C245" s="194"/>
      <c r="D245" s="194"/>
      <c r="E245" s="194"/>
      <c r="F245" s="194"/>
      <c r="G245" s="194"/>
      <c r="H245" s="202" t="s">
        <v>551</v>
      </c>
    </row>
    <row r="246" spans="1:8" hidden="1" x14ac:dyDescent="0.2">
      <c r="A246" s="202" t="s">
        <v>569</v>
      </c>
      <c r="B246" s="194" t="s">
        <v>346</v>
      </c>
      <c r="C246" s="194"/>
      <c r="D246" s="194"/>
      <c r="E246" s="194"/>
      <c r="F246" s="194"/>
      <c r="G246" s="194"/>
      <c r="H246" s="202" t="s">
        <v>551</v>
      </c>
    </row>
    <row r="247" spans="1:8" hidden="1" x14ac:dyDescent="0.2">
      <c r="A247" s="202" t="s">
        <v>570</v>
      </c>
      <c r="B247" s="194" t="s">
        <v>346</v>
      </c>
      <c r="C247" s="194"/>
      <c r="D247" s="194"/>
      <c r="E247" s="194"/>
      <c r="F247" s="194"/>
      <c r="G247" s="194"/>
      <c r="H247" s="202" t="s">
        <v>551</v>
      </c>
    </row>
    <row r="248" spans="1:8" hidden="1" x14ac:dyDescent="0.2">
      <c r="A248" s="203" t="s">
        <v>571</v>
      </c>
      <c r="B248" s="194" t="s">
        <v>346</v>
      </c>
      <c r="C248" s="194"/>
      <c r="D248" s="194"/>
      <c r="E248" s="194"/>
      <c r="F248" s="194"/>
      <c r="G248" s="194"/>
      <c r="H248" s="203" t="s">
        <v>572</v>
      </c>
    </row>
    <row r="249" spans="1:8" hidden="1" x14ac:dyDescent="0.2">
      <c r="A249" s="203" t="s">
        <v>573</v>
      </c>
      <c r="B249" s="194" t="s">
        <v>346</v>
      </c>
      <c r="C249" s="194"/>
      <c r="D249" s="194"/>
      <c r="E249" s="194"/>
      <c r="F249" s="194"/>
      <c r="G249" s="194"/>
      <c r="H249" s="203" t="s">
        <v>572</v>
      </c>
    </row>
    <row r="250" spans="1:8" hidden="1" x14ac:dyDescent="0.2">
      <c r="A250" s="203" t="s">
        <v>574</v>
      </c>
      <c r="B250" s="194" t="s">
        <v>346</v>
      </c>
      <c r="C250" s="194"/>
      <c r="D250" s="194"/>
      <c r="E250" s="194"/>
      <c r="F250" s="194"/>
      <c r="G250" s="194"/>
      <c r="H250" s="203" t="s">
        <v>572</v>
      </c>
    </row>
    <row r="251" spans="1:8" hidden="1" x14ac:dyDescent="0.2">
      <c r="A251" s="203" t="s">
        <v>575</v>
      </c>
      <c r="B251" s="194" t="s">
        <v>346</v>
      </c>
      <c r="C251" s="194"/>
      <c r="D251" s="194"/>
      <c r="E251" s="194"/>
      <c r="F251" s="194"/>
      <c r="G251" s="194"/>
      <c r="H251" s="203" t="s">
        <v>572</v>
      </c>
    </row>
    <row r="252" spans="1:8" hidden="1" x14ac:dyDescent="0.2">
      <c r="A252" s="203" t="s">
        <v>576</v>
      </c>
      <c r="B252" s="194" t="s">
        <v>346</v>
      </c>
      <c r="C252" s="194"/>
      <c r="D252" s="194"/>
      <c r="E252" s="194"/>
      <c r="F252" s="194"/>
      <c r="G252" s="194"/>
      <c r="H252" s="203" t="s">
        <v>572</v>
      </c>
    </row>
    <row r="253" spans="1:8" hidden="1" x14ac:dyDescent="0.2">
      <c r="A253" s="203" t="s">
        <v>577</v>
      </c>
      <c r="B253" s="194" t="s">
        <v>346</v>
      </c>
      <c r="C253" s="194"/>
      <c r="D253" s="194"/>
      <c r="E253" s="194"/>
      <c r="F253" s="194"/>
      <c r="G253" s="194"/>
      <c r="H253" s="203" t="s">
        <v>572</v>
      </c>
    </row>
    <row r="254" spans="1:8" hidden="1" x14ac:dyDescent="0.2">
      <c r="A254" s="199" t="s">
        <v>578</v>
      </c>
      <c r="B254" s="194" t="s">
        <v>346</v>
      </c>
      <c r="C254" s="194"/>
      <c r="D254" s="194"/>
      <c r="E254" s="194"/>
      <c r="F254" s="194"/>
      <c r="G254" s="194"/>
      <c r="H254" s="199" t="s">
        <v>519</v>
      </c>
    </row>
    <row r="255" spans="1:8" hidden="1" x14ac:dyDescent="0.2">
      <c r="A255" s="203" t="s">
        <v>579</v>
      </c>
      <c r="B255" s="194" t="s">
        <v>346</v>
      </c>
      <c r="C255" s="194"/>
      <c r="D255" s="194"/>
      <c r="E255" s="194"/>
      <c r="F255" s="194"/>
      <c r="G255" s="194"/>
      <c r="H255" s="203" t="s">
        <v>572</v>
      </c>
    </row>
    <row r="256" spans="1:8" hidden="1" x14ac:dyDescent="0.2">
      <c r="A256" s="203" t="s">
        <v>580</v>
      </c>
      <c r="B256" s="194" t="s">
        <v>346</v>
      </c>
      <c r="C256" s="194"/>
      <c r="D256" s="194"/>
      <c r="E256" s="194"/>
      <c r="F256" s="194"/>
      <c r="G256" s="194"/>
      <c r="H256" s="203" t="s">
        <v>572</v>
      </c>
    </row>
    <row r="257" spans="1:8" hidden="1" x14ac:dyDescent="0.2">
      <c r="A257" s="203" t="s">
        <v>581</v>
      </c>
      <c r="B257" s="194" t="s">
        <v>346</v>
      </c>
      <c r="C257" s="194"/>
      <c r="D257" s="194"/>
      <c r="E257" s="194"/>
      <c r="F257" s="194"/>
      <c r="G257" s="194"/>
      <c r="H257" s="203" t="s">
        <v>572</v>
      </c>
    </row>
    <row r="258" spans="1:8" hidden="1" x14ac:dyDescent="0.2">
      <c r="A258" s="203" t="s">
        <v>582</v>
      </c>
      <c r="B258" s="194" t="s">
        <v>346</v>
      </c>
      <c r="C258" s="194"/>
      <c r="D258" s="194"/>
      <c r="E258" s="194"/>
      <c r="F258" s="194"/>
      <c r="G258" s="194"/>
      <c r="H258" s="203" t="s">
        <v>572</v>
      </c>
    </row>
    <row r="259" spans="1:8" hidden="1" x14ac:dyDescent="0.2">
      <c r="A259" s="203" t="s">
        <v>583</v>
      </c>
      <c r="B259" s="194" t="s">
        <v>346</v>
      </c>
      <c r="C259" s="194"/>
      <c r="D259" s="194"/>
      <c r="E259" s="194"/>
      <c r="F259" s="194"/>
      <c r="G259" s="194"/>
      <c r="H259" s="203" t="s">
        <v>572</v>
      </c>
    </row>
    <row r="260" spans="1:8" hidden="1" x14ac:dyDescent="0.2">
      <c r="A260" s="203" t="s">
        <v>584</v>
      </c>
      <c r="B260" s="194" t="s">
        <v>346</v>
      </c>
      <c r="C260" s="194"/>
      <c r="D260" s="194"/>
      <c r="E260" s="194"/>
      <c r="F260" s="194"/>
      <c r="G260" s="194"/>
      <c r="H260" s="203" t="s">
        <v>572</v>
      </c>
    </row>
    <row r="261" spans="1:8" hidden="1" x14ac:dyDescent="0.2">
      <c r="A261" s="202" t="s">
        <v>585</v>
      </c>
      <c r="B261" s="194" t="s">
        <v>346</v>
      </c>
      <c r="C261" s="194"/>
      <c r="D261" s="194"/>
      <c r="E261" s="194"/>
      <c r="F261" s="194"/>
      <c r="G261" s="194"/>
      <c r="H261" s="202" t="s">
        <v>551</v>
      </c>
    </row>
    <row r="262" spans="1:8" hidden="1" x14ac:dyDescent="0.2">
      <c r="A262" s="202" t="s">
        <v>586</v>
      </c>
      <c r="B262" s="194" t="s">
        <v>346</v>
      </c>
      <c r="C262" s="194"/>
      <c r="D262" s="194"/>
      <c r="E262" s="194"/>
      <c r="F262" s="194"/>
      <c r="G262" s="194"/>
      <c r="H262" s="202" t="s">
        <v>551</v>
      </c>
    </row>
    <row r="263" spans="1:8" hidden="1" x14ac:dyDescent="0.2">
      <c r="A263" s="202" t="s">
        <v>587</v>
      </c>
      <c r="B263" s="194" t="s">
        <v>346</v>
      </c>
      <c r="C263" s="194"/>
      <c r="D263" s="194"/>
      <c r="E263" s="194"/>
      <c r="F263" s="194"/>
      <c r="G263" s="194"/>
      <c r="H263" s="202" t="s">
        <v>551</v>
      </c>
    </row>
    <row r="264" spans="1:8" hidden="1" x14ac:dyDescent="0.2">
      <c r="A264" s="202" t="s">
        <v>588</v>
      </c>
      <c r="B264" s="194" t="s">
        <v>346</v>
      </c>
      <c r="C264" s="194"/>
      <c r="D264" s="194"/>
      <c r="E264" s="194"/>
      <c r="F264" s="194"/>
      <c r="G264" s="194"/>
      <c r="H264" s="202" t="s">
        <v>551</v>
      </c>
    </row>
    <row r="265" spans="1:8" hidden="1" x14ac:dyDescent="0.2">
      <c r="A265" s="202" t="s">
        <v>589</v>
      </c>
      <c r="B265" s="194" t="s">
        <v>346</v>
      </c>
      <c r="C265" s="194"/>
      <c r="D265" s="194"/>
      <c r="E265" s="194"/>
      <c r="F265" s="194"/>
      <c r="G265" s="194"/>
      <c r="H265" s="202" t="s">
        <v>551</v>
      </c>
    </row>
    <row r="266" spans="1:8" hidden="1" x14ac:dyDescent="0.2">
      <c r="A266" s="202" t="s">
        <v>590</v>
      </c>
      <c r="B266" s="194" t="s">
        <v>346</v>
      </c>
      <c r="C266" s="194"/>
      <c r="D266" s="194"/>
      <c r="E266" s="194"/>
      <c r="F266" s="194"/>
      <c r="G266" s="194"/>
      <c r="H266" s="202" t="s">
        <v>551</v>
      </c>
    </row>
    <row r="267" spans="1:8" hidden="1" x14ac:dyDescent="0.2">
      <c r="A267" s="202" t="s">
        <v>591</v>
      </c>
      <c r="B267" s="194" t="s">
        <v>346</v>
      </c>
      <c r="C267" s="194"/>
      <c r="D267" s="194"/>
      <c r="E267" s="194"/>
      <c r="F267" s="194"/>
      <c r="G267" s="194"/>
      <c r="H267" s="202" t="s">
        <v>551</v>
      </c>
    </row>
    <row r="268" spans="1:8" hidden="1" x14ac:dyDescent="0.2">
      <c r="A268" s="202" t="s">
        <v>592</v>
      </c>
      <c r="B268" s="194" t="s">
        <v>346</v>
      </c>
      <c r="C268" s="194"/>
      <c r="D268" s="194"/>
      <c r="E268" s="194"/>
      <c r="F268" s="194"/>
      <c r="G268" s="194"/>
      <c r="H268" s="202" t="s">
        <v>551</v>
      </c>
    </row>
    <row r="269" spans="1:8" hidden="1" x14ac:dyDescent="0.2">
      <c r="A269" s="202" t="s">
        <v>593</v>
      </c>
      <c r="B269" s="194" t="s">
        <v>346</v>
      </c>
      <c r="C269" s="194"/>
      <c r="D269" s="194"/>
      <c r="E269" s="194"/>
      <c r="F269" s="194"/>
      <c r="G269" s="194"/>
      <c r="H269" s="202" t="s">
        <v>551</v>
      </c>
    </row>
    <row r="270" spans="1:8" hidden="1" x14ac:dyDescent="0.2">
      <c r="A270" s="202" t="s">
        <v>594</v>
      </c>
      <c r="B270" s="194" t="s">
        <v>346</v>
      </c>
      <c r="C270" s="194"/>
      <c r="D270" s="194"/>
      <c r="E270" s="194"/>
      <c r="F270" s="194"/>
      <c r="G270" s="194"/>
      <c r="H270" s="202" t="s">
        <v>551</v>
      </c>
    </row>
    <row r="271" spans="1:8" hidden="1" x14ac:dyDescent="0.2">
      <c r="A271" s="202" t="s">
        <v>595</v>
      </c>
      <c r="B271" s="194" t="s">
        <v>346</v>
      </c>
      <c r="C271" s="194"/>
      <c r="D271" s="194"/>
      <c r="E271" s="194"/>
      <c r="F271" s="194"/>
      <c r="G271" s="194"/>
      <c r="H271" s="202" t="s">
        <v>551</v>
      </c>
    </row>
    <row r="272" spans="1:8" hidden="1" x14ac:dyDescent="0.2">
      <c r="A272" s="202" t="s">
        <v>596</v>
      </c>
      <c r="B272" s="194" t="s">
        <v>346</v>
      </c>
      <c r="C272" s="194"/>
      <c r="D272" s="194"/>
      <c r="E272" s="194"/>
      <c r="F272" s="194"/>
      <c r="G272" s="194"/>
      <c r="H272" s="202" t="s">
        <v>551</v>
      </c>
    </row>
    <row r="273" spans="1:8" hidden="1" x14ac:dyDescent="0.2">
      <c r="A273" s="202" t="s">
        <v>597</v>
      </c>
      <c r="B273" s="194" t="s">
        <v>346</v>
      </c>
      <c r="C273" s="194"/>
      <c r="D273" s="194"/>
      <c r="E273" s="194"/>
      <c r="F273" s="194"/>
      <c r="G273" s="194"/>
      <c r="H273" s="202" t="s">
        <v>551</v>
      </c>
    </row>
    <row r="274" spans="1:8" hidden="1" x14ac:dyDescent="0.2">
      <c r="A274" s="202" t="s">
        <v>598</v>
      </c>
      <c r="B274" s="194" t="s">
        <v>346</v>
      </c>
      <c r="C274" s="194"/>
      <c r="D274" s="194"/>
      <c r="E274" s="194"/>
      <c r="F274" s="194"/>
      <c r="G274" s="194"/>
      <c r="H274" s="202" t="s">
        <v>551</v>
      </c>
    </row>
    <row r="275" spans="1:8" hidden="1" x14ac:dyDescent="0.2">
      <c r="A275" s="202" t="s">
        <v>599</v>
      </c>
      <c r="B275" s="194" t="s">
        <v>346</v>
      </c>
      <c r="C275" s="194"/>
      <c r="D275" s="194"/>
      <c r="E275" s="194"/>
      <c r="F275" s="194"/>
      <c r="G275" s="194"/>
      <c r="H275" s="202" t="s">
        <v>551</v>
      </c>
    </row>
    <row r="276" spans="1:8" hidden="1" x14ac:dyDescent="0.2">
      <c r="A276" s="202" t="s">
        <v>600</v>
      </c>
      <c r="B276" s="194" t="s">
        <v>346</v>
      </c>
      <c r="C276" s="194"/>
      <c r="D276" s="194"/>
      <c r="E276" s="194"/>
      <c r="F276" s="194"/>
      <c r="G276" s="194"/>
      <c r="H276" s="202" t="s">
        <v>551</v>
      </c>
    </row>
    <row r="277" spans="1:8" hidden="1" x14ac:dyDescent="0.2">
      <c r="A277" s="202" t="s">
        <v>601</v>
      </c>
      <c r="B277" s="194" t="s">
        <v>346</v>
      </c>
      <c r="C277" s="194"/>
      <c r="D277" s="194"/>
      <c r="E277" s="194"/>
      <c r="F277" s="194"/>
      <c r="G277" s="194"/>
      <c r="H277" s="202" t="s">
        <v>551</v>
      </c>
    </row>
    <row r="278" spans="1:8" hidden="1" x14ac:dyDescent="0.2">
      <c r="A278" s="202" t="s">
        <v>602</v>
      </c>
      <c r="B278" s="194" t="s">
        <v>346</v>
      </c>
      <c r="C278" s="194"/>
      <c r="D278" s="194"/>
      <c r="E278" s="194"/>
      <c r="F278" s="194"/>
      <c r="G278" s="194"/>
      <c r="H278" s="202" t="s">
        <v>551</v>
      </c>
    </row>
    <row r="279" spans="1:8" hidden="1" x14ac:dyDescent="0.2">
      <c r="A279" s="202" t="s">
        <v>603</v>
      </c>
      <c r="B279" s="194" t="s">
        <v>346</v>
      </c>
      <c r="C279" s="194"/>
      <c r="D279" s="194"/>
      <c r="E279" s="194"/>
      <c r="F279" s="194"/>
      <c r="G279" s="194"/>
      <c r="H279" s="202" t="s">
        <v>551</v>
      </c>
    </row>
    <row r="280" spans="1:8" hidden="1" x14ac:dyDescent="0.2">
      <c r="A280" s="202" t="s">
        <v>604</v>
      </c>
      <c r="B280" s="194" t="s">
        <v>346</v>
      </c>
      <c r="C280" s="194"/>
      <c r="D280" s="194"/>
      <c r="E280" s="194"/>
      <c r="F280" s="194"/>
      <c r="G280" s="194"/>
      <c r="H280" s="202" t="s">
        <v>551</v>
      </c>
    </row>
    <row r="281" spans="1:8" hidden="1" x14ac:dyDescent="0.2">
      <c r="A281" s="202" t="s">
        <v>605</v>
      </c>
      <c r="B281" s="194" t="s">
        <v>346</v>
      </c>
      <c r="C281" s="194"/>
      <c r="D281" s="194"/>
      <c r="E281" s="194"/>
      <c r="F281" s="194"/>
      <c r="G281" s="194"/>
      <c r="H281" s="202" t="s">
        <v>551</v>
      </c>
    </row>
    <row r="282" spans="1:8" hidden="1" x14ac:dyDescent="0.2">
      <c r="A282" s="202" t="s">
        <v>606</v>
      </c>
      <c r="B282" s="194" t="s">
        <v>346</v>
      </c>
      <c r="C282" s="194"/>
      <c r="D282" s="194"/>
      <c r="E282" s="194"/>
      <c r="F282" s="194"/>
      <c r="G282" s="194"/>
      <c r="H282" s="202" t="s">
        <v>551</v>
      </c>
    </row>
    <row r="283" spans="1:8" hidden="1" x14ac:dyDescent="0.2">
      <c r="A283" s="202" t="s">
        <v>607</v>
      </c>
      <c r="B283" s="194" t="s">
        <v>346</v>
      </c>
      <c r="C283" s="194"/>
      <c r="D283" s="194"/>
      <c r="E283" s="194"/>
      <c r="F283" s="194"/>
      <c r="G283" s="194"/>
      <c r="H283" s="202" t="s">
        <v>551</v>
      </c>
    </row>
    <row r="284" spans="1:8" hidden="1" x14ac:dyDescent="0.2">
      <c r="A284" s="202" t="s">
        <v>608</v>
      </c>
      <c r="B284" s="194" t="s">
        <v>346</v>
      </c>
      <c r="C284" s="194"/>
      <c r="D284" s="194"/>
      <c r="E284" s="194"/>
      <c r="F284" s="194"/>
      <c r="G284" s="194"/>
      <c r="H284" s="202" t="s">
        <v>551</v>
      </c>
    </row>
    <row r="285" spans="1:8" hidden="1" x14ac:dyDescent="0.2">
      <c r="A285" s="202" t="s">
        <v>609</v>
      </c>
      <c r="B285" s="194" t="s">
        <v>346</v>
      </c>
      <c r="C285" s="194"/>
      <c r="D285" s="194"/>
      <c r="E285" s="194"/>
      <c r="F285" s="194"/>
      <c r="G285" s="194"/>
      <c r="H285" s="202" t="s">
        <v>551</v>
      </c>
    </row>
    <row r="286" spans="1:8" hidden="1" x14ac:dyDescent="0.2">
      <c r="A286" s="202" t="s">
        <v>610</v>
      </c>
      <c r="B286" s="194" t="s">
        <v>346</v>
      </c>
      <c r="C286" s="194"/>
      <c r="D286" s="194"/>
      <c r="E286" s="194"/>
      <c r="F286" s="194"/>
      <c r="G286" s="194"/>
      <c r="H286" s="202" t="s">
        <v>551</v>
      </c>
    </row>
    <row r="287" spans="1:8" hidden="1" x14ac:dyDescent="0.2">
      <c r="A287" s="202" t="s">
        <v>611</v>
      </c>
      <c r="B287" s="194" t="s">
        <v>346</v>
      </c>
      <c r="C287" s="194"/>
      <c r="D287" s="194"/>
      <c r="E287" s="194"/>
      <c r="F287" s="194"/>
      <c r="G287" s="194"/>
      <c r="H287" s="202" t="s">
        <v>551</v>
      </c>
    </row>
    <row r="288" spans="1:8" hidden="1" x14ac:dyDescent="0.2">
      <c r="A288" s="202" t="s">
        <v>612</v>
      </c>
      <c r="B288" s="194" t="s">
        <v>346</v>
      </c>
      <c r="C288" s="194"/>
      <c r="D288" s="194"/>
      <c r="E288" s="194"/>
      <c r="F288" s="194"/>
      <c r="G288" s="194"/>
      <c r="H288" s="202" t="s">
        <v>551</v>
      </c>
    </row>
    <row r="289" spans="1:8" hidden="1" x14ac:dyDescent="0.2">
      <c r="A289" s="202" t="s">
        <v>613</v>
      </c>
      <c r="B289" s="194" t="s">
        <v>346</v>
      </c>
      <c r="C289" s="194"/>
      <c r="D289" s="194"/>
      <c r="E289" s="194"/>
      <c r="F289" s="194"/>
      <c r="G289" s="194"/>
      <c r="H289" s="202" t="s">
        <v>551</v>
      </c>
    </row>
    <row r="290" spans="1:8" hidden="1" x14ac:dyDescent="0.2">
      <c r="A290" s="202" t="s">
        <v>614</v>
      </c>
      <c r="B290" s="194" t="s">
        <v>346</v>
      </c>
      <c r="C290" s="194"/>
      <c r="D290" s="194"/>
      <c r="E290" s="194"/>
      <c r="F290" s="194"/>
      <c r="G290" s="194"/>
      <c r="H290" s="202" t="s">
        <v>551</v>
      </c>
    </row>
    <row r="291" spans="1:8" hidden="1" x14ac:dyDescent="0.2">
      <c r="A291" s="202" t="s">
        <v>615</v>
      </c>
      <c r="B291" s="194" t="s">
        <v>346</v>
      </c>
      <c r="C291" s="194"/>
      <c r="D291" s="194"/>
      <c r="E291" s="194"/>
      <c r="F291" s="194"/>
      <c r="G291" s="194"/>
      <c r="H291" s="202" t="s">
        <v>551</v>
      </c>
    </row>
    <row r="292" spans="1:8" hidden="1" x14ac:dyDescent="0.2">
      <c r="A292" s="202" t="s">
        <v>616</v>
      </c>
      <c r="B292" s="194" t="s">
        <v>346</v>
      </c>
      <c r="C292" s="194"/>
      <c r="D292" s="194"/>
      <c r="E292" s="194"/>
      <c r="F292" s="194"/>
      <c r="G292" s="194"/>
      <c r="H292" s="202" t="s">
        <v>551</v>
      </c>
    </row>
    <row r="293" spans="1:8" hidden="1" x14ac:dyDescent="0.2">
      <c r="A293" s="202" t="s">
        <v>617</v>
      </c>
      <c r="B293" s="194" t="s">
        <v>346</v>
      </c>
      <c r="C293" s="194"/>
      <c r="D293" s="194"/>
      <c r="E293" s="194"/>
      <c r="F293" s="194"/>
      <c r="G293" s="194"/>
      <c r="H293" s="202" t="s">
        <v>551</v>
      </c>
    </row>
    <row r="294" spans="1:8" hidden="1" x14ac:dyDescent="0.2">
      <c r="A294" s="202" t="s">
        <v>618</v>
      </c>
      <c r="B294" s="194" t="s">
        <v>346</v>
      </c>
      <c r="C294" s="194"/>
      <c r="D294" s="194"/>
      <c r="E294" s="194"/>
      <c r="F294" s="194"/>
      <c r="G294" s="194"/>
      <c r="H294" s="202" t="s">
        <v>551</v>
      </c>
    </row>
    <row r="295" spans="1:8" hidden="1" x14ac:dyDescent="0.2">
      <c r="A295" s="202" t="s">
        <v>619</v>
      </c>
      <c r="B295" s="194" t="s">
        <v>346</v>
      </c>
      <c r="C295" s="194"/>
      <c r="D295" s="194"/>
      <c r="E295" s="194"/>
      <c r="F295" s="194"/>
      <c r="G295" s="194"/>
      <c r="H295" s="202" t="s">
        <v>551</v>
      </c>
    </row>
    <row r="296" spans="1:8" hidden="1" x14ac:dyDescent="0.2">
      <c r="A296" s="202" t="s">
        <v>620</v>
      </c>
      <c r="B296" s="194" t="s">
        <v>346</v>
      </c>
      <c r="C296" s="194"/>
      <c r="D296" s="194"/>
      <c r="E296" s="194"/>
      <c r="F296" s="194"/>
      <c r="G296" s="194"/>
      <c r="H296" s="202" t="s">
        <v>551</v>
      </c>
    </row>
    <row r="297" spans="1:8" hidden="1" x14ac:dyDescent="0.2">
      <c r="A297" s="202" t="s">
        <v>621</v>
      </c>
      <c r="B297" s="194" t="s">
        <v>346</v>
      </c>
      <c r="C297" s="194"/>
      <c r="D297" s="194"/>
      <c r="E297" s="194"/>
      <c r="F297" s="194"/>
      <c r="G297" s="194"/>
      <c r="H297" s="202" t="s">
        <v>551</v>
      </c>
    </row>
    <row r="298" spans="1:8" hidden="1" x14ac:dyDescent="0.2">
      <c r="A298" s="202" t="s">
        <v>622</v>
      </c>
      <c r="B298" s="194" t="s">
        <v>346</v>
      </c>
      <c r="C298" s="194"/>
      <c r="D298" s="194"/>
      <c r="E298" s="194"/>
      <c r="F298" s="194"/>
      <c r="G298" s="194"/>
      <c r="H298" s="202" t="s">
        <v>551</v>
      </c>
    </row>
    <row r="299" spans="1:8" hidden="1" x14ac:dyDescent="0.2">
      <c r="A299" s="202" t="s">
        <v>623</v>
      </c>
      <c r="B299" s="194" t="s">
        <v>346</v>
      </c>
      <c r="C299" s="194"/>
      <c r="D299" s="194"/>
      <c r="E299" s="194"/>
      <c r="F299" s="194"/>
      <c r="G299" s="194"/>
      <c r="H299" s="202" t="s">
        <v>551</v>
      </c>
    </row>
    <row r="300" spans="1:8" hidden="1" x14ac:dyDescent="0.2">
      <c r="A300" s="202" t="s">
        <v>624</v>
      </c>
      <c r="B300" s="194" t="s">
        <v>346</v>
      </c>
      <c r="C300" s="194"/>
      <c r="D300" s="194"/>
      <c r="E300" s="194"/>
      <c r="F300" s="194"/>
      <c r="G300" s="194"/>
      <c r="H300" s="202" t="s">
        <v>551</v>
      </c>
    </row>
    <row r="301" spans="1:8" hidden="1" x14ac:dyDescent="0.2">
      <c r="A301" s="202" t="s">
        <v>625</v>
      </c>
      <c r="B301" s="194" t="s">
        <v>346</v>
      </c>
      <c r="C301" s="194"/>
      <c r="D301" s="194"/>
      <c r="E301" s="194"/>
      <c r="F301" s="194"/>
      <c r="G301" s="194"/>
      <c r="H301" s="202" t="s">
        <v>551</v>
      </c>
    </row>
    <row r="302" spans="1:8" hidden="1" x14ac:dyDescent="0.2">
      <c r="A302" s="202" t="s">
        <v>626</v>
      </c>
      <c r="B302" s="194" t="s">
        <v>346</v>
      </c>
      <c r="C302" s="194"/>
      <c r="D302" s="194"/>
      <c r="E302" s="194"/>
      <c r="F302" s="194"/>
      <c r="G302" s="194"/>
      <c r="H302" s="202" t="s">
        <v>551</v>
      </c>
    </row>
    <row r="303" spans="1:8" hidden="1" x14ac:dyDescent="0.2">
      <c r="A303" s="202" t="s">
        <v>627</v>
      </c>
      <c r="B303" s="194" t="s">
        <v>346</v>
      </c>
      <c r="C303" s="194"/>
      <c r="D303" s="194"/>
      <c r="E303" s="194"/>
      <c r="F303" s="194"/>
      <c r="G303" s="194"/>
      <c r="H303" s="202" t="s">
        <v>551</v>
      </c>
    </row>
    <row r="304" spans="1:8" hidden="1" x14ac:dyDescent="0.2">
      <c r="A304" s="202" t="s">
        <v>628</v>
      </c>
      <c r="B304" s="194" t="s">
        <v>346</v>
      </c>
      <c r="C304" s="194"/>
      <c r="D304" s="194"/>
      <c r="E304" s="194"/>
      <c r="F304" s="194"/>
      <c r="G304" s="194"/>
      <c r="H304" s="202" t="s">
        <v>551</v>
      </c>
    </row>
    <row r="305" spans="1:8" hidden="1" x14ac:dyDescent="0.2">
      <c r="A305" s="198" t="s">
        <v>629</v>
      </c>
      <c r="B305" s="194" t="s">
        <v>346</v>
      </c>
      <c r="C305" s="194"/>
      <c r="D305" s="194"/>
      <c r="E305" s="194"/>
      <c r="F305" s="194"/>
      <c r="G305" s="194"/>
      <c r="H305" s="198" t="s">
        <v>517</v>
      </c>
    </row>
    <row r="306" spans="1:8" hidden="1" x14ac:dyDescent="0.2">
      <c r="A306" s="198" t="s">
        <v>630</v>
      </c>
      <c r="B306" s="194" t="s">
        <v>346</v>
      </c>
      <c r="C306" s="194"/>
      <c r="D306" s="194"/>
      <c r="E306" s="194"/>
      <c r="F306" s="194"/>
      <c r="G306" s="194"/>
      <c r="H306" s="198" t="s">
        <v>517</v>
      </c>
    </row>
    <row r="307" spans="1:8" hidden="1" x14ac:dyDescent="0.2">
      <c r="A307" s="198" t="s">
        <v>631</v>
      </c>
      <c r="B307" s="194" t="s">
        <v>346</v>
      </c>
      <c r="C307" s="194"/>
      <c r="D307" s="194"/>
      <c r="E307" s="194"/>
      <c r="F307" s="194"/>
      <c r="G307" s="194"/>
      <c r="H307" s="198" t="s">
        <v>517</v>
      </c>
    </row>
    <row r="308" spans="1:8" hidden="1" x14ac:dyDescent="0.2">
      <c r="A308" s="198" t="s">
        <v>632</v>
      </c>
      <c r="B308" s="194" t="s">
        <v>346</v>
      </c>
      <c r="C308" s="194"/>
      <c r="D308" s="194"/>
      <c r="E308" s="194"/>
      <c r="F308" s="194"/>
      <c r="G308" s="194"/>
      <c r="H308" s="198" t="s">
        <v>517</v>
      </c>
    </row>
    <row r="309" spans="1:8" hidden="1" x14ac:dyDescent="0.2">
      <c r="A309" s="202" t="s">
        <v>633</v>
      </c>
      <c r="B309" s="194" t="s">
        <v>346</v>
      </c>
      <c r="C309" s="194"/>
      <c r="D309" s="194"/>
      <c r="E309" s="194"/>
      <c r="F309" s="194"/>
      <c r="G309" s="194"/>
      <c r="H309" s="202" t="s">
        <v>551</v>
      </c>
    </row>
    <row r="310" spans="1:8" hidden="1" x14ac:dyDescent="0.2">
      <c r="A310" s="202" t="s">
        <v>634</v>
      </c>
      <c r="B310" s="194" t="s">
        <v>346</v>
      </c>
      <c r="C310" s="194"/>
      <c r="D310" s="194"/>
      <c r="E310" s="194"/>
      <c r="F310" s="194"/>
      <c r="G310" s="194"/>
      <c r="H310" s="202" t="s">
        <v>551</v>
      </c>
    </row>
    <row r="311" spans="1:8" hidden="1" x14ac:dyDescent="0.2">
      <c r="A311" s="202" t="s">
        <v>635</v>
      </c>
      <c r="B311" s="194" t="s">
        <v>346</v>
      </c>
      <c r="C311" s="194"/>
      <c r="D311" s="194"/>
      <c r="E311" s="194"/>
      <c r="F311" s="194"/>
      <c r="G311" s="194"/>
      <c r="H311" s="202" t="s">
        <v>551</v>
      </c>
    </row>
    <row r="312" spans="1:8" hidden="1" x14ac:dyDescent="0.2">
      <c r="A312" s="202" t="s">
        <v>636</v>
      </c>
      <c r="B312" s="194" t="s">
        <v>346</v>
      </c>
      <c r="C312" s="194"/>
      <c r="D312" s="194"/>
      <c r="E312" s="194"/>
      <c r="F312" s="194"/>
      <c r="G312" s="194"/>
      <c r="H312" s="202" t="s">
        <v>551</v>
      </c>
    </row>
    <row r="313" spans="1:8" hidden="1" x14ac:dyDescent="0.2">
      <c r="A313" s="202" t="s">
        <v>637</v>
      </c>
      <c r="B313" s="194" t="s">
        <v>346</v>
      </c>
      <c r="C313" s="194"/>
      <c r="D313" s="194"/>
      <c r="E313" s="194"/>
      <c r="F313" s="194"/>
      <c r="G313" s="194"/>
      <c r="H313" s="202" t="s">
        <v>551</v>
      </c>
    </row>
    <row r="314" spans="1:8" hidden="1" x14ac:dyDescent="0.2">
      <c r="A314" s="202" t="s">
        <v>638</v>
      </c>
      <c r="B314" s="194" t="s">
        <v>346</v>
      </c>
      <c r="C314" s="194"/>
      <c r="D314" s="194"/>
      <c r="E314" s="194"/>
      <c r="F314" s="194"/>
      <c r="G314" s="194"/>
      <c r="H314" s="202" t="s">
        <v>551</v>
      </c>
    </row>
    <row r="315" spans="1:8" hidden="1" x14ac:dyDescent="0.2">
      <c r="A315" s="201" t="s">
        <v>639</v>
      </c>
      <c r="B315" s="194" t="s">
        <v>346</v>
      </c>
      <c r="C315" s="194"/>
      <c r="D315" s="194"/>
      <c r="E315" s="194"/>
      <c r="F315" s="194"/>
      <c r="G315" s="194"/>
      <c r="H315" s="201" t="s">
        <v>542</v>
      </c>
    </row>
    <row r="316" spans="1:8" hidden="1" x14ac:dyDescent="0.2">
      <c r="A316" s="201" t="s">
        <v>640</v>
      </c>
      <c r="B316" s="194" t="s">
        <v>346</v>
      </c>
      <c r="C316" s="194"/>
      <c r="D316" s="194"/>
      <c r="E316" s="194"/>
      <c r="F316" s="194"/>
      <c r="G316" s="194"/>
      <c r="H316" s="201" t="s">
        <v>542</v>
      </c>
    </row>
    <row r="317" spans="1:8" hidden="1" x14ac:dyDescent="0.2">
      <c r="A317" s="201" t="s">
        <v>641</v>
      </c>
      <c r="B317" s="194" t="s">
        <v>346</v>
      </c>
      <c r="C317" s="194"/>
      <c r="D317" s="194"/>
      <c r="E317" s="194"/>
      <c r="F317" s="194"/>
      <c r="G317" s="194"/>
      <c r="H317" s="201" t="s">
        <v>542</v>
      </c>
    </row>
    <row r="318" spans="1:8" hidden="1" x14ac:dyDescent="0.2">
      <c r="A318" s="201" t="s">
        <v>642</v>
      </c>
      <c r="B318" s="194" t="s">
        <v>346</v>
      </c>
      <c r="C318" s="194"/>
      <c r="D318" s="194"/>
      <c r="E318" s="194"/>
      <c r="F318" s="194"/>
      <c r="G318" s="194"/>
      <c r="H318" s="201" t="s">
        <v>542</v>
      </c>
    </row>
    <row r="319" spans="1:8" hidden="1" x14ac:dyDescent="0.2">
      <c r="A319" s="201" t="s">
        <v>643</v>
      </c>
      <c r="B319" s="194" t="s">
        <v>346</v>
      </c>
      <c r="C319" s="194"/>
      <c r="D319" s="194"/>
      <c r="E319" s="194"/>
      <c r="F319" s="194"/>
      <c r="G319" s="194"/>
      <c r="H319" s="201" t="s">
        <v>542</v>
      </c>
    </row>
    <row r="320" spans="1:8" hidden="1" x14ac:dyDescent="0.2">
      <c r="A320" s="201" t="s">
        <v>644</v>
      </c>
      <c r="B320" s="194" t="s">
        <v>346</v>
      </c>
      <c r="C320" s="194"/>
      <c r="D320" s="194"/>
      <c r="E320" s="194"/>
      <c r="F320" s="194"/>
      <c r="G320" s="194"/>
      <c r="H320" s="201" t="s">
        <v>542</v>
      </c>
    </row>
    <row r="321" spans="1:8" hidden="1" x14ac:dyDescent="0.2">
      <c r="A321" s="201" t="s">
        <v>645</v>
      </c>
      <c r="B321" s="194" t="s">
        <v>346</v>
      </c>
      <c r="C321" s="194"/>
      <c r="D321" s="194"/>
      <c r="E321" s="194"/>
      <c r="F321" s="194"/>
      <c r="G321" s="194"/>
      <c r="H321" s="201" t="s">
        <v>542</v>
      </c>
    </row>
    <row r="322" spans="1:8" hidden="1" x14ac:dyDescent="0.2">
      <c r="A322" s="201" t="s">
        <v>646</v>
      </c>
      <c r="B322" s="194" t="s">
        <v>346</v>
      </c>
      <c r="C322" s="194"/>
      <c r="D322" s="194"/>
      <c r="E322" s="194"/>
      <c r="F322" s="194"/>
      <c r="G322" s="194"/>
      <c r="H322" s="201" t="s">
        <v>542</v>
      </c>
    </row>
    <row r="323" spans="1:8" hidden="1" x14ac:dyDescent="0.2">
      <c r="A323" s="198" t="s">
        <v>647</v>
      </c>
      <c r="B323" s="194" t="s">
        <v>346</v>
      </c>
      <c r="C323" s="194"/>
      <c r="D323" s="194"/>
      <c r="E323" s="194"/>
      <c r="F323" s="194"/>
      <c r="G323" s="194"/>
      <c r="H323" s="198" t="s">
        <v>517</v>
      </c>
    </row>
    <row r="324" spans="1:8" hidden="1" x14ac:dyDescent="0.2">
      <c r="A324" s="198" t="s">
        <v>648</v>
      </c>
      <c r="B324" s="194" t="s">
        <v>346</v>
      </c>
      <c r="C324" s="194"/>
      <c r="D324" s="194"/>
      <c r="E324" s="194"/>
      <c r="F324" s="194"/>
      <c r="G324" s="194"/>
      <c r="H324" s="198" t="s">
        <v>517</v>
      </c>
    </row>
    <row r="325" spans="1:8" hidden="1" x14ac:dyDescent="0.2">
      <c r="A325" s="198" t="s">
        <v>649</v>
      </c>
      <c r="B325" s="194" t="s">
        <v>346</v>
      </c>
      <c r="C325" s="194"/>
      <c r="D325" s="194"/>
      <c r="E325" s="194"/>
      <c r="F325" s="194"/>
      <c r="G325" s="194"/>
      <c r="H325" s="198" t="s">
        <v>517</v>
      </c>
    </row>
    <row r="326" spans="1:8" hidden="1" x14ac:dyDescent="0.2">
      <c r="A326" s="203" t="s">
        <v>650</v>
      </c>
      <c r="B326" s="194" t="s">
        <v>346</v>
      </c>
      <c r="C326" s="194"/>
      <c r="D326" s="194"/>
      <c r="E326" s="194"/>
      <c r="F326" s="194"/>
      <c r="G326" s="194"/>
      <c r="H326" s="203" t="s">
        <v>572</v>
      </c>
    </row>
    <row r="327" spans="1:8" hidden="1" x14ac:dyDescent="0.2">
      <c r="A327" s="203" t="s">
        <v>651</v>
      </c>
      <c r="B327" s="194" t="s">
        <v>346</v>
      </c>
      <c r="C327" s="194"/>
      <c r="D327" s="194"/>
      <c r="E327" s="194"/>
      <c r="F327" s="194"/>
      <c r="G327" s="194"/>
      <c r="H327" s="203" t="s">
        <v>572</v>
      </c>
    </row>
    <row r="328" spans="1:8" hidden="1" x14ac:dyDescent="0.2">
      <c r="A328" s="204" t="s">
        <v>652</v>
      </c>
      <c r="B328" s="194" t="s">
        <v>346</v>
      </c>
      <c r="C328" s="194"/>
      <c r="D328" s="194"/>
      <c r="E328" s="194"/>
      <c r="F328" s="194"/>
      <c r="G328" s="194"/>
      <c r="H328" s="204" t="s">
        <v>653</v>
      </c>
    </row>
    <row r="329" spans="1:8" hidden="1" x14ac:dyDescent="0.2">
      <c r="A329" s="204" t="s">
        <v>654</v>
      </c>
      <c r="B329" s="194" t="s">
        <v>346</v>
      </c>
      <c r="C329" s="194"/>
      <c r="D329" s="194"/>
      <c r="E329" s="194"/>
      <c r="F329" s="194"/>
      <c r="G329" s="194"/>
      <c r="H329" s="204" t="s">
        <v>653</v>
      </c>
    </row>
    <row r="330" spans="1:8" hidden="1" x14ac:dyDescent="0.2">
      <c r="A330" s="204" t="s">
        <v>655</v>
      </c>
      <c r="B330" s="194" t="s">
        <v>346</v>
      </c>
      <c r="C330" s="194"/>
      <c r="D330" s="194"/>
      <c r="E330" s="194"/>
      <c r="F330" s="194"/>
      <c r="G330" s="194"/>
      <c r="H330" s="204" t="s">
        <v>653</v>
      </c>
    </row>
    <row r="331" spans="1:8" hidden="1" x14ac:dyDescent="0.2">
      <c r="A331" s="204" t="s">
        <v>656</v>
      </c>
      <c r="B331" s="194" t="s">
        <v>346</v>
      </c>
      <c r="C331" s="194"/>
      <c r="D331" s="194"/>
      <c r="E331" s="194"/>
      <c r="F331" s="194"/>
      <c r="G331" s="194"/>
      <c r="H331" s="204" t="s">
        <v>653</v>
      </c>
    </row>
    <row r="332" spans="1:8" hidden="1" x14ac:dyDescent="0.2">
      <c r="A332" s="204" t="s">
        <v>657</v>
      </c>
      <c r="B332" s="194" t="s">
        <v>346</v>
      </c>
      <c r="C332" s="194"/>
      <c r="D332" s="194"/>
      <c r="E332" s="194"/>
      <c r="F332" s="194"/>
      <c r="G332" s="194"/>
      <c r="H332" s="204" t="s">
        <v>653</v>
      </c>
    </row>
    <row r="333" spans="1:8" hidden="1" x14ac:dyDescent="0.2">
      <c r="A333" s="204" t="s">
        <v>658</v>
      </c>
      <c r="B333" s="194" t="s">
        <v>346</v>
      </c>
      <c r="C333" s="194"/>
      <c r="D333" s="194"/>
      <c r="E333" s="194"/>
      <c r="F333" s="194"/>
      <c r="G333" s="194"/>
      <c r="H333" s="204" t="s">
        <v>653</v>
      </c>
    </row>
    <row r="334" spans="1:8" hidden="1" x14ac:dyDescent="0.2">
      <c r="A334" s="204" t="s">
        <v>659</v>
      </c>
      <c r="B334" s="194" t="s">
        <v>346</v>
      </c>
      <c r="C334" s="194"/>
      <c r="D334" s="194"/>
      <c r="E334" s="194"/>
      <c r="F334" s="194"/>
      <c r="G334" s="194"/>
      <c r="H334" s="204" t="s">
        <v>653</v>
      </c>
    </row>
    <row r="335" spans="1:8" hidden="1" x14ac:dyDescent="0.2">
      <c r="A335" s="204" t="s">
        <v>660</v>
      </c>
      <c r="B335" s="194" t="s">
        <v>346</v>
      </c>
      <c r="C335" s="194"/>
      <c r="D335" s="194"/>
      <c r="E335" s="194"/>
      <c r="F335" s="194"/>
      <c r="G335" s="194"/>
      <c r="H335" s="204" t="s">
        <v>653</v>
      </c>
    </row>
    <row r="336" spans="1:8" hidden="1" x14ac:dyDescent="0.2">
      <c r="A336" s="204" t="s">
        <v>661</v>
      </c>
      <c r="B336" s="194" t="s">
        <v>346</v>
      </c>
      <c r="C336" s="194"/>
      <c r="D336" s="194"/>
      <c r="E336" s="194"/>
      <c r="F336" s="194"/>
      <c r="G336" s="194"/>
      <c r="H336" s="204" t="s">
        <v>653</v>
      </c>
    </row>
    <row r="337" spans="1:8" hidden="1" x14ac:dyDescent="0.2">
      <c r="A337" s="204" t="s">
        <v>662</v>
      </c>
      <c r="B337" s="194" t="s">
        <v>346</v>
      </c>
      <c r="C337" s="194"/>
      <c r="D337" s="194"/>
      <c r="E337" s="194"/>
      <c r="F337" s="194"/>
      <c r="G337" s="194"/>
      <c r="H337" s="204" t="s">
        <v>653</v>
      </c>
    </row>
    <row r="338" spans="1:8" hidden="1" x14ac:dyDescent="0.2">
      <c r="A338" s="204" t="s">
        <v>663</v>
      </c>
      <c r="B338" s="194" t="s">
        <v>346</v>
      </c>
      <c r="C338" s="194"/>
      <c r="D338" s="194"/>
      <c r="E338" s="194"/>
      <c r="F338" s="194"/>
      <c r="G338" s="194"/>
      <c r="H338" s="204" t="s">
        <v>653</v>
      </c>
    </row>
    <row r="339" spans="1:8" hidden="1" x14ac:dyDescent="0.2">
      <c r="A339" s="204" t="s">
        <v>664</v>
      </c>
      <c r="B339" s="194" t="s">
        <v>346</v>
      </c>
      <c r="C339" s="194"/>
      <c r="D339" s="194"/>
      <c r="E339" s="194"/>
      <c r="F339" s="194"/>
      <c r="G339" s="194"/>
      <c r="H339" s="204" t="s">
        <v>653</v>
      </c>
    </row>
    <row r="340" spans="1:8" hidden="1" x14ac:dyDescent="0.2">
      <c r="A340" s="204" t="s">
        <v>665</v>
      </c>
      <c r="B340" s="194" t="s">
        <v>346</v>
      </c>
      <c r="C340" s="194"/>
      <c r="D340" s="194"/>
      <c r="E340" s="194"/>
      <c r="F340" s="194"/>
      <c r="G340" s="194"/>
      <c r="H340" s="204" t="s">
        <v>653</v>
      </c>
    </row>
    <row r="341" spans="1:8" hidden="1" x14ac:dyDescent="0.2">
      <c r="A341" s="204" t="s">
        <v>666</v>
      </c>
      <c r="B341" s="194" t="s">
        <v>346</v>
      </c>
      <c r="C341" s="194"/>
      <c r="D341" s="194"/>
      <c r="E341" s="194"/>
      <c r="F341" s="194"/>
      <c r="G341" s="194"/>
      <c r="H341" s="204" t="s">
        <v>653</v>
      </c>
    </row>
    <row r="342" spans="1:8" hidden="1" x14ac:dyDescent="0.2">
      <c r="A342" s="204" t="s">
        <v>667</v>
      </c>
      <c r="B342" s="194" t="s">
        <v>346</v>
      </c>
      <c r="C342" s="194"/>
      <c r="D342" s="194"/>
      <c r="E342" s="194"/>
      <c r="F342" s="194"/>
      <c r="G342" s="194"/>
      <c r="H342" s="204" t="s">
        <v>653</v>
      </c>
    </row>
    <row r="343" spans="1:8" hidden="1" x14ac:dyDescent="0.2">
      <c r="A343" s="204" t="s">
        <v>668</v>
      </c>
      <c r="B343" s="194" t="s">
        <v>346</v>
      </c>
      <c r="C343" s="194"/>
      <c r="D343" s="194"/>
      <c r="E343" s="194"/>
      <c r="F343" s="194"/>
      <c r="G343" s="194"/>
      <c r="H343" s="204" t="s">
        <v>653</v>
      </c>
    </row>
    <row r="344" spans="1:8" hidden="1" x14ac:dyDescent="0.2">
      <c r="A344" s="204" t="s">
        <v>669</v>
      </c>
      <c r="B344" s="194" t="s">
        <v>346</v>
      </c>
      <c r="C344" s="194"/>
      <c r="D344" s="194"/>
      <c r="E344" s="194"/>
      <c r="F344" s="194"/>
      <c r="G344" s="194"/>
      <c r="H344" s="204" t="s">
        <v>653</v>
      </c>
    </row>
    <row r="345" spans="1:8" hidden="1" x14ac:dyDescent="0.2">
      <c r="A345" s="204" t="s">
        <v>670</v>
      </c>
      <c r="B345" s="194" t="s">
        <v>346</v>
      </c>
      <c r="C345" s="194"/>
      <c r="D345" s="194"/>
      <c r="E345" s="194"/>
      <c r="F345" s="194"/>
      <c r="G345" s="194"/>
      <c r="H345" s="204" t="s">
        <v>653</v>
      </c>
    </row>
    <row r="346" spans="1:8" hidden="1" x14ac:dyDescent="0.2">
      <c r="A346" s="203" t="s">
        <v>671</v>
      </c>
      <c r="B346" s="194" t="s">
        <v>346</v>
      </c>
      <c r="C346" s="194"/>
      <c r="D346" s="194"/>
      <c r="E346" s="194"/>
      <c r="F346" s="194"/>
      <c r="G346" s="194"/>
      <c r="H346" s="203" t="s">
        <v>572</v>
      </c>
    </row>
    <row r="347" spans="1:8" hidden="1" x14ac:dyDescent="0.2">
      <c r="A347" s="204" t="s">
        <v>672</v>
      </c>
      <c r="B347" s="194" t="s">
        <v>346</v>
      </c>
      <c r="C347" s="194"/>
      <c r="D347" s="194"/>
      <c r="E347" s="194"/>
      <c r="F347" s="194"/>
      <c r="G347" s="194"/>
      <c r="H347" s="204" t="s">
        <v>653</v>
      </c>
    </row>
    <row r="348" spans="1:8" hidden="1" x14ac:dyDescent="0.2">
      <c r="A348" s="204" t="s">
        <v>673</v>
      </c>
      <c r="B348" s="194" t="s">
        <v>346</v>
      </c>
      <c r="C348" s="194"/>
      <c r="D348" s="194"/>
      <c r="E348" s="194"/>
      <c r="F348" s="194"/>
      <c r="G348" s="194"/>
      <c r="H348" s="204" t="s">
        <v>653</v>
      </c>
    </row>
    <row r="349" spans="1:8" hidden="1" x14ac:dyDescent="0.2">
      <c r="A349" s="204" t="s">
        <v>674</v>
      </c>
      <c r="B349" s="194" t="s">
        <v>346</v>
      </c>
      <c r="C349" s="194"/>
      <c r="D349" s="194"/>
      <c r="E349" s="194"/>
      <c r="F349" s="194"/>
      <c r="G349" s="194"/>
      <c r="H349" s="204" t="s">
        <v>653</v>
      </c>
    </row>
    <row r="350" spans="1:8" hidden="1" x14ac:dyDescent="0.2">
      <c r="A350" s="204" t="s">
        <v>675</v>
      </c>
      <c r="B350" s="194" t="s">
        <v>346</v>
      </c>
      <c r="C350" s="194"/>
      <c r="D350" s="194"/>
      <c r="E350" s="194"/>
      <c r="F350" s="194"/>
      <c r="G350" s="194"/>
      <c r="H350" s="204" t="s">
        <v>653</v>
      </c>
    </row>
    <row r="351" spans="1:8" hidden="1" x14ac:dyDescent="0.2">
      <c r="A351" s="204" t="s">
        <v>676</v>
      </c>
      <c r="B351" s="194" t="s">
        <v>346</v>
      </c>
      <c r="C351" s="194"/>
      <c r="D351" s="194"/>
      <c r="E351" s="194"/>
      <c r="F351" s="194"/>
      <c r="G351" s="194"/>
      <c r="H351" s="204" t="s">
        <v>653</v>
      </c>
    </row>
    <row r="352" spans="1:8" hidden="1" x14ac:dyDescent="0.2">
      <c r="A352" s="204" t="s">
        <v>677</v>
      </c>
      <c r="B352" s="194" t="s">
        <v>346</v>
      </c>
      <c r="C352" s="194"/>
      <c r="D352" s="194"/>
      <c r="E352" s="194"/>
      <c r="F352" s="194"/>
      <c r="G352" s="194"/>
      <c r="H352" s="204" t="s">
        <v>653</v>
      </c>
    </row>
    <row r="353" spans="1:8" hidden="1" x14ac:dyDescent="0.2">
      <c r="A353" s="204" t="s">
        <v>678</v>
      </c>
      <c r="B353" s="194" t="s">
        <v>346</v>
      </c>
      <c r="C353" s="194"/>
      <c r="D353" s="194"/>
      <c r="E353" s="194"/>
      <c r="F353" s="194"/>
      <c r="G353" s="194"/>
      <c r="H353" s="204" t="s">
        <v>653</v>
      </c>
    </row>
    <row r="354" spans="1:8" hidden="1" x14ac:dyDescent="0.2">
      <c r="A354" s="204" t="s">
        <v>679</v>
      </c>
      <c r="B354" s="194" t="s">
        <v>346</v>
      </c>
      <c r="C354" s="194"/>
      <c r="D354" s="194"/>
      <c r="E354" s="194"/>
      <c r="F354" s="194"/>
      <c r="G354" s="194"/>
      <c r="H354" s="204" t="s">
        <v>653</v>
      </c>
    </row>
    <row r="355" spans="1:8" hidden="1" x14ac:dyDescent="0.2">
      <c r="A355" s="204" t="s">
        <v>680</v>
      </c>
      <c r="B355" s="194" t="s">
        <v>346</v>
      </c>
      <c r="C355" s="194"/>
      <c r="D355" s="194"/>
      <c r="E355" s="194"/>
      <c r="F355" s="194"/>
      <c r="G355" s="194"/>
      <c r="H355" s="204" t="s">
        <v>653</v>
      </c>
    </row>
    <row r="356" spans="1:8" hidden="1" x14ac:dyDescent="0.2">
      <c r="A356" s="204" t="s">
        <v>681</v>
      </c>
      <c r="B356" s="194" t="s">
        <v>346</v>
      </c>
      <c r="C356" s="194"/>
      <c r="D356" s="194"/>
      <c r="E356" s="194"/>
      <c r="F356" s="194"/>
      <c r="G356" s="194"/>
      <c r="H356" s="204" t="s">
        <v>653</v>
      </c>
    </row>
    <row r="357" spans="1:8" hidden="1" x14ac:dyDescent="0.2">
      <c r="A357" s="204" t="s">
        <v>682</v>
      </c>
      <c r="B357" s="194" t="s">
        <v>346</v>
      </c>
      <c r="C357" s="194"/>
      <c r="D357" s="194"/>
      <c r="E357" s="194"/>
      <c r="F357" s="194"/>
      <c r="G357" s="194"/>
      <c r="H357" s="204" t="s">
        <v>653</v>
      </c>
    </row>
    <row r="358" spans="1:8" hidden="1" x14ac:dyDescent="0.2">
      <c r="A358" s="204" t="s">
        <v>683</v>
      </c>
      <c r="B358" s="194" t="s">
        <v>346</v>
      </c>
      <c r="C358" s="194"/>
      <c r="D358" s="194"/>
      <c r="E358" s="194"/>
      <c r="F358" s="194"/>
      <c r="G358" s="194"/>
      <c r="H358" s="204" t="s">
        <v>653</v>
      </c>
    </row>
    <row r="359" spans="1:8" hidden="1" x14ac:dyDescent="0.2">
      <c r="A359" s="204" t="s">
        <v>684</v>
      </c>
      <c r="B359" s="194" t="s">
        <v>346</v>
      </c>
      <c r="C359" s="194"/>
      <c r="D359" s="194"/>
      <c r="E359" s="194"/>
      <c r="F359" s="194"/>
      <c r="G359" s="194"/>
      <c r="H359" s="204" t="s">
        <v>653</v>
      </c>
    </row>
    <row r="360" spans="1:8" hidden="1" x14ac:dyDescent="0.2">
      <c r="A360" s="204" t="s">
        <v>685</v>
      </c>
      <c r="B360" s="194" t="s">
        <v>346</v>
      </c>
      <c r="C360" s="194"/>
      <c r="D360" s="194"/>
      <c r="E360" s="194"/>
      <c r="F360" s="194"/>
      <c r="G360" s="194"/>
      <c r="H360" s="204" t="s">
        <v>653</v>
      </c>
    </row>
    <row r="361" spans="1:8" hidden="1" x14ac:dyDescent="0.2">
      <c r="A361" s="204" t="s">
        <v>686</v>
      </c>
      <c r="B361" s="194" t="s">
        <v>346</v>
      </c>
      <c r="C361" s="194"/>
      <c r="D361" s="194"/>
      <c r="E361" s="194"/>
      <c r="F361" s="194"/>
      <c r="G361" s="194"/>
      <c r="H361" s="204" t="s">
        <v>653</v>
      </c>
    </row>
    <row r="362" spans="1:8" hidden="1" x14ac:dyDescent="0.2">
      <c r="A362" s="200" t="s">
        <v>687</v>
      </c>
      <c r="B362" s="194" t="s">
        <v>346</v>
      </c>
      <c r="C362" s="194"/>
      <c r="D362" s="194"/>
      <c r="E362" s="194"/>
      <c r="F362" s="194"/>
      <c r="G362" s="194"/>
      <c r="H362" s="200" t="s">
        <v>515</v>
      </c>
    </row>
    <row r="363" spans="1:8" hidden="1" x14ac:dyDescent="0.2">
      <c r="A363" s="205" t="s">
        <v>688</v>
      </c>
      <c r="B363" s="194" t="s">
        <v>346</v>
      </c>
      <c r="C363" s="194"/>
      <c r="D363" s="194"/>
      <c r="E363" s="194"/>
      <c r="F363" s="194"/>
      <c r="G363" s="194"/>
      <c r="H363" s="205" t="s">
        <v>689</v>
      </c>
    </row>
    <row r="364" spans="1:8" hidden="1" x14ac:dyDescent="0.2">
      <c r="A364" s="203" t="s">
        <v>690</v>
      </c>
      <c r="B364" s="194" t="s">
        <v>346</v>
      </c>
      <c r="C364" s="194"/>
      <c r="D364" s="194"/>
      <c r="E364" s="194"/>
      <c r="F364" s="194"/>
      <c r="G364" s="194"/>
      <c r="H364" s="203" t="s">
        <v>572</v>
      </c>
    </row>
    <row r="365" spans="1:8" hidden="1" x14ac:dyDescent="0.2">
      <c r="A365" s="205" t="s">
        <v>691</v>
      </c>
      <c r="B365" s="194" t="s">
        <v>346</v>
      </c>
      <c r="C365" s="194"/>
      <c r="D365" s="194"/>
      <c r="E365" s="194"/>
      <c r="F365" s="194"/>
      <c r="G365" s="194"/>
      <c r="H365" s="205" t="s">
        <v>689</v>
      </c>
    </row>
    <row r="366" spans="1:8" hidden="1" x14ac:dyDescent="0.2">
      <c r="A366" s="205" t="s">
        <v>692</v>
      </c>
      <c r="B366" s="194" t="s">
        <v>346</v>
      </c>
      <c r="C366" s="194"/>
      <c r="D366" s="194"/>
      <c r="E366" s="194"/>
      <c r="F366" s="194"/>
      <c r="G366" s="194"/>
      <c r="H366" s="205" t="s">
        <v>689</v>
      </c>
    </row>
    <row r="367" spans="1:8" hidden="1" x14ac:dyDescent="0.2">
      <c r="A367" s="205" t="s">
        <v>693</v>
      </c>
      <c r="B367" s="194" t="s">
        <v>346</v>
      </c>
      <c r="C367" s="194"/>
      <c r="D367" s="194"/>
      <c r="E367" s="194"/>
      <c r="F367" s="194"/>
      <c r="G367" s="194"/>
      <c r="H367" s="205" t="s">
        <v>689</v>
      </c>
    </row>
    <row r="368" spans="1:8" hidden="1" x14ac:dyDescent="0.2">
      <c r="A368" s="200" t="s">
        <v>694</v>
      </c>
      <c r="B368" s="194" t="s">
        <v>346</v>
      </c>
      <c r="C368" s="194"/>
      <c r="D368" s="194"/>
      <c r="E368" s="194"/>
      <c r="F368" s="194"/>
      <c r="G368" s="194"/>
      <c r="H368" s="200" t="s">
        <v>515</v>
      </c>
    </row>
    <row r="369" spans="1:8" hidden="1" x14ac:dyDescent="0.2">
      <c r="A369" s="203" t="s">
        <v>695</v>
      </c>
      <c r="B369" s="194" t="s">
        <v>346</v>
      </c>
      <c r="C369" s="194"/>
      <c r="D369" s="194"/>
      <c r="E369" s="194"/>
      <c r="F369" s="194"/>
      <c r="G369" s="194"/>
      <c r="H369" s="203" t="s">
        <v>572</v>
      </c>
    </row>
    <row r="370" spans="1:8" hidden="1" x14ac:dyDescent="0.2">
      <c r="A370" s="198" t="s">
        <v>696</v>
      </c>
      <c r="B370" s="194" t="s">
        <v>346</v>
      </c>
      <c r="C370" s="194"/>
      <c r="D370" s="194"/>
      <c r="E370" s="194"/>
      <c r="F370" s="194"/>
      <c r="G370" s="194"/>
      <c r="H370" s="198" t="s">
        <v>517</v>
      </c>
    </row>
    <row r="371" spans="1:8" hidden="1" x14ac:dyDescent="0.2">
      <c r="A371" s="198" t="s">
        <v>697</v>
      </c>
      <c r="B371" s="194" t="s">
        <v>346</v>
      </c>
      <c r="C371" s="194"/>
      <c r="D371" s="194"/>
      <c r="E371" s="194"/>
      <c r="F371" s="194"/>
      <c r="G371" s="194"/>
      <c r="H371" s="198" t="s">
        <v>517</v>
      </c>
    </row>
    <row r="372" spans="1:8" hidden="1" x14ac:dyDescent="0.2">
      <c r="A372" s="198" t="s">
        <v>698</v>
      </c>
      <c r="B372" s="194" t="s">
        <v>346</v>
      </c>
      <c r="C372" s="194"/>
      <c r="D372" s="194"/>
      <c r="E372" s="194"/>
      <c r="F372" s="194"/>
      <c r="G372" s="194"/>
      <c r="H372" s="198" t="s">
        <v>517</v>
      </c>
    </row>
    <row r="373" spans="1:8" hidden="1" x14ac:dyDescent="0.2">
      <c r="A373" s="198" t="s">
        <v>699</v>
      </c>
      <c r="B373" s="194" t="s">
        <v>346</v>
      </c>
      <c r="C373" s="194"/>
      <c r="D373" s="194"/>
      <c r="E373" s="194"/>
      <c r="F373" s="194"/>
      <c r="G373" s="194"/>
      <c r="H373" s="198" t="s">
        <v>517</v>
      </c>
    </row>
    <row r="374" spans="1:8" hidden="1" x14ac:dyDescent="0.2">
      <c r="A374" s="199" t="s">
        <v>700</v>
      </c>
      <c r="B374" s="194" t="s">
        <v>346</v>
      </c>
      <c r="C374" s="194"/>
      <c r="D374" s="194"/>
      <c r="E374" s="194"/>
      <c r="F374" s="194"/>
      <c r="G374" s="194"/>
      <c r="H374" s="199" t="s">
        <v>519</v>
      </c>
    </row>
    <row r="375" spans="1:8" hidden="1" x14ac:dyDescent="0.2">
      <c r="A375" s="199" t="s">
        <v>701</v>
      </c>
      <c r="B375" s="194" t="s">
        <v>346</v>
      </c>
      <c r="C375" s="194"/>
      <c r="D375" s="194"/>
      <c r="E375" s="194"/>
      <c r="F375" s="194"/>
      <c r="G375" s="194"/>
      <c r="H375" s="199" t="s">
        <v>519</v>
      </c>
    </row>
    <row r="376" spans="1:8" hidden="1" x14ac:dyDescent="0.2">
      <c r="A376" s="199" t="s">
        <v>702</v>
      </c>
      <c r="B376" s="194" t="s">
        <v>346</v>
      </c>
      <c r="C376" s="194"/>
      <c r="D376" s="194"/>
      <c r="E376" s="194"/>
      <c r="F376" s="194"/>
      <c r="G376" s="194"/>
      <c r="H376" s="199" t="s">
        <v>519</v>
      </c>
    </row>
    <row r="377" spans="1:8" hidden="1" x14ac:dyDescent="0.2">
      <c r="A377" s="199" t="s">
        <v>703</v>
      </c>
      <c r="B377" s="194" t="s">
        <v>346</v>
      </c>
      <c r="C377" s="194"/>
      <c r="D377" s="194"/>
      <c r="E377" s="194"/>
      <c r="F377" s="194"/>
      <c r="G377" s="194"/>
      <c r="H377" s="199" t="s">
        <v>519</v>
      </c>
    </row>
    <row r="378" spans="1:8" hidden="1" x14ac:dyDescent="0.2">
      <c r="A378" s="198" t="s">
        <v>704</v>
      </c>
      <c r="B378" s="194" t="s">
        <v>346</v>
      </c>
      <c r="C378" s="194"/>
      <c r="D378" s="194"/>
      <c r="E378" s="194"/>
      <c r="F378" s="194"/>
      <c r="G378" s="194"/>
      <c r="H378" s="198" t="s">
        <v>517</v>
      </c>
    </row>
    <row r="379" spans="1:8" hidden="1" x14ac:dyDescent="0.2">
      <c r="A379" s="198" t="s">
        <v>705</v>
      </c>
      <c r="B379" s="194" t="s">
        <v>346</v>
      </c>
      <c r="C379" s="194"/>
      <c r="D379" s="194"/>
      <c r="E379" s="194"/>
      <c r="F379" s="194"/>
      <c r="G379" s="194"/>
      <c r="H379" s="198" t="s">
        <v>517</v>
      </c>
    </row>
    <row r="380" spans="1:8" hidden="1" x14ac:dyDescent="0.2">
      <c r="A380" s="198" t="s">
        <v>706</v>
      </c>
      <c r="B380" s="194" t="s">
        <v>346</v>
      </c>
      <c r="C380" s="194"/>
      <c r="D380" s="194"/>
      <c r="E380" s="194"/>
      <c r="F380" s="194"/>
      <c r="G380" s="194"/>
      <c r="H380" s="198" t="s">
        <v>517</v>
      </c>
    </row>
    <row r="381" spans="1:8" hidden="1" x14ac:dyDescent="0.2">
      <c r="A381" s="200" t="s">
        <v>707</v>
      </c>
      <c r="B381" s="194" t="s">
        <v>346</v>
      </c>
      <c r="C381" s="194"/>
      <c r="D381" s="194"/>
      <c r="E381" s="194"/>
      <c r="F381" s="194"/>
      <c r="G381" s="194"/>
      <c r="H381" s="200" t="s">
        <v>515</v>
      </c>
    </row>
    <row r="382" spans="1:8" hidden="1" x14ac:dyDescent="0.2">
      <c r="A382" s="198" t="s">
        <v>708</v>
      </c>
      <c r="B382" s="194" t="s">
        <v>346</v>
      </c>
      <c r="C382" s="194"/>
      <c r="D382" s="194"/>
      <c r="E382" s="194"/>
      <c r="F382" s="194"/>
      <c r="G382" s="194"/>
      <c r="H382" s="198" t="s">
        <v>517</v>
      </c>
    </row>
    <row r="383" spans="1:8" hidden="1" x14ac:dyDescent="0.2">
      <c r="A383" s="198" t="s">
        <v>709</v>
      </c>
      <c r="B383" s="194" t="s">
        <v>346</v>
      </c>
      <c r="C383" s="194"/>
      <c r="D383" s="194"/>
      <c r="E383" s="194"/>
      <c r="F383" s="194"/>
      <c r="G383" s="194"/>
      <c r="H383" s="198" t="s">
        <v>517</v>
      </c>
    </row>
    <row r="384" spans="1:8" hidden="1" x14ac:dyDescent="0.2">
      <c r="A384" s="198" t="s">
        <v>710</v>
      </c>
      <c r="B384" s="194" t="s">
        <v>346</v>
      </c>
      <c r="C384" s="194"/>
      <c r="D384" s="194"/>
      <c r="E384" s="194"/>
      <c r="F384" s="194"/>
      <c r="G384" s="194"/>
      <c r="H384" s="198" t="s">
        <v>517</v>
      </c>
    </row>
    <row r="385" spans="1:8" hidden="1" x14ac:dyDescent="0.2">
      <c r="A385" s="198" t="s">
        <v>711</v>
      </c>
      <c r="B385" s="194" t="s">
        <v>346</v>
      </c>
      <c r="C385" s="194"/>
      <c r="D385" s="194"/>
      <c r="E385" s="194"/>
      <c r="F385" s="194"/>
      <c r="G385" s="194"/>
      <c r="H385" s="198" t="s">
        <v>517</v>
      </c>
    </row>
    <row r="386" spans="1:8" hidden="1" x14ac:dyDescent="0.2">
      <c r="A386" s="198" t="s">
        <v>712</v>
      </c>
      <c r="B386" s="194" t="s">
        <v>346</v>
      </c>
      <c r="C386" s="194"/>
      <c r="D386" s="194"/>
      <c r="E386" s="194"/>
      <c r="F386" s="194"/>
      <c r="G386" s="194"/>
      <c r="H386" s="198" t="s">
        <v>517</v>
      </c>
    </row>
    <row r="387" spans="1:8" hidden="1" x14ac:dyDescent="0.2">
      <c r="A387" s="198" t="s">
        <v>713</v>
      </c>
      <c r="B387" s="194" t="s">
        <v>346</v>
      </c>
      <c r="C387" s="194"/>
      <c r="D387" s="194"/>
      <c r="E387" s="194"/>
      <c r="F387" s="194"/>
      <c r="G387" s="194"/>
      <c r="H387" s="198" t="s">
        <v>517</v>
      </c>
    </row>
    <row r="388" spans="1:8" hidden="1" x14ac:dyDescent="0.2">
      <c r="A388" s="198" t="s">
        <v>714</v>
      </c>
      <c r="B388" s="194" t="s">
        <v>346</v>
      </c>
      <c r="C388" s="194"/>
      <c r="D388" s="194"/>
      <c r="E388" s="194"/>
      <c r="F388" s="194"/>
      <c r="G388" s="194"/>
      <c r="H388" s="198" t="s">
        <v>517</v>
      </c>
    </row>
    <row r="389" spans="1:8" hidden="1" x14ac:dyDescent="0.2">
      <c r="A389" s="198" t="s">
        <v>715</v>
      </c>
      <c r="B389" s="194" t="s">
        <v>346</v>
      </c>
      <c r="C389" s="194"/>
      <c r="D389" s="194"/>
      <c r="E389" s="194"/>
      <c r="F389" s="194"/>
      <c r="G389" s="194"/>
      <c r="H389" s="198" t="s">
        <v>517</v>
      </c>
    </row>
    <row r="390" spans="1:8" hidden="1" x14ac:dyDescent="0.2">
      <c r="A390" s="198" t="s">
        <v>716</v>
      </c>
      <c r="B390" s="194" t="s">
        <v>346</v>
      </c>
      <c r="C390" s="194"/>
      <c r="D390" s="194"/>
      <c r="E390" s="194"/>
      <c r="F390" s="194"/>
      <c r="G390" s="194"/>
      <c r="H390" s="198" t="s">
        <v>517</v>
      </c>
    </row>
    <row r="391" spans="1:8" hidden="1" x14ac:dyDescent="0.2">
      <c r="A391" s="200" t="s">
        <v>717</v>
      </c>
      <c r="B391" s="194" t="s">
        <v>346</v>
      </c>
      <c r="C391" s="194"/>
      <c r="D391" s="194"/>
      <c r="E391" s="194"/>
      <c r="F391" s="194"/>
      <c r="G391" s="194"/>
      <c r="H391" s="200" t="s">
        <v>515</v>
      </c>
    </row>
    <row r="392" spans="1:8" hidden="1" x14ac:dyDescent="0.2">
      <c r="A392" s="205" t="s">
        <v>718</v>
      </c>
      <c r="B392" s="194" t="s">
        <v>346</v>
      </c>
      <c r="C392" s="194"/>
      <c r="D392" s="194"/>
      <c r="E392" s="194"/>
      <c r="F392" s="194"/>
      <c r="G392" s="194"/>
      <c r="H392" s="205" t="s">
        <v>689</v>
      </c>
    </row>
    <row r="393" spans="1:8" hidden="1" x14ac:dyDescent="0.2">
      <c r="A393" s="205" t="s">
        <v>719</v>
      </c>
      <c r="B393" s="194" t="s">
        <v>346</v>
      </c>
      <c r="C393" s="194"/>
      <c r="D393" s="194"/>
      <c r="E393" s="194"/>
      <c r="F393" s="194"/>
      <c r="G393" s="194"/>
      <c r="H393" s="205" t="s">
        <v>689</v>
      </c>
    </row>
    <row r="394" spans="1:8" hidden="1" x14ac:dyDescent="0.2">
      <c r="A394" s="205" t="s">
        <v>720</v>
      </c>
      <c r="B394" s="194" t="s">
        <v>346</v>
      </c>
      <c r="C394" s="194"/>
      <c r="D394" s="194"/>
      <c r="E394" s="194"/>
      <c r="F394" s="194"/>
      <c r="G394" s="194"/>
      <c r="H394" s="205" t="s">
        <v>689</v>
      </c>
    </row>
    <row r="395" spans="1:8" hidden="1" x14ac:dyDescent="0.2">
      <c r="A395" s="205" t="s">
        <v>721</v>
      </c>
      <c r="B395" s="194" t="s">
        <v>346</v>
      </c>
      <c r="C395" s="194"/>
      <c r="D395" s="194"/>
      <c r="E395" s="194"/>
      <c r="F395" s="194"/>
      <c r="G395" s="194"/>
      <c r="H395" s="205" t="s">
        <v>689</v>
      </c>
    </row>
    <row r="396" spans="1:8" hidden="1" x14ac:dyDescent="0.2">
      <c r="A396" s="205" t="s">
        <v>722</v>
      </c>
      <c r="B396" s="194" t="s">
        <v>346</v>
      </c>
      <c r="C396" s="194"/>
      <c r="D396" s="194"/>
      <c r="E396" s="194"/>
      <c r="F396" s="194"/>
      <c r="G396" s="194"/>
      <c r="H396" s="205" t="s">
        <v>689</v>
      </c>
    </row>
    <row r="397" spans="1:8" x14ac:dyDescent="0.2">
      <c r="A397" s="193" t="s">
        <v>723</v>
      </c>
      <c r="B397" s="194" t="s">
        <v>346</v>
      </c>
      <c r="C397" s="194"/>
      <c r="D397" s="194"/>
      <c r="E397" s="194"/>
      <c r="F397" s="194"/>
      <c r="G397" s="194"/>
      <c r="H397" s="193" t="s">
        <v>286</v>
      </c>
    </row>
    <row r="398" spans="1:8" hidden="1" x14ac:dyDescent="0.2">
      <c r="A398" s="206" t="s">
        <v>724</v>
      </c>
      <c r="B398" s="194" t="s">
        <v>346</v>
      </c>
      <c r="C398" s="194"/>
      <c r="D398" s="194"/>
      <c r="E398" s="194"/>
      <c r="F398" s="194"/>
      <c r="G398" s="194"/>
      <c r="H398" s="206" t="s">
        <v>725</v>
      </c>
    </row>
    <row r="399" spans="1:8" hidden="1" x14ac:dyDescent="0.2">
      <c r="A399" s="206" t="s">
        <v>726</v>
      </c>
      <c r="B399" s="194" t="s">
        <v>346</v>
      </c>
      <c r="C399" s="194"/>
      <c r="D399" s="194"/>
      <c r="E399" s="194"/>
      <c r="F399" s="194"/>
      <c r="G399" s="194"/>
      <c r="H399" s="206" t="s">
        <v>725</v>
      </c>
    </row>
    <row r="400" spans="1:8" hidden="1" x14ac:dyDescent="0.2">
      <c r="A400" s="206" t="s">
        <v>727</v>
      </c>
      <c r="B400" s="194" t="s">
        <v>346</v>
      </c>
      <c r="C400" s="194"/>
      <c r="D400" s="194"/>
      <c r="E400" s="194"/>
      <c r="F400" s="194"/>
      <c r="G400" s="194"/>
      <c r="H400" s="206" t="s">
        <v>725</v>
      </c>
    </row>
    <row r="401" spans="1:8" hidden="1" x14ac:dyDescent="0.2">
      <c r="A401" s="206" t="s">
        <v>728</v>
      </c>
      <c r="B401" s="194" t="s">
        <v>346</v>
      </c>
      <c r="C401" s="194"/>
      <c r="D401" s="194"/>
      <c r="E401" s="194"/>
      <c r="F401" s="194"/>
      <c r="G401" s="194"/>
      <c r="H401" s="206" t="s">
        <v>725</v>
      </c>
    </row>
    <row r="402" spans="1:8" hidden="1" x14ac:dyDescent="0.2">
      <c r="A402" s="206" t="s">
        <v>729</v>
      </c>
      <c r="B402" s="194" t="s">
        <v>346</v>
      </c>
      <c r="C402" s="194"/>
      <c r="D402" s="194"/>
      <c r="E402" s="194"/>
      <c r="F402" s="194"/>
      <c r="G402" s="194"/>
      <c r="H402" s="206" t="s">
        <v>725</v>
      </c>
    </row>
    <row r="403" spans="1:8" hidden="1" x14ac:dyDescent="0.2">
      <c r="A403" s="206" t="s">
        <v>730</v>
      </c>
      <c r="B403" s="194" t="s">
        <v>346</v>
      </c>
      <c r="C403" s="194"/>
      <c r="D403" s="194"/>
      <c r="E403" s="194"/>
      <c r="F403" s="194"/>
      <c r="G403" s="194"/>
      <c r="H403" s="206" t="s">
        <v>725</v>
      </c>
    </row>
    <row r="404" spans="1:8" hidden="1" x14ac:dyDescent="0.2">
      <c r="A404" s="206" t="s">
        <v>731</v>
      </c>
      <c r="B404" s="194" t="s">
        <v>346</v>
      </c>
      <c r="C404" s="194"/>
      <c r="D404" s="194"/>
      <c r="E404" s="194"/>
      <c r="F404" s="194"/>
      <c r="G404" s="194"/>
      <c r="H404" s="206" t="s">
        <v>725</v>
      </c>
    </row>
    <row r="405" spans="1:8" hidden="1" x14ac:dyDescent="0.2">
      <c r="A405" s="206" t="s">
        <v>732</v>
      </c>
      <c r="B405" s="194" t="s">
        <v>346</v>
      </c>
      <c r="C405" s="194"/>
      <c r="D405" s="194"/>
      <c r="E405" s="194"/>
      <c r="F405" s="194"/>
      <c r="G405" s="194"/>
      <c r="H405" s="206" t="s">
        <v>725</v>
      </c>
    </row>
    <row r="406" spans="1:8" hidden="1" x14ac:dyDescent="0.2">
      <c r="A406" s="206" t="s">
        <v>733</v>
      </c>
      <c r="B406" s="194" t="s">
        <v>346</v>
      </c>
      <c r="C406" s="194"/>
      <c r="D406" s="194"/>
      <c r="E406" s="194"/>
      <c r="F406" s="194"/>
      <c r="G406" s="194"/>
      <c r="H406" s="206" t="s">
        <v>725</v>
      </c>
    </row>
    <row r="407" spans="1:8" hidden="1" x14ac:dyDescent="0.2">
      <c r="A407" s="206" t="s">
        <v>734</v>
      </c>
      <c r="B407" s="194" t="s">
        <v>346</v>
      </c>
      <c r="C407" s="194"/>
      <c r="D407" s="194"/>
      <c r="E407" s="194"/>
      <c r="F407" s="194"/>
      <c r="G407" s="194"/>
      <c r="H407" s="206" t="s">
        <v>725</v>
      </c>
    </row>
    <row r="408" spans="1:8" hidden="1" x14ac:dyDescent="0.2">
      <c r="A408" s="206" t="s">
        <v>735</v>
      </c>
      <c r="B408" s="194" t="s">
        <v>346</v>
      </c>
      <c r="C408" s="194"/>
      <c r="D408" s="194"/>
      <c r="E408" s="194"/>
      <c r="F408" s="194"/>
      <c r="G408" s="194"/>
      <c r="H408" s="206" t="s">
        <v>725</v>
      </c>
    </row>
    <row r="409" spans="1:8" hidden="1" x14ac:dyDescent="0.2">
      <c r="A409" s="206" t="s">
        <v>736</v>
      </c>
      <c r="B409" s="194" t="s">
        <v>346</v>
      </c>
      <c r="C409" s="194"/>
      <c r="D409" s="194"/>
      <c r="E409" s="194"/>
      <c r="F409" s="194"/>
      <c r="G409" s="194"/>
      <c r="H409" s="206" t="s">
        <v>725</v>
      </c>
    </row>
    <row r="410" spans="1:8" hidden="1" x14ac:dyDescent="0.2">
      <c r="A410" s="206" t="s">
        <v>737</v>
      </c>
      <c r="B410" s="194" t="s">
        <v>346</v>
      </c>
      <c r="C410" s="194"/>
      <c r="D410" s="194"/>
      <c r="E410" s="194"/>
      <c r="F410" s="194"/>
      <c r="G410" s="194"/>
      <c r="H410" s="206" t="s">
        <v>725</v>
      </c>
    </row>
    <row r="411" spans="1:8" hidden="1" x14ac:dyDescent="0.2">
      <c r="A411" s="206" t="s">
        <v>738</v>
      </c>
      <c r="B411" s="194" t="s">
        <v>346</v>
      </c>
      <c r="C411" s="194"/>
      <c r="D411" s="194"/>
      <c r="E411" s="194"/>
      <c r="F411" s="194"/>
      <c r="G411" s="194"/>
      <c r="H411" s="206" t="s">
        <v>725</v>
      </c>
    </row>
    <row r="412" spans="1:8" hidden="1" x14ac:dyDescent="0.2">
      <c r="A412" s="206" t="s">
        <v>739</v>
      </c>
      <c r="B412" s="194" t="s">
        <v>346</v>
      </c>
      <c r="C412" s="194"/>
      <c r="D412" s="194"/>
      <c r="E412" s="194"/>
      <c r="F412" s="194"/>
      <c r="G412" s="194"/>
      <c r="H412" s="206" t="s">
        <v>725</v>
      </c>
    </row>
    <row r="413" spans="1:8" hidden="1" x14ac:dyDescent="0.2">
      <c r="A413" s="201" t="s">
        <v>740</v>
      </c>
      <c r="B413" s="194" t="s">
        <v>346</v>
      </c>
      <c r="C413" s="194"/>
      <c r="D413" s="194"/>
      <c r="E413" s="194"/>
      <c r="F413" s="194"/>
      <c r="G413" s="194"/>
      <c r="H413" s="201" t="s">
        <v>542</v>
      </c>
    </row>
    <row r="414" spans="1:8" hidden="1" x14ac:dyDescent="0.2">
      <c r="A414" s="201" t="s">
        <v>741</v>
      </c>
      <c r="B414" s="194" t="s">
        <v>346</v>
      </c>
      <c r="C414" s="194"/>
      <c r="D414" s="194"/>
      <c r="E414" s="194"/>
      <c r="F414" s="194"/>
      <c r="G414" s="194"/>
      <c r="H414" s="201" t="s">
        <v>542</v>
      </c>
    </row>
    <row r="415" spans="1:8" hidden="1" x14ac:dyDescent="0.2">
      <c r="A415" s="201" t="s">
        <v>742</v>
      </c>
      <c r="B415" s="194" t="s">
        <v>346</v>
      </c>
      <c r="C415" s="194"/>
      <c r="D415" s="194"/>
      <c r="E415" s="194"/>
      <c r="F415" s="194"/>
      <c r="G415" s="194"/>
      <c r="H415" s="201" t="s">
        <v>542</v>
      </c>
    </row>
    <row r="416" spans="1:8" hidden="1" x14ac:dyDescent="0.2">
      <c r="A416" s="201" t="s">
        <v>743</v>
      </c>
      <c r="B416" s="194" t="s">
        <v>346</v>
      </c>
      <c r="C416" s="194"/>
      <c r="D416" s="194"/>
      <c r="E416" s="194"/>
      <c r="F416" s="194"/>
      <c r="G416" s="194"/>
      <c r="H416" s="201" t="s">
        <v>542</v>
      </c>
    </row>
    <row r="417" spans="1:8" hidden="1" x14ac:dyDescent="0.2">
      <c r="A417" s="201" t="s">
        <v>744</v>
      </c>
      <c r="B417" s="194" t="s">
        <v>346</v>
      </c>
      <c r="C417" s="194"/>
      <c r="D417" s="194"/>
      <c r="E417" s="194"/>
      <c r="F417" s="194"/>
      <c r="G417" s="194"/>
      <c r="H417" s="201" t="s">
        <v>542</v>
      </c>
    </row>
    <row r="418" spans="1:8" hidden="1" x14ac:dyDescent="0.2">
      <c r="A418" s="201" t="s">
        <v>745</v>
      </c>
      <c r="B418" s="194" t="s">
        <v>346</v>
      </c>
      <c r="C418" s="194"/>
      <c r="D418" s="194"/>
      <c r="E418" s="194"/>
      <c r="F418" s="194"/>
      <c r="G418" s="194"/>
      <c r="H418" s="201" t="s">
        <v>542</v>
      </c>
    </row>
    <row r="419" spans="1:8" hidden="1" x14ac:dyDescent="0.2">
      <c r="A419" s="201" t="s">
        <v>746</v>
      </c>
      <c r="B419" s="194" t="s">
        <v>346</v>
      </c>
      <c r="C419" s="194"/>
      <c r="D419" s="194"/>
      <c r="E419" s="194"/>
      <c r="F419" s="194"/>
      <c r="G419" s="194"/>
      <c r="H419" s="201" t="s">
        <v>542</v>
      </c>
    </row>
    <row r="420" spans="1:8" hidden="1" x14ac:dyDescent="0.2">
      <c r="A420" s="201" t="s">
        <v>747</v>
      </c>
      <c r="B420" s="194" t="s">
        <v>346</v>
      </c>
      <c r="C420" s="194"/>
      <c r="D420" s="194"/>
      <c r="E420" s="194"/>
      <c r="F420" s="194"/>
      <c r="G420" s="194"/>
      <c r="H420" s="201" t="s">
        <v>542</v>
      </c>
    </row>
    <row r="421" spans="1:8" hidden="1" x14ac:dyDescent="0.2">
      <c r="A421" s="201" t="s">
        <v>748</v>
      </c>
      <c r="B421" s="194" t="s">
        <v>346</v>
      </c>
      <c r="C421" s="194"/>
      <c r="D421" s="194"/>
      <c r="E421" s="194"/>
      <c r="F421" s="194"/>
      <c r="G421" s="194"/>
      <c r="H421" s="201" t="s">
        <v>542</v>
      </c>
    </row>
    <row r="422" spans="1:8" hidden="1" x14ac:dyDescent="0.2">
      <c r="A422" s="201" t="s">
        <v>749</v>
      </c>
      <c r="B422" s="194" t="s">
        <v>346</v>
      </c>
      <c r="C422" s="194"/>
      <c r="D422" s="194"/>
      <c r="E422" s="194"/>
      <c r="F422" s="194"/>
      <c r="G422" s="194"/>
      <c r="H422" s="201" t="s">
        <v>542</v>
      </c>
    </row>
    <row r="423" spans="1:8" hidden="1" x14ac:dyDescent="0.2">
      <c r="A423" s="201" t="s">
        <v>750</v>
      </c>
      <c r="B423" s="194" t="s">
        <v>346</v>
      </c>
      <c r="C423" s="194"/>
      <c r="D423" s="194"/>
      <c r="E423" s="194"/>
      <c r="F423" s="194"/>
      <c r="G423" s="194"/>
      <c r="H423" s="201" t="s">
        <v>542</v>
      </c>
    </row>
    <row r="424" spans="1:8" hidden="1" x14ac:dyDescent="0.2">
      <c r="A424" s="201" t="s">
        <v>751</v>
      </c>
      <c r="B424" s="194" t="s">
        <v>346</v>
      </c>
      <c r="C424" s="194"/>
      <c r="D424" s="194"/>
      <c r="E424" s="194"/>
      <c r="F424" s="194"/>
      <c r="G424" s="194"/>
      <c r="H424" s="201" t="s">
        <v>542</v>
      </c>
    </row>
    <row r="425" spans="1:8" hidden="1" x14ac:dyDescent="0.2">
      <c r="A425" s="201" t="s">
        <v>752</v>
      </c>
      <c r="B425" s="194" t="s">
        <v>346</v>
      </c>
      <c r="C425" s="194"/>
      <c r="D425" s="194"/>
      <c r="E425" s="194"/>
      <c r="F425" s="194"/>
      <c r="G425" s="194"/>
      <c r="H425" s="201" t="s">
        <v>542</v>
      </c>
    </row>
    <row r="426" spans="1:8" hidden="1" x14ac:dyDescent="0.2">
      <c r="A426" s="201" t="s">
        <v>753</v>
      </c>
      <c r="B426" s="194" t="s">
        <v>346</v>
      </c>
      <c r="C426" s="194"/>
      <c r="D426" s="194"/>
      <c r="E426" s="194"/>
      <c r="F426" s="194"/>
      <c r="G426" s="194"/>
      <c r="H426" s="201" t="s">
        <v>542</v>
      </c>
    </row>
    <row r="427" spans="1:8" hidden="1" x14ac:dyDescent="0.2">
      <c r="A427" s="201" t="s">
        <v>754</v>
      </c>
      <c r="B427" s="194" t="s">
        <v>346</v>
      </c>
      <c r="C427" s="194"/>
      <c r="D427" s="194"/>
      <c r="E427" s="194"/>
      <c r="F427" s="194"/>
      <c r="G427" s="194"/>
      <c r="H427" s="201" t="s">
        <v>542</v>
      </c>
    </row>
    <row r="428" spans="1:8" hidden="1" x14ac:dyDescent="0.2">
      <c r="A428" s="201" t="s">
        <v>755</v>
      </c>
      <c r="B428" s="194" t="s">
        <v>346</v>
      </c>
      <c r="C428" s="194"/>
      <c r="D428" s="194"/>
      <c r="E428" s="194"/>
      <c r="F428" s="194"/>
      <c r="G428" s="194"/>
      <c r="H428" s="201" t="s">
        <v>542</v>
      </c>
    </row>
    <row r="429" spans="1:8" hidden="1" x14ac:dyDescent="0.2">
      <c r="A429" s="201" t="s">
        <v>756</v>
      </c>
      <c r="B429" s="194" t="s">
        <v>346</v>
      </c>
      <c r="C429" s="194"/>
      <c r="D429" s="194"/>
      <c r="E429" s="194"/>
      <c r="F429" s="194"/>
      <c r="G429" s="194"/>
      <c r="H429" s="201" t="s">
        <v>542</v>
      </c>
    </row>
    <row r="430" spans="1:8" hidden="1" x14ac:dyDescent="0.2">
      <c r="A430" s="201" t="s">
        <v>757</v>
      </c>
      <c r="B430" s="194" t="s">
        <v>346</v>
      </c>
      <c r="C430" s="194"/>
      <c r="D430" s="194"/>
      <c r="E430" s="194"/>
      <c r="F430" s="194"/>
      <c r="G430" s="194"/>
      <c r="H430" s="201" t="s">
        <v>542</v>
      </c>
    </row>
    <row r="431" spans="1:8" hidden="1" x14ac:dyDescent="0.2">
      <c r="A431" s="201" t="s">
        <v>758</v>
      </c>
      <c r="B431" s="194" t="s">
        <v>346</v>
      </c>
      <c r="C431" s="194"/>
      <c r="D431" s="194"/>
      <c r="E431" s="194"/>
      <c r="F431" s="194"/>
      <c r="G431" s="194"/>
      <c r="H431" s="201" t="s">
        <v>542</v>
      </c>
    </row>
    <row r="432" spans="1:8" hidden="1" x14ac:dyDescent="0.2">
      <c r="A432" s="201" t="s">
        <v>759</v>
      </c>
      <c r="B432" s="194" t="s">
        <v>346</v>
      </c>
      <c r="C432" s="194"/>
      <c r="D432" s="194"/>
      <c r="E432" s="194"/>
      <c r="F432" s="194"/>
      <c r="G432" s="194"/>
      <c r="H432" s="201" t="s">
        <v>542</v>
      </c>
    </row>
    <row r="433" spans="1:8" hidden="1" x14ac:dyDescent="0.2">
      <c r="A433" s="201" t="s">
        <v>760</v>
      </c>
      <c r="B433" s="194" t="s">
        <v>346</v>
      </c>
      <c r="C433" s="194"/>
      <c r="D433" s="194"/>
      <c r="E433" s="194"/>
      <c r="F433" s="194"/>
      <c r="G433" s="194"/>
      <c r="H433" s="201" t="s">
        <v>542</v>
      </c>
    </row>
    <row r="434" spans="1:8" hidden="1" x14ac:dyDescent="0.2">
      <c r="A434" s="201" t="s">
        <v>761</v>
      </c>
      <c r="B434" s="194" t="s">
        <v>346</v>
      </c>
      <c r="C434" s="194"/>
      <c r="D434" s="194"/>
      <c r="E434" s="194"/>
      <c r="F434" s="194"/>
      <c r="G434" s="194"/>
      <c r="H434" s="201" t="s">
        <v>542</v>
      </c>
    </row>
    <row r="435" spans="1:8" hidden="1" x14ac:dyDescent="0.2">
      <c r="A435" s="201" t="s">
        <v>762</v>
      </c>
      <c r="B435" s="194" t="s">
        <v>346</v>
      </c>
      <c r="C435" s="194"/>
      <c r="D435" s="194"/>
      <c r="E435" s="194"/>
      <c r="F435" s="194"/>
      <c r="G435" s="194"/>
      <c r="H435" s="201" t="s">
        <v>542</v>
      </c>
    </row>
    <row r="436" spans="1:8" hidden="1" x14ac:dyDescent="0.2">
      <c r="A436" s="201" t="s">
        <v>763</v>
      </c>
      <c r="B436" s="194" t="s">
        <v>346</v>
      </c>
      <c r="C436" s="194"/>
      <c r="D436" s="194"/>
      <c r="E436" s="194"/>
      <c r="F436" s="194"/>
      <c r="G436" s="194"/>
      <c r="H436" s="201" t="s">
        <v>542</v>
      </c>
    </row>
    <row r="437" spans="1:8" hidden="1" x14ac:dyDescent="0.2">
      <c r="A437" s="201" t="s">
        <v>764</v>
      </c>
      <c r="B437" s="194" t="s">
        <v>346</v>
      </c>
      <c r="C437" s="194"/>
      <c r="D437" s="194"/>
      <c r="E437" s="194"/>
      <c r="F437" s="194"/>
      <c r="G437" s="194"/>
      <c r="H437" s="201" t="s">
        <v>542</v>
      </c>
    </row>
    <row r="438" spans="1:8" hidden="1" x14ac:dyDescent="0.2">
      <c r="A438" s="201" t="s">
        <v>765</v>
      </c>
      <c r="B438" s="194" t="s">
        <v>346</v>
      </c>
      <c r="C438" s="194"/>
      <c r="D438" s="194"/>
      <c r="E438" s="194"/>
      <c r="F438" s="194"/>
      <c r="G438" s="194"/>
      <c r="H438" s="201" t="s">
        <v>542</v>
      </c>
    </row>
    <row r="439" spans="1:8" hidden="1" x14ac:dyDescent="0.2">
      <c r="A439" s="201" t="s">
        <v>766</v>
      </c>
      <c r="B439" s="194" t="s">
        <v>346</v>
      </c>
      <c r="C439" s="194"/>
      <c r="D439" s="194"/>
      <c r="E439" s="194"/>
      <c r="F439" s="194"/>
      <c r="G439" s="194"/>
      <c r="H439" s="201" t="s">
        <v>542</v>
      </c>
    </row>
    <row r="440" spans="1:8" hidden="1" x14ac:dyDescent="0.2">
      <c r="A440" s="201" t="s">
        <v>767</v>
      </c>
      <c r="B440" s="194" t="s">
        <v>346</v>
      </c>
      <c r="C440" s="194"/>
      <c r="D440" s="194"/>
      <c r="E440" s="194"/>
      <c r="F440" s="194"/>
      <c r="G440" s="194"/>
      <c r="H440" s="201" t="s">
        <v>542</v>
      </c>
    </row>
    <row r="441" spans="1:8" hidden="1" x14ac:dyDescent="0.2">
      <c r="A441" s="201" t="s">
        <v>768</v>
      </c>
      <c r="B441" s="194" t="s">
        <v>346</v>
      </c>
      <c r="C441" s="194"/>
      <c r="D441" s="194"/>
      <c r="E441" s="194"/>
      <c r="F441" s="194"/>
      <c r="G441" s="194"/>
      <c r="H441" s="201" t="s">
        <v>542</v>
      </c>
    </row>
    <row r="442" spans="1:8" hidden="1" x14ac:dyDescent="0.2">
      <c r="A442" s="201" t="s">
        <v>769</v>
      </c>
      <c r="B442" s="194" t="s">
        <v>346</v>
      </c>
      <c r="C442" s="194"/>
      <c r="D442" s="194"/>
      <c r="E442" s="194"/>
      <c r="F442" s="194"/>
      <c r="G442" s="194"/>
      <c r="H442" s="201" t="s">
        <v>542</v>
      </c>
    </row>
    <row r="443" spans="1:8" hidden="1" x14ac:dyDescent="0.2">
      <c r="A443" s="201" t="s">
        <v>770</v>
      </c>
      <c r="B443" s="194" t="s">
        <v>346</v>
      </c>
      <c r="C443" s="194"/>
      <c r="D443" s="194"/>
      <c r="E443" s="194"/>
      <c r="F443" s="194"/>
      <c r="G443" s="194"/>
      <c r="H443" s="201" t="s">
        <v>542</v>
      </c>
    </row>
    <row r="444" spans="1:8" hidden="1" x14ac:dyDescent="0.2">
      <c r="A444" s="201" t="s">
        <v>771</v>
      </c>
      <c r="B444" s="194" t="s">
        <v>346</v>
      </c>
      <c r="C444" s="194"/>
      <c r="D444" s="194"/>
      <c r="E444" s="194"/>
      <c r="F444" s="194"/>
      <c r="G444" s="194"/>
      <c r="H444" s="201" t="s">
        <v>542</v>
      </c>
    </row>
    <row r="445" spans="1:8" hidden="1" x14ac:dyDescent="0.2">
      <c r="A445" s="201" t="s">
        <v>772</v>
      </c>
      <c r="B445" s="194" t="s">
        <v>346</v>
      </c>
      <c r="C445" s="194"/>
      <c r="D445" s="194"/>
      <c r="E445" s="194"/>
      <c r="F445" s="194"/>
      <c r="G445" s="194"/>
      <c r="H445" s="201" t="s">
        <v>542</v>
      </c>
    </row>
    <row r="446" spans="1:8" hidden="1" x14ac:dyDescent="0.2">
      <c r="A446" s="201" t="s">
        <v>773</v>
      </c>
      <c r="B446" s="194" t="s">
        <v>346</v>
      </c>
      <c r="C446" s="194"/>
      <c r="D446" s="194"/>
      <c r="E446" s="194"/>
      <c r="F446" s="194"/>
      <c r="G446" s="194"/>
      <c r="H446" s="201" t="s">
        <v>542</v>
      </c>
    </row>
    <row r="447" spans="1:8" hidden="1" x14ac:dyDescent="0.2">
      <c r="A447" s="201" t="s">
        <v>774</v>
      </c>
      <c r="B447" s="194" t="s">
        <v>346</v>
      </c>
      <c r="C447" s="194"/>
      <c r="D447" s="194"/>
      <c r="E447" s="194"/>
      <c r="F447" s="194"/>
      <c r="G447" s="194"/>
      <c r="H447" s="201" t="s">
        <v>542</v>
      </c>
    </row>
    <row r="448" spans="1:8" hidden="1" x14ac:dyDescent="0.2">
      <c r="A448" s="201" t="s">
        <v>775</v>
      </c>
      <c r="B448" s="194" t="s">
        <v>346</v>
      </c>
      <c r="C448" s="194"/>
      <c r="D448" s="194"/>
      <c r="E448" s="194"/>
      <c r="F448" s="194"/>
      <c r="G448" s="194"/>
      <c r="H448" s="201" t="s">
        <v>542</v>
      </c>
    </row>
    <row r="449" spans="1:8" hidden="1" x14ac:dyDescent="0.2">
      <c r="A449" s="205" t="s">
        <v>776</v>
      </c>
      <c r="B449" s="194" t="s">
        <v>346</v>
      </c>
      <c r="C449" s="194"/>
      <c r="D449" s="194"/>
      <c r="E449" s="194"/>
      <c r="F449" s="194"/>
      <c r="G449" s="194"/>
      <c r="H449" s="205" t="s">
        <v>689</v>
      </c>
    </row>
    <row r="450" spans="1:8" hidden="1" x14ac:dyDescent="0.2">
      <c r="A450" s="205" t="s">
        <v>777</v>
      </c>
      <c r="B450" s="194" t="s">
        <v>346</v>
      </c>
      <c r="C450" s="194"/>
      <c r="D450" s="194"/>
      <c r="E450" s="194"/>
      <c r="F450" s="194"/>
      <c r="G450" s="194"/>
      <c r="H450" s="205" t="s">
        <v>689</v>
      </c>
    </row>
    <row r="451" spans="1:8" hidden="1" x14ac:dyDescent="0.2">
      <c r="A451" s="205" t="s">
        <v>778</v>
      </c>
      <c r="B451" s="194" t="s">
        <v>346</v>
      </c>
      <c r="C451" s="194"/>
      <c r="D451" s="194"/>
      <c r="E451" s="194"/>
      <c r="F451" s="194"/>
      <c r="G451" s="194"/>
      <c r="H451" s="205" t="s">
        <v>653</v>
      </c>
    </row>
    <row r="452" spans="1:8" hidden="1" x14ac:dyDescent="0.2">
      <c r="A452" s="205" t="s">
        <v>779</v>
      </c>
      <c r="B452" s="194" t="s">
        <v>346</v>
      </c>
      <c r="C452" s="194"/>
      <c r="D452" s="194"/>
      <c r="E452" s="194"/>
      <c r="F452" s="194"/>
      <c r="G452" s="194"/>
      <c r="H452" s="205" t="s">
        <v>653</v>
      </c>
    </row>
    <row r="453" spans="1:8" hidden="1" x14ac:dyDescent="0.2">
      <c r="A453" s="205" t="s">
        <v>780</v>
      </c>
      <c r="B453" s="194" t="s">
        <v>346</v>
      </c>
      <c r="C453" s="194"/>
      <c r="D453" s="194"/>
      <c r="E453" s="194"/>
      <c r="F453" s="194"/>
      <c r="G453" s="194"/>
      <c r="H453" s="205" t="s">
        <v>689</v>
      </c>
    </row>
    <row r="454" spans="1:8" hidden="1" x14ac:dyDescent="0.2">
      <c r="A454" s="198" t="s">
        <v>781</v>
      </c>
      <c r="B454" s="194" t="s">
        <v>346</v>
      </c>
      <c r="C454" s="194"/>
      <c r="D454" s="194"/>
      <c r="E454" s="194"/>
      <c r="F454" s="194"/>
      <c r="G454" s="194"/>
      <c r="H454" s="198" t="s">
        <v>517</v>
      </c>
    </row>
    <row r="455" spans="1:8" hidden="1" x14ac:dyDescent="0.2">
      <c r="A455" s="198" t="s">
        <v>782</v>
      </c>
      <c r="B455" s="194" t="s">
        <v>346</v>
      </c>
      <c r="C455" s="194"/>
      <c r="D455" s="194"/>
      <c r="E455" s="194"/>
      <c r="F455" s="194"/>
      <c r="G455" s="194"/>
      <c r="H455" s="198" t="s">
        <v>517</v>
      </c>
    </row>
    <row r="456" spans="1:8" hidden="1" x14ac:dyDescent="0.2">
      <c r="A456" s="198" t="s">
        <v>783</v>
      </c>
      <c r="B456" s="194" t="s">
        <v>346</v>
      </c>
      <c r="C456" s="194"/>
      <c r="D456" s="194"/>
      <c r="E456" s="194"/>
      <c r="F456" s="194"/>
      <c r="G456" s="194"/>
      <c r="H456" s="198" t="s">
        <v>517</v>
      </c>
    </row>
    <row r="457" spans="1:8" hidden="1" x14ac:dyDescent="0.2">
      <c r="A457" s="198" t="s">
        <v>784</v>
      </c>
      <c r="B457" s="194" t="s">
        <v>346</v>
      </c>
      <c r="C457" s="194"/>
      <c r="D457" s="194"/>
      <c r="E457" s="194"/>
      <c r="F457" s="194"/>
      <c r="G457" s="194"/>
      <c r="H457" s="198" t="s">
        <v>517</v>
      </c>
    </row>
    <row r="458" spans="1:8" hidden="1" x14ac:dyDescent="0.2">
      <c r="A458" s="198" t="s">
        <v>785</v>
      </c>
      <c r="B458" s="194" t="s">
        <v>346</v>
      </c>
      <c r="C458" s="194"/>
      <c r="D458" s="194"/>
      <c r="E458" s="194"/>
      <c r="F458" s="194"/>
      <c r="G458" s="194"/>
      <c r="H458" s="198" t="s">
        <v>517</v>
      </c>
    </row>
    <row r="459" spans="1:8" hidden="1" x14ac:dyDescent="0.2">
      <c r="A459" s="198" t="s">
        <v>786</v>
      </c>
      <c r="B459" s="194" t="s">
        <v>346</v>
      </c>
      <c r="C459" s="194"/>
      <c r="D459" s="194"/>
      <c r="E459" s="194"/>
      <c r="F459" s="194"/>
      <c r="G459" s="194"/>
      <c r="H459" s="198" t="s">
        <v>517</v>
      </c>
    </row>
    <row r="460" spans="1:8" hidden="1" x14ac:dyDescent="0.2">
      <c r="A460" s="198" t="s">
        <v>787</v>
      </c>
      <c r="B460" s="194" t="s">
        <v>346</v>
      </c>
      <c r="C460" s="194"/>
      <c r="D460" s="194"/>
      <c r="E460" s="194"/>
      <c r="F460" s="194"/>
      <c r="G460" s="194"/>
      <c r="H460" s="198" t="s">
        <v>517</v>
      </c>
    </row>
    <row r="461" spans="1:8" hidden="1" x14ac:dyDescent="0.2">
      <c r="A461" s="200" t="s">
        <v>788</v>
      </c>
      <c r="B461" s="194" t="s">
        <v>346</v>
      </c>
      <c r="C461" s="194"/>
      <c r="D461" s="194"/>
      <c r="E461" s="194"/>
      <c r="F461" s="194"/>
      <c r="G461" s="194"/>
      <c r="H461" s="200" t="s">
        <v>515</v>
      </c>
    </row>
    <row r="462" spans="1:8" hidden="1" x14ac:dyDescent="0.2">
      <c r="A462" s="205" t="s">
        <v>789</v>
      </c>
      <c r="B462" s="194" t="s">
        <v>346</v>
      </c>
      <c r="C462" s="194"/>
      <c r="D462" s="194"/>
      <c r="E462" s="194"/>
      <c r="F462" s="194"/>
      <c r="G462" s="194"/>
      <c r="H462" s="205" t="s">
        <v>689</v>
      </c>
    </row>
    <row r="463" spans="1:8" hidden="1" x14ac:dyDescent="0.2">
      <c r="A463" s="205" t="s">
        <v>790</v>
      </c>
      <c r="B463" s="194" t="s">
        <v>346</v>
      </c>
      <c r="C463" s="194"/>
      <c r="D463" s="194"/>
      <c r="E463" s="194"/>
      <c r="F463" s="194"/>
      <c r="G463" s="194"/>
      <c r="H463" s="205" t="s">
        <v>689</v>
      </c>
    </row>
    <row r="464" spans="1:8" hidden="1" x14ac:dyDescent="0.2">
      <c r="A464" s="205" t="s">
        <v>791</v>
      </c>
      <c r="B464" s="194" t="s">
        <v>346</v>
      </c>
      <c r="C464" s="194"/>
      <c r="D464" s="194"/>
      <c r="E464" s="194"/>
      <c r="F464" s="194"/>
      <c r="G464" s="194"/>
      <c r="H464" s="205" t="s">
        <v>689</v>
      </c>
    </row>
    <row r="465" spans="1:8" hidden="1" x14ac:dyDescent="0.2">
      <c r="A465" s="198" t="s">
        <v>792</v>
      </c>
      <c r="B465" s="194" t="s">
        <v>346</v>
      </c>
      <c r="C465" s="194"/>
      <c r="D465" s="194"/>
      <c r="E465" s="194"/>
      <c r="F465" s="194"/>
      <c r="G465" s="194"/>
      <c r="H465" s="198" t="s">
        <v>517</v>
      </c>
    </row>
    <row r="466" spans="1:8" hidden="1" x14ac:dyDescent="0.2">
      <c r="A466" s="198" t="s">
        <v>793</v>
      </c>
      <c r="B466" s="194" t="s">
        <v>346</v>
      </c>
      <c r="C466" s="194"/>
      <c r="D466" s="194"/>
      <c r="E466" s="194"/>
      <c r="F466" s="194"/>
      <c r="G466" s="194"/>
      <c r="H466" s="198" t="s">
        <v>517</v>
      </c>
    </row>
    <row r="467" spans="1:8" hidden="1" x14ac:dyDescent="0.2">
      <c r="A467" s="198" t="s">
        <v>794</v>
      </c>
      <c r="B467" s="194" t="s">
        <v>346</v>
      </c>
      <c r="C467" s="194"/>
      <c r="D467" s="194"/>
      <c r="E467" s="194"/>
      <c r="F467" s="194"/>
      <c r="G467" s="194"/>
      <c r="H467" s="198" t="s">
        <v>517</v>
      </c>
    </row>
    <row r="468" spans="1:8" hidden="1" x14ac:dyDescent="0.2">
      <c r="A468" s="198" t="s">
        <v>795</v>
      </c>
      <c r="B468" s="194" t="s">
        <v>346</v>
      </c>
      <c r="C468" s="194"/>
      <c r="D468" s="194"/>
      <c r="E468" s="194"/>
      <c r="F468" s="194"/>
      <c r="G468" s="194"/>
      <c r="H468" s="198" t="s">
        <v>517</v>
      </c>
    </row>
    <row r="469" spans="1:8" hidden="1" x14ac:dyDescent="0.2">
      <c r="A469" s="198" t="s">
        <v>796</v>
      </c>
      <c r="B469" s="194" t="s">
        <v>346</v>
      </c>
      <c r="C469" s="194"/>
      <c r="D469" s="194"/>
      <c r="E469" s="194"/>
      <c r="F469" s="194"/>
      <c r="G469" s="194"/>
      <c r="H469" s="198" t="s">
        <v>517</v>
      </c>
    </row>
    <row r="470" spans="1:8" hidden="1" x14ac:dyDescent="0.2">
      <c r="A470" s="198" t="s">
        <v>797</v>
      </c>
      <c r="B470" s="194" t="s">
        <v>346</v>
      </c>
      <c r="C470" s="194"/>
      <c r="D470" s="194"/>
      <c r="E470" s="194"/>
      <c r="F470" s="194"/>
      <c r="G470" s="194"/>
      <c r="H470" s="198" t="s">
        <v>517</v>
      </c>
    </row>
    <row r="471" spans="1:8" hidden="1" x14ac:dyDescent="0.2">
      <c r="A471" s="198" t="s">
        <v>798</v>
      </c>
      <c r="B471" s="194" t="s">
        <v>346</v>
      </c>
      <c r="C471" s="194"/>
      <c r="D471" s="194"/>
      <c r="E471" s="194"/>
      <c r="F471" s="194"/>
      <c r="G471" s="194"/>
      <c r="H471" s="198" t="s">
        <v>517</v>
      </c>
    </row>
    <row r="472" spans="1:8" hidden="1" x14ac:dyDescent="0.2">
      <c r="A472" s="198" t="s">
        <v>799</v>
      </c>
      <c r="B472" s="194" t="s">
        <v>346</v>
      </c>
      <c r="C472" s="194"/>
      <c r="D472" s="194"/>
      <c r="E472" s="194"/>
      <c r="F472" s="194"/>
      <c r="G472" s="194"/>
      <c r="H472" s="198" t="s">
        <v>517</v>
      </c>
    </row>
    <row r="473" spans="1:8" hidden="1" x14ac:dyDescent="0.2">
      <c r="A473" s="198" t="s">
        <v>800</v>
      </c>
      <c r="B473" s="194" t="s">
        <v>346</v>
      </c>
      <c r="C473" s="194"/>
      <c r="D473" s="194"/>
      <c r="E473" s="194"/>
      <c r="F473" s="194"/>
      <c r="G473" s="194"/>
      <c r="H473" s="198" t="s">
        <v>517</v>
      </c>
    </row>
    <row r="474" spans="1:8" hidden="1" x14ac:dyDescent="0.2">
      <c r="A474" s="198" t="s">
        <v>801</v>
      </c>
      <c r="B474" s="194" t="s">
        <v>346</v>
      </c>
      <c r="C474" s="194"/>
      <c r="D474" s="194"/>
      <c r="E474" s="194"/>
      <c r="F474" s="194"/>
      <c r="G474" s="194"/>
      <c r="H474" s="198" t="s">
        <v>517</v>
      </c>
    </row>
    <row r="475" spans="1:8" hidden="1" x14ac:dyDescent="0.2">
      <c r="A475" s="198" t="s">
        <v>802</v>
      </c>
      <c r="B475" s="194" t="s">
        <v>346</v>
      </c>
      <c r="C475" s="194"/>
      <c r="D475" s="194"/>
      <c r="E475" s="194"/>
      <c r="F475" s="194"/>
      <c r="G475" s="194"/>
      <c r="H475" s="198" t="s">
        <v>517</v>
      </c>
    </row>
    <row r="476" spans="1:8" hidden="1" x14ac:dyDescent="0.2">
      <c r="A476" s="198" t="s">
        <v>803</v>
      </c>
      <c r="B476" s="194" t="s">
        <v>346</v>
      </c>
      <c r="C476" s="194"/>
      <c r="D476" s="194"/>
      <c r="E476" s="194"/>
      <c r="F476" s="194"/>
      <c r="G476" s="194"/>
      <c r="H476" s="198" t="s">
        <v>517</v>
      </c>
    </row>
    <row r="477" spans="1:8" hidden="1" x14ac:dyDescent="0.2">
      <c r="A477" s="200" t="s">
        <v>804</v>
      </c>
      <c r="B477" s="194" t="s">
        <v>346</v>
      </c>
      <c r="C477" s="194"/>
      <c r="D477" s="194"/>
      <c r="E477" s="194"/>
      <c r="F477" s="194"/>
      <c r="G477" s="194"/>
      <c r="H477" s="200" t="s">
        <v>515</v>
      </c>
    </row>
    <row r="478" spans="1:8" hidden="1" x14ac:dyDescent="0.2">
      <c r="A478" s="201" t="s">
        <v>805</v>
      </c>
      <c r="B478" s="194" t="s">
        <v>346</v>
      </c>
      <c r="C478" s="194"/>
      <c r="D478" s="194"/>
      <c r="E478" s="194"/>
      <c r="F478" s="194"/>
      <c r="G478" s="194"/>
      <c r="H478" s="201" t="s">
        <v>542</v>
      </c>
    </row>
    <row r="479" spans="1:8" hidden="1" x14ac:dyDescent="0.2">
      <c r="A479" s="201" t="s">
        <v>806</v>
      </c>
      <c r="B479" s="194" t="s">
        <v>346</v>
      </c>
      <c r="C479" s="194"/>
      <c r="D479" s="194"/>
      <c r="E479" s="194"/>
      <c r="F479" s="194"/>
      <c r="G479" s="194"/>
      <c r="H479" s="201" t="s">
        <v>542</v>
      </c>
    </row>
    <row r="480" spans="1:8" hidden="1" x14ac:dyDescent="0.2">
      <c r="A480" s="201" t="s">
        <v>807</v>
      </c>
      <c r="B480" s="194" t="s">
        <v>346</v>
      </c>
      <c r="C480" s="194"/>
      <c r="D480" s="194"/>
      <c r="E480" s="194"/>
      <c r="F480" s="194"/>
      <c r="G480" s="194"/>
      <c r="H480" s="201" t="s">
        <v>542</v>
      </c>
    </row>
    <row r="481" spans="1:8" hidden="1" x14ac:dyDescent="0.2">
      <c r="A481" s="201" t="s">
        <v>808</v>
      </c>
      <c r="B481" s="194" t="s">
        <v>346</v>
      </c>
      <c r="C481" s="194"/>
      <c r="D481" s="194"/>
      <c r="E481" s="194"/>
      <c r="F481" s="194"/>
      <c r="G481" s="194"/>
      <c r="H481" s="201" t="s">
        <v>542</v>
      </c>
    </row>
    <row r="482" spans="1:8" hidden="1" x14ac:dyDescent="0.2">
      <c r="A482" s="201" t="s">
        <v>809</v>
      </c>
      <c r="B482" s="194" t="s">
        <v>346</v>
      </c>
      <c r="C482" s="194"/>
      <c r="D482" s="194"/>
      <c r="E482" s="194"/>
      <c r="F482" s="194"/>
      <c r="G482" s="194"/>
      <c r="H482" s="201" t="s">
        <v>542</v>
      </c>
    </row>
    <row r="483" spans="1:8" hidden="1" x14ac:dyDescent="0.2">
      <c r="A483" s="201" t="s">
        <v>810</v>
      </c>
      <c r="B483" s="194" t="s">
        <v>346</v>
      </c>
      <c r="C483" s="194"/>
      <c r="D483" s="194"/>
      <c r="E483" s="194"/>
      <c r="F483" s="194"/>
      <c r="G483" s="194"/>
      <c r="H483" s="201" t="s">
        <v>542</v>
      </c>
    </row>
    <row r="484" spans="1:8" hidden="1" x14ac:dyDescent="0.2">
      <c r="A484" s="201" t="s">
        <v>811</v>
      </c>
      <c r="B484" s="194" t="s">
        <v>346</v>
      </c>
      <c r="C484" s="194"/>
      <c r="D484" s="194"/>
      <c r="E484" s="194"/>
      <c r="F484" s="194"/>
      <c r="G484" s="194"/>
      <c r="H484" s="201" t="s">
        <v>542</v>
      </c>
    </row>
    <row r="485" spans="1:8" hidden="1" x14ac:dyDescent="0.2">
      <c r="A485" s="201" t="s">
        <v>812</v>
      </c>
      <c r="B485" s="194" t="s">
        <v>346</v>
      </c>
      <c r="C485" s="194"/>
      <c r="D485" s="194"/>
      <c r="E485" s="194"/>
      <c r="F485" s="194"/>
      <c r="G485" s="194"/>
      <c r="H485" s="201" t="s">
        <v>542</v>
      </c>
    </row>
    <row r="486" spans="1:8" hidden="1" x14ac:dyDescent="0.2">
      <c r="A486" s="199" t="s">
        <v>813</v>
      </c>
      <c r="B486" s="194" t="s">
        <v>346</v>
      </c>
      <c r="C486" s="194"/>
      <c r="D486" s="194"/>
      <c r="E486" s="194"/>
      <c r="F486" s="194"/>
      <c r="G486" s="194"/>
      <c r="H486" s="199" t="s">
        <v>519</v>
      </c>
    </row>
    <row r="487" spans="1:8" hidden="1" x14ac:dyDescent="0.2">
      <c r="A487" s="199" t="s">
        <v>814</v>
      </c>
      <c r="B487" s="194" t="s">
        <v>346</v>
      </c>
      <c r="C487" s="194"/>
      <c r="D487" s="194"/>
      <c r="E487" s="194"/>
      <c r="F487" s="194"/>
      <c r="G487" s="194"/>
      <c r="H487" s="199" t="s">
        <v>519</v>
      </c>
    </row>
    <row r="488" spans="1:8" hidden="1" x14ac:dyDescent="0.2">
      <c r="A488" s="199" t="s">
        <v>815</v>
      </c>
      <c r="B488" s="194" t="s">
        <v>346</v>
      </c>
      <c r="C488" s="194"/>
      <c r="D488" s="194"/>
      <c r="E488" s="194"/>
      <c r="F488" s="194"/>
      <c r="G488" s="194"/>
      <c r="H488" s="199" t="s">
        <v>519</v>
      </c>
    </row>
    <row r="489" spans="1:8" hidden="1" x14ac:dyDescent="0.2">
      <c r="A489" s="198" t="s">
        <v>816</v>
      </c>
      <c r="B489" s="194" t="s">
        <v>297</v>
      </c>
      <c r="C489" s="194"/>
      <c r="D489" t="s">
        <v>231</v>
      </c>
      <c r="E489" s="194"/>
      <c r="F489" s="194"/>
      <c r="G489" s="194"/>
      <c r="H489" s="198" t="s">
        <v>517</v>
      </c>
    </row>
    <row r="490" spans="1:8" hidden="1" x14ac:dyDescent="0.2">
      <c r="A490" s="199" t="s">
        <v>817</v>
      </c>
      <c r="B490" s="194" t="s">
        <v>346</v>
      </c>
      <c r="C490" s="194"/>
      <c r="D490" s="194"/>
      <c r="E490" s="194"/>
      <c r="F490" s="194"/>
      <c r="G490" s="194"/>
      <c r="H490" s="199" t="s">
        <v>519</v>
      </c>
    </row>
    <row r="491" spans="1:8" hidden="1" x14ac:dyDescent="0.2">
      <c r="A491" s="201" t="s">
        <v>818</v>
      </c>
      <c r="B491" s="194" t="s">
        <v>346</v>
      </c>
      <c r="C491" s="194"/>
      <c r="D491" s="194"/>
      <c r="E491" s="194"/>
      <c r="F491" s="194"/>
      <c r="G491" s="194"/>
      <c r="H491" s="201" t="s">
        <v>542</v>
      </c>
    </row>
    <row r="492" spans="1:8" hidden="1" x14ac:dyDescent="0.2">
      <c r="A492" s="201" t="s">
        <v>819</v>
      </c>
      <c r="B492" s="194" t="s">
        <v>346</v>
      </c>
      <c r="C492" s="194"/>
      <c r="D492" s="194"/>
      <c r="E492" s="194"/>
      <c r="F492" s="194"/>
      <c r="G492" s="194"/>
      <c r="H492" s="201" t="s">
        <v>542</v>
      </c>
    </row>
    <row r="493" spans="1:8" hidden="1" x14ac:dyDescent="0.2">
      <c r="A493" s="201" t="s">
        <v>820</v>
      </c>
      <c r="B493" s="194" t="s">
        <v>346</v>
      </c>
      <c r="C493" s="194"/>
      <c r="D493" s="194"/>
      <c r="E493" s="194"/>
      <c r="F493" s="194"/>
      <c r="G493" s="194"/>
      <c r="H493" s="201" t="s">
        <v>542</v>
      </c>
    </row>
    <row r="494" spans="1:8" hidden="1" x14ac:dyDescent="0.2">
      <c r="A494" s="201" t="s">
        <v>821</v>
      </c>
      <c r="B494" s="194" t="s">
        <v>346</v>
      </c>
      <c r="C494" s="194"/>
      <c r="D494" s="194"/>
      <c r="E494" s="194"/>
      <c r="F494" s="194"/>
      <c r="G494" s="194"/>
      <c r="H494" s="201" t="s">
        <v>542</v>
      </c>
    </row>
    <row r="495" spans="1:8" hidden="1" x14ac:dyDescent="0.2">
      <c r="A495" s="202" t="s">
        <v>822</v>
      </c>
      <c r="B495" s="194" t="s">
        <v>346</v>
      </c>
      <c r="C495" s="194"/>
      <c r="D495" s="194"/>
      <c r="E495" s="194"/>
      <c r="F495" s="194"/>
      <c r="G495" s="194"/>
      <c r="H495" s="202" t="s">
        <v>551</v>
      </c>
    </row>
    <row r="496" spans="1:8" hidden="1" x14ac:dyDescent="0.2">
      <c r="A496" s="202" t="s">
        <v>823</v>
      </c>
      <c r="B496" s="194" t="s">
        <v>346</v>
      </c>
      <c r="C496" s="194"/>
      <c r="D496" s="194"/>
      <c r="E496" s="194"/>
      <c r="F496" s="194"/>
      <c r="G496" s="194"/>
      <c r="H496" s="202" t="s">
        <v>551</v>
      </c>
    </row>
    <row r="497" spans="1:8" hidden="1" x14ac:dyDescent="0.2">
      <c r="A497" s="202" t="s">
        <v>824</v>
      </c>
      <c r="B497" s="194" t="s">
        <v>346</v>
      </c>
      <c r="C497" s="194"/>
      <c r="D497" s="194"/>
      <c r="E497" s="194"/>
      <c r="F497" s="194"/>
      <c r="G497" s="194"/>
      <c r="H497" s="202" t="s">
        <v>551</v>
      </c>
    </row>
    <row r="498" spans="1:8" hidden="1" x14ac:dyDescent="0.2">
      <c r="A498" s="202" t="s">
        <v>825</v>
      </c>
      <c r="B498" s="194" t="s">
        <v>346</v>
      </c>
      <c r="C498" s="194"/>
      <c r="D498" s="194"/>
      <c r="E498" s="194"/>
      <c r="F498" s="194"/>
      <c r="G498" s="194"/>
      <c r="H498" s="202" t="s">
        <v>551</v>
      </c>
    </row>
    <row r="499" spans="1:8" hidden="1" x14ac:dyDescent="0.2">
      <c r="A499" s="202" t="s">
        <v>826</v>
      </c>
      <c r="B499" s="194" t="s">
        <v>346</v>
      </c>
      <c r="C499" s="194"/>
      <c r="D499" s="194"/>
      <c r="E499" s="194"/>
      <c r="F499" s="194"/>
      <c r="G499" s="194"/>
      <c r="H499" s="202" t="s">
        <v>551</v>
      </c>
    </row>
    <row r="500" spans="1:8" hidden="1" x14ac:dyDescent="0.2">
      <c r="A500" s="202" t="s">
        <v>827</v>
      </c>
      <c r="B500" s="194" t="s">
        <v>346</v>
      </c>
      <c r="C500" s="194"/>
      <c r="D500" s="194"/>
      <c r="E500" s="194"/>
      <c r="F500" s="194"/>
      <c r="G500" s="194"/>
      <c r="H500" s="202" t="s">
        <v>551</v>
      </c>
    </row>
    <row r="501" spans="1:8" hidden="1" x14ac:dyDescent="0.2">
      <c r="A501" s="202" t="s">
        <v>828</v>
      </c>
      <c r="B501" s="194" t="s">
        <v>346</v>
      </c>
      <c r="C501" s="194"/>
      <c r="D501" s="194"/>
      <c r="E501" s="194"/>
      <c r="F501" s="194"/>
      <c r="G501" s="194"/>
      <c r="H501" s="202" t="s">
        <v>551</v>
      </c>
    </row>
    <row r="502" spans="1:8" hidden="1" x14ac:dyDescent="0.2">
      <c r="A502" s="202" t="s">
        <v>829</v>
      </c>
      <c r="B502" s="194" t="s">
        <v>346</v>
      </c>
      <c r="C502" s="194"/>
      <c r="D502" s="194"/>
      <c r="E502" s="194"/>
      <c r="F502" s="194"/>
      <c r="G502" s="194"/>
      <c r="H502" s="202" t="s">
        <v>551</v>
      </c>
    </row>
    <row r="503" spans="1:8" hidden="1" x14ac:dyDescent="0.2">
      <c r="A503" s="199" t="s">
        <v>830</v>
      </c>
      <c r="B503" s="194" t="s">
        <v>346</v>
      </c>
      <c r="C503" s="194"/>
      <c r="D503" s="194"/>
      <c r="E503" s="194"/>
      <c r="F503" s="194"/>
      <c r="G503" s="194"/>
      <c r="H503" s="199" t="s">
        <v>519</v>
      </c>
    </row>
    <row r="504" spans="1:8" hidden="1" x14ac:dyDescent="0.2">
      <c r="A504" s="199" t="s">
        <v>831</v>
      </c>
      <c r="B504" s="194" t="s">
        <v>346</v>
      </c>
      <c r="C504" s="194"/>
      <c r="D504" s="194"/>
      <c r="E504" s="194"/>
      <c r="F504" s="194"/>
      <c r="G504" s="194"/>
      <c r="H504" s="199" t="s">
        <v>519</v>
      </c>
    </row>
    <row r="505" spans="1:8" hidden="1" x14ac:dyDescent="0.2">
      <c r="A505" s="198" t="s">
        <v>832</v>
      </c>
      <c r="B505" s="194" t="s">
        <v>346</v>
      </c>
      <c r="C505" s="194"/>
      <c r="D505" s="194"/>
      <c r="E505" s="194"/>
      <c r="F505" s="194"/>
      <c r="G505" s="194"/>
      <c r="H505" s="198" t="s">
        <v>517</v>
      </c>
    </row>
    <row r="506" spans="1:8" hidden="1" x14ac:dyDescent="0.2">
      <c r="A506" s="202" t="s">
        <v>833</v>
      </c>
      <c r="B506" s="194" t="s">
        <v>346</v>
      </c>
      <c r="C506" s="194"/>
      <c r="D506" s="194"/>
      <c r="E506" s="194"/>
      <c r="F506" s="194"/>
      <c r="G506" s="194"/>
      <c r="H506" s="202" t="s">
        <v>551</v>
      </c>
    </row>
    <row r="507" spans="1:8" hidden="1" x14ac:dyDescent="0.2">
      <c r="A507" s="202" t="s">
        <v>834</v>
      </c>
      <c r="B507" s="194" t="s">
        <v>346</v>
      </c>
      <c r="C507" s="194"/>
      <c r="D507" s="194"/>
      <c r="E507" s="194"/>
      <c r="F507" s="194"/>
      <c r="G507" s="194"/>
      <c r="H507" s="202" t="s">
        <v>551</v>
      </c>
    </row>
    <row r="508" spans="1:8" hidden="1" x14ac:dyDescent="0.2">
      <c r="A508" s="202" t="s">
        <v>835</v>
      </c>
      <c r="B508" s="194" t="s">
        <v>346</v>
      </c>
      <c r="C508" s="194"/>
      <c r="D508" s="194"/>
      <c r="E508" s="194"/>
      <c r="F508" s="194"/>
      <c r="G508" s="194"/>
      <c r="H508" s="202" t="s">
        <v>551</v>
      </c>
    </row>
    <row r="509" spans="1:8" hidden="1" x14ac:dyDescent="0.2">
      <c r="A509" s="202" t="s">
        <v>836</v>
      </c>
      <c r="B509" s="194" t="s">
        <v>346</v>
      </c>
      <c r="C509" s="194"/>
      <c r="D509" s="194"/>
      <c r="E509" s="194"/>
      <c r="F509" s="194"/>
      <c r="G509" s="194"/>
      <c r="H509" s="202" t="s">
        <v>551</v>
      </c>
    </row>
    <row r="510" spans="1:8" hidden="1" x14ac:dyDescent="0.2">
      <c r="A510" s="202" t="s">
        <v>837</v>
      </c>
      <c r="B510" s="194" t="s">
        <v>346</v>
      </c>
      <c r="C510" s="194"/>
      <c r="D510" s="194"/>
      <c r="E510" s="194"/>
      <c r="F510" s="194"/>
      <c r="G510" s="194"/>
      <c r="H510" s="202" t="s">
        <v>551</v>
      </c>
    </row>
    <row r="511" spans="1:8" hidden="1" x14ac:dyDescent="0.2">
      <c r="A511" s="202" t="s">
        <v>838</v>
      </c>
      <c r="B511" s="194" t="s">
        <v>346</v>
      </c>
      <c r="C511" s="194"/>
      <c r="D511" s="194"/>
      <c r="E511" s="194"/>
      <c r="F511" s="194"/>
      <c r="G511" s="194"/>
      <c r="H511" s="202" t="s">
        <v>551</v>
      </c>
    </row>
    <row r="512" spans="1:8" hidden="1" x14ac:dyDescent="0.2">
      <c r="A512" s="202" t="s">
        <v>839</v>
      </c>
      <c r="B512" s="194" t="s">
        <v>346</v>
      </c>
      <c r="C512" s="194"/>
      <c r="D512" s="194"/>
      <c r="E512" s="194"/>
      <c r="F512" s="194"/>
      <c r="G512" s="194"/>
      <c r="H512" s="202" t="s">
        <v>551</v>
      </c>
    </row>
    <row r="513" spans="1:8" hidden="1" x14ac:dyDescent="0.2">
      <c r="A513" s="202" t="s">
        <v>840</v>
      </c>
      <c r="B513" s="194" t="s">
        <v>346</v>
      </c>
      <c r="C513" s="194"/>
      <c r="D513" s="194"/>
      <c r="E513" s="194"/>
      <c r="F513" s="194"/>
      <c r="G513" s="194"/>
      <c r="H513" s="202" t="s">
        <v>551</v>
      </c>
    </row>
    <row r="514" spans="1:8" hidden="1" x14ac:dyDescent="0.2">
      <c r="A514" s="202" t="s">
        <v>841</v>
      </c>
      <c r="B514" s="194" t="s">
        <v>346</v>
      </c>
      <c r="C514" s="194"/>
      <c r="D514" s="194"/>
      <c r="E514" s="194"/>
      <c r="F514" s="194"/>
      <c r="G514" s="194"/>
      <c r="H514" s="202" t="s">
        <v>551</v>
      </c>
    </row>
    <row r="515" spans="1:8" hidden="1" x14ac:dyDescent="0.2">
      <c r="A515" s="202" t="s">
        <v>842</v>
      </c>
      <c r="B515" s="194" t="s">
        <v>346</v>
      </c>
      <c r="C515" s="194"/>
      <c r="D515" s="194"/>
      <c r="E515" s="194"/>
      <c r="F515" s="194"/>
      <c r="G515" s="194"/>
      <c r="H515" s="202" t="s">
        <v>551</v>
      </c>
    </row>
    <row r="516" spans="1:8" hidden="1" x14ac:dyDescent="0.2">
      <c r="A516" s="202" t="s">
        <v>843</v>
      </c>
      <c r="B516" s="194" t="s">
        <v>346</v>
      </c>
      <c r="C516" s="194"/>
      <c r="D516" s="194"/>
      <c r="E516" s="194"/>
      <c r="F516" s="194"/>
      <c r="G516" s="194"/>
      <c r="H516" s="202" t="s">
        <v>551</v>
      </c>
    </row>
    <row r="517" spans="1:8" hidden="1" x14ac:dyDescent="0.2">
      <c r="A517" s="202" t="s">
        <v>844</v>
      </c>
      <c r="B517" s="194" t="s">
        <v>346</v>
      </c>
      <c r="C517" s="194"/>
      <c r="D517" s="194"/>
      <c r="E517" s="194"/>
      <c r="F517" s="194"/>
      <c r="G517" s="194"/>
      <c r="H517" s="202" t="s">
        <v>551</v>
      </c>
    </row>
    <row r="518" spans="1:8" hidden="1" x14ac:dyDescent="0.2">
      <c r="A518" s="202" t="s">
        <v>845</v>
      </c>
      <c r="B518" s="194" t="s">
        <v>346</v>
      </c>
      <c r="C518" s="194"/>
      <c r="D518" s="194"/>
      <c r="E518" s="194"/>
      <c r="F518" s="194"/>
      <c r="G518" s="194"/>
      <c r="H518" s="202" t="s">
        <v>551</v>
      </c>
    </row>
    <row r="519" spans="1:8" hidden="1" x14ac:dyDescent="0.2">
      <c r="A519" s="202" t="s">
        <v>846</v>
      </c>
      <c r="B519" s="194" t="s">
        <v>346</v>
      </c>
      <c r="C519" s="194"/>
      <c r="D519" s="194"/>
      <c r="E519" s="194"/>
      <c r="F519" s="194"/>
      <c r="G519" s="194"/>
      <c r="H519" s="202" t="s">
        <v>551</v>
      </c>
    </row>
    <row r="520" spans="1:8" hidden="1" x14ac:dyDescent="0.2">
      <c r="A520" s="202" t="s">
        <v>847</v>
      </c>
      <c r="B520" s="194" t="s">
        <v>346</v>
      </c>
      <c r="C520" s="194"/>
      <c r="D520" s="194"/>
      <c r="E520" s="194"/>
      <c r="F520" s="194"/>
      <c r="G520" s="194"/>
      <c r="H520" s="202" t="s">
        <v>551</v>
      </c>
    </row>
    <row r="521" spans="1:8" hidden="1" x14ac:dyDescent="0.2">
      <c r="A521" s="202" t="s">
        <v>848</v>
      </c>
      <c r="B521" s="194" t="s">
        <v>346</v>
      </c>
      <c r="C521" s="194"/>
      <c r="D521" s="194"/>
      <c r="E521" s="194"/>
      <c r="F521" s="194"/>
      <c r="G521" s="194"/>
      <c r="H521" s="202" t="s">
        <v>551</v>
      </c>
    </row>
    <row r="522" spans="1:8" hidden="1" x14ac:dyDescent="0.2">
      <c r="A522" s="202" t="s">
        <v>849</v>
      </c>
      <c r="B522" s="194" t="s">
        <v>346</v>
      </c>
      <c r="C522" s="194"/>
      <c r="D522" s="194"/>
      <c r="E522" s="194"/>
      <c r="F522" s="194"/>
      <c r="G522" s="194"/>
      <c r="H522" s="202" t="s">
        <v>551</v>
      </c>
    </row>
    <row r="523" spans="1:8" hidden="1" x14ac:dyDescent="0.2">
      <c r="A523" s="202" t="s">
        <v>850</v>
      </c>
      <c r="B523" s="194" t="s">
        <v>346</v>
      </c>
      <c r="C523" s="194"/>
      <c r="D523" s="194"/>
      <c r="E523" s="194"/>
      <c r="F523" s="194"/>
      <c r="G523" s="194"/>
      <c r="H523" s="202" t="s">
        <v>551</v>
      </c>
    </row>
    <row r="524" spans="1:8" hidden="1" x14ac:dyDescent="0.2">
      <c r="A524" s="202" t="s">
        <v>851</v>
      </c>
      <c r="B524" s="194" t="s">
        <v>346</v>
      </c>
      <c r="C524" s="194"/>
      <c r="D524" s="194"/>
      <c r="E524" s="194"/>
      <c r="F524" s="194"/>
      <c r="G524" s="194"/>
      <c r="H524" s="202" t="s">
        <v>551</v>
      </c>
    </row>
    <row r="525" spans="1:8" hidden="1" x14ac:dyDescent="0.2">
      <c r="A525" s="202" t="s">
        <v>852</v>
      </c>
      <c r="B525" s="194" t="s">
        <v>346</v>
      </c>
      <c r="C525" s="194"/>
      <c r="D525" s="194"/>
      <c r="E525" s="194"/>
      <c r="F525" s="194"/>
      <c r="G525" s="194"/>
      <c r="H525" s="202" t="s">
        <v>551</v>
      </c>
    </row>
    <row r="526" spans="1:8" hidden="1" x14ac:dyDescent="0.2">
      <c r="A526" s="202" t="s">
        <v>853</v>
      </c>
      <c r="B526" s="194" t="s">
        <v>346</v>
      </c>
      <c r="C526" s="194"/>
      <c r="D526" s="194"/>
      <c r="E526" s="194"/>
      <c r="F526" s="194"/>
      <c r="G526" s="194"/>
      <c r="H526" s="202" t="s">
        <v>551</v>
      </c>
    </row>
    <row r="527" spans="1:8" hidden="1" x14ac:dyDescent="0.2">
      <c r="A527" s="202" t="s">
        <v>854</v>
      </c>
      <c r="B527" s="194" t="s">
        <v>346</v>
      </c>
      <c r="C527" s="194"/>
      <c r="D527" s="194"/>
      <c r="E527" s="194"/>
      <c r="F527" s="194"/>
      <c r="G527" s="194"/>
      <c r="H527" s="202" t="s">
        <v>551</v>
      </c>
    </row>
    <row r="528" spans="1:8" hidden="1" x14ac:dyDescent="0.2">
      <c r="A528" s="201" t="s">
        <v>855</v>
      </c>
      <c r="B528" s="194" t="s">
        <v>346</v>
      </c>
      <c r="C528" s="194"/>
      <c r="D528" s="194"/>
      <c r="E528" s="194"/>
      <c r="F528" s="194"/>
      <c r="G528" s="194"/>
      <c r="H528" s="201" t="s">
        <v>542</v>
      </c>
    </row>
    <row r="529" spans="1:8" hidden="1" x14ac:dyDescent="0.2">
      <c r="A529" s="201" t="s">
        <v>856</v>
      </c>
      <c r="B529" s="194" t="s">
        <v>346</v>
      </c>
      <c r="C529" s="194"/>
      <c r="D529" s="194"/>
      <c r="E529" s="194"/>
      <c r="F529" s="194"/>
      <c r="G529" s="194"/>
      <c r="H529" s="201" t="s">
        <v>542</v>
      </c>
    </row>
    <row r="530" spans="1:8" hidden="1" x14ac:dyDescent="0.2">
      <c r="A530" s="201" t="s">
        <v>857</v>
      </c>
      <c r="B530" s="194" t="s">
        <v>346</v>
      </c>
      <c r="C530" s="194"/>
      <c r="D530" s="194"/>
      <c r="E530" s="194"/>
      <c r="F530" s="194"/>
      <c r="G530" s="194"/>
      <c r="H530" s="201" t="s">
        <v>542</v>
      </c>
    </row>
    <row r="531" spans="1:8" hidden="1" x14ac:dyDescent="0.2">
      <c r="A531" s="201" t="s">
        <v>858</v>
      </c>
      <c r="B531" s="194" t="s">
        <v>346</v>
      </c>
      <c r="C531" s="194"/>
      <c r="D531" s="194"/>
      <c r="E531" s="194"/>
      <c r="F531" s="194"/>
      <c r="G531" s="194"/>
      <c r="H531" s="201" t="s">
        <v>542</v>
      </c>
    </row>
    <row r="532" spans="1:8" hidden="1" x14ac:dyDescent="0.2">
      <c r="A532" s="201" t="s">
        <v>859</v>
      </c>
      <c r="B532" s="194" t="s">
        <v>346</v>
      </c>
      <c r="C532" s="194"/>
      <c r="D532" s="194"/>
      <c r="E532" s="194"/>
      <c r="F532" s="194"/>
      <c r="G532" s="194"/>
      <c r="H532" s="201" t="s">
        <v>542</v>
      </c>
    </row>
    <row r="533" spans="1:8" hidden="1" x14ac:dyDescent="0.2">
      <c r="A533" s="201" t="s">
        <v>860</v>
      </c>
      <c r="B533" s="194" t="s">
        <v>346</v>
      </c>
      <c r="C533" s="194"/>
      <c r="D533" s="194"/>
      <c r="E533" s="194"/>
      <c r="F533" s="194"/>
      <c r="G533" s="194"/>
      <c r="H533" s="201" t="s">
        <v>542</v>
      </c>
    </row>
    <row r="534" spans="1:8" hidden="1" x14ac:dyDescent="0.2">
      <c r="A534" s="201" t="s">
        <v>861</v>
      </c>
      <c r="B534" s="194" t="s">
        <v>346</v>
      </c>
      <c r="C534" s="194"/>
      <c r="D534" s="194"/>
      <c r="E534" s="194"/>
      <c r="F534" s="194"/>
      <c r="G534" s="194"/>
      <c r="H534" s="201" t="s">
        <v>542</v>
      </c>
    </row>
    <row r="535" spans="1:8" hidden="1" x14ac:dyDescent="0.2">
      <c r="A535" s="201" t="s">
        <v>862</v>
      </c>
      <c r="B535" s="194" t="s">
        <v>346</v>
      </c>
      <c r="C535" s="194"/>
      <c r="D535" s="194"/>
      <c r="E535" s="194"/>
      <c r="F535" s="194"/>
      <c r="G535" s="194"/>
      <c r="H535" s="201" t="s">
        <v>542</v>
      </c>
    </row>
    <row r="536" spans="1:8" hidden="1" x14ac:dyDescent="0.2">
      <c r="A536" s="201" t="s">
        <v>863</v>
      </c>
      <c r="B536" s="194" t="s">
        <v>346</v>
      </c>
      <c r="C536" s="194"/>
      <c r="D536" s="194"/>
      <c r="E536" s="194"/>
      <c r="F536" s="194"/>
      <c r="G536" s="194"/>
      <c r="H536" s="201" t="s">
        <v>542</v>
      </c>
    </row>
    <row r="537" spans="1:8" hidden="1" x14ac:dyDescent="0.2">
      <c r="A537" s="201" t="s">
        <v>864</v>
      </c>
      <c r="B537" s="194" t="s">
        <v>346</v>
      </c>
      <c r="C537" s="194"/>
      <c r="D537" s="194"/>
      <c r="E537" s="194"/>
      <c r="F537" s="194"/>
      <c r="G537" s="194"/>
      <c r="H537" s="201" t="s">
        <v>542</v>
      </c>
    </row>
    <row r="538" spans="1:8" hidden="1" x14ac:dyDescent="0.2">
      <c r="A538" s="201" t="s">
        <v>865</v>
      </c>
      <c r="B538" s="194" t="s">
        <v>346</v>
      </c>
      <c r="C538" s="194"/>
      <c r="D538" s="194"/>
      <c r="E538" s="194"/>
      <c r="F538" s="194"/>
      <c r="G538" s="194"/>
      <c r="H538" s="201" t="s">
        <v>542</v>
      </c>
    </row>
    <row r="539" spans="1:8" hidden="1" x14ac:dyDescent="0.2">
      <c r="A539" s="201" t="s">
        <v>866</v>
      </c>
      <c r="B539" s="194" t="s">
        <v>346</v>
      </c>
      <c r="C539" s="194"/>
      <c r="D539" s="194"/>
      <c r="E539" s="194"/>
      <c r="F539" s="194"/>
      <c r="G539" s="194"/>
      <c r="H539" s="201" t="s">
        <v>542</v>
      </c>
    </row>
    <row r="540" spans="1:8" hidden="1" x14ac:dyDescent="0.2">
      <c r="A540" s="201" t="s">
        <v>867</v>
      </c>
      <c r="B540" s="194" t="s">
        <v>346</v>
      </c>
      <c r="C540" s="194"/>
      <c r="D540" s="194"/>
      <c r="E540" s="194"/>
      <c r="F540" s="194"/>
      <c r="G540" s="194"/>
      <c r="H540" s="201" t="s">
        <v>542</v>
      </c>
    </row>
    <row r="541" spans="1:8" hidden="1" x14ac:dyDescent="0.2">
      <c r="A541" s="201" t="s">
        <v>868</v>
      </c>
      <c r="B541" s="194" t="s">
        <v>346</v>
      </c>
      <c r="C541" s="194"/>
      <c r="D541" s="194"/>
      <c r="E541" s="194"/>
      <c r="F541" s="194"/>
      <c r="G541" s="194"/>
      <c r="H541" s="201" t="s">
        <v>542</v>
      </c>
    </row>
    <row r="542" spans="1:8" hidden="1" x14ac:dyDescent="0.2">
      <c r="A542" s="201" t="s">
        <v>869</v>
      </c>
      <c r="B542" s="194" t="s">
        <v>346</v>
      </c>
      <c r="C542" s="194"/>
      <c r="D542" s="194"/>
      <c r="E542" s="194"/>
      <c r="F542" s="194"/>
      <c r="G542" s="194"/>
      <c r="H542" s="201" t="s">
        <v>542</v>
      </c>
    </row>
    <row r="543" spans="1:8" hidden="1" x14ac:dyDescent="0.2">
      <c r="A543" s="201" t="s">
        <v>870</v>
      </c>
      <c r="B543" s="194" t="s">
        <v>346</v>
      </c>
      <c r="C543" s="194"/>
      <c r="D543" s="194"/>
      <c r="E543" s="194"/>
      <c r="F543" s="194"/>
      <c r="G543" s="194"/>
      <c r="H543" s="201" t="s">
        <v>542</v>
      </c>
    </row>
    <row r="544" spans="1:8" hidden="1" x14ac:dyDescent="0.2">
      <c r="A544" s="201" t="s">
        <v>871</v>
      </c>
      <c r="B544" s="194" t="s">
        <v>346</v>
      </c>
      <c r="C544" s="194"/>
      <c r="D544" s="194"/>
      <c r="E544" s="194"/>
      <c r="F544" s="194"/>
      <c r="G544" s="194"/>
      <c r="H544" s="201" t="s">
        <v>542</v>
      </c>
    </row>
    <row r="545" spans="1:8" hidden="1" x14ac:dyDescent="0.2">
      <c r="A545" s="201" t="s">
        <v>872</v>
      </c>
      <c r="B545" s="194" t="s">
        <v>346</v>
      </c>
      <c r="C545" s="194"/>
      <c r="D545" s="194"/>
      <c r="E545" s="194"/>
      <c r="F545" s="194"/>
      <c r="G545" s="194"/>
      <c r="H545" s="201" t="s">
        <v>542</v>
      </c>
    </row>
    <row r="546" spans="1:8" hidden="1" x14ac:dyDescent="0.2">
      <c r="A546" s="201" t="s">
        <v>873</v>
      </c>
      <c r="B546" s="194" t="s">
        <v>346</v>
      </c>
      <c r="C546" s="194"/>
      <c r="D546" s="194"/>
      <c r="E546" s="194"/>
      <c r="F546" s="194"/>
      <c r="G546" s="194"/>
      <c r="H546" s="201" t="s">
        <v>542</v>
      </c>
    </row>
    <row r="547" spans="1:8" hidden="1" x14ac:dyDescent="0.2">
      <c r="A547" s="201" t="s">
        <v>874</v>
      </c>
      <c r="B547" s="194" t="s">
        <v>346</v>
      </c>
      <c r="C547" s="194"/>
      <c r="D547" s="194"/>
      <c r="E547" s="194"/>
      <c r="F547" s="194"/>
      <c r="G547" s="194"/>
      <c r="H547" s="201" t="s">
        <v>542</v>
      </c>
    </row>
    <row r="548" spans="1:8" hidden="1" x14ac:dyDescent="0.2">
      <c r="A548" s="201" t="s">
        <v>875</v>
      </c>
      <c r="B548" s="194" t="s">
        <v>346</v>
      </c>
      <c r="C548" s="194"/>
      <c r="D548" s="194"/>
      <c r="E548" s="194"/>
      <c r="F548" s="194"/>
      <c r="G548" s="194"/>
      <c r="H548" s="201" t="s">
        <v>542</v>
      </c>
    </row>
    <row r="549" spans="1:8" hidden="1" x14ac:dyDescent="0.2">
      <c r="A549" s="201" t="s">
        <v>876</v>
      </c>
      <c r="B549" s="194" t="s">
        <v>346</v>
      </c>
      <c r="C549" s="194"/>
      <c r="D549" s="194"/>
      <c r="E549" s="194"/>
      <c r="F549" s="194"/>
      <c r="G549" s="194"/>
      <c r="H549" s="201" t="s">
        <v>542</v>
      </c>
    </row>
    <row r="550" spans="1:8" hidden="1" x14ac:dyDescent="0.2">
      <c r="A550" s="201" t="s">
        <v>877</v>
      </c>
      <c r="B550" s="194" t="s">
        <v>346</v>
      </c>
      <c r="C550" s="194"/>
      <c r="D550" s="194"/>
      <c r="E550" s="194"/>
      <c r="F550" s="194"/>
      <c r="G550" s="194"/>
      <c r="H550" s="201" t="s">
        <v>542</v>
      </c>
    </row>
    <row r="551" spans="1:8" hidden="1" x14ac:dyDescent="0.2">
      <c r="A551" s="201" t="s">
        <v>878</v>
      </c>
      <c r="B551" s="194" t="s">
        <v>346</v>
      </c>
      <c r="C551" s="194"/>
      <c r="D551" s="194"/>
      <c r="E551" s="194"/>
      <c r="F551" s="194"/>
      <c r="G551" s="194"/>
      <c r="H551" s="201" t="s">
        <v>542</v>
      </c>
    </row>
    <row r="552" spans="1:8" hidden="1" x14ac:dyDescent="0.2">
      <c r="A552" s="201" t="s">
        <v>879</v>
      </c>
      <c r="B552" s="194" t="s">
        <v>346</v>
      </c>
      <c r="C552" s="194"/>
      <c r="D552" s="194"/>
      <c r="E552" s="194"/>
      <c r="F552" s="194"/>
      <c r="G552" s="194"/>
      <c r="H552" s="201" t="s">
        <v>542</v>
      </c>
    </row>
    <row r="553" spans="1:8" hidden="1" x14ac:dyDescent="0.2">
      <c r="A553" s="201" t="s">
        <v>880</v>
      </c>
      <c r="B553" s="194" t="s">
        <v>346</v>
      </c>
      <c r="C553" s="194"/>
      <c r="D553" s="194"/>
      <c r="E553" s="194"/>
      <c r="F553" s="194"/>
      <c r="G553" s="194"/>
      <c r="H553" s="201" t="s">
        <v>542</v>
      </c>
    </row>
    <row r="554" spans="1:8" hidden="1" x14ac:dyDescent="0.2">
      <c r="A554" s="201" t="s">
        <v>881</v>
      </c>
      <c r="B554" s="194" t="s">
        <v>346</v>
      </c>
      <c r="C554" s="194"/>
      <c r="D554" s="194"/>
      <c r="E554" s="194"/>
      <c r="F554" s="194"/>
      <c r="G554" s="194"/>
      <c r="H554" s="201" t="s">
        <v>542</v>
      </c>
    </row>
    <row r="555" spans="1:8" hidden="1" x14ac:dyDescent="0.2">
      <c r="A555" s="201" t="s">
        <v>882</v>
      </c>
      <c r="B555" s="194" t="s">
        <v>346</v>
      </c>
      <c r="C555" s="194"/>
      <c r="D555" s="194"/>
      <c r="E555" s="194"/>
      <c r="F555" s="194"/>
      <c r="G555" s="194"/>
      <c r="H555" s="201" t="s">
        <v>542</v>
      </c>
    </row>
    <row r="556" spans="1:8" hidden="1" x14ac:dyDescent="0.2">
      <c r="A556" s="201" t="s">
        <v>883</v>
      </c>
      <c r="B556" s="194" t="s">
        <v>346</v>
      </c>
      <c r="C556" s="194"/>
      <c r="D556" s="194"/>
      <c r="E556" s="194"/>
      <c r="F556" s="194"/>
      <c r="G556" s="194"/>
      <c r="H556" s="201" t="s">
        <v>542</v>
      </c>
    </row>
    <row r="557" spans="1:8" hidden="1" x14ac:dyDescent="0.2">
      <c r="A557" s="201" t="s">
        <v>884</v>
      </c>
      <c r="B557" s="194" t="s">
        <v>346</v>
      </c>
      <c r="C557" s="194"/>
      <c r="D557" s="194"/>
      <c r="E557" s="194"/>
      <c r="F557" s="194"/>
      <c r="G557" s="194"/>
      <c r="H557" s="201" t="s">
        <v>542</v>
      </c>
    </row>
    <row r="558" spans="1:8" hidden="1" x14ac:dyDescent="0.2">
      <c r="A558" s="201" t="s">
        <v>885</v>
      </c>
      <c r="B558" s="194" t="s">
        <v>346</v>
      </c>
      <c r="C558" s="194"/>
      <c r="D558" s="194"/>
      <c r="E558" s="194"/>
      <c r="F558" s="194"/>
      <c r="G558" s="194"/>
      <c r="H558" s="201" t="s">
        <v>542</v>
      </c>
    </row>
    <row r="559" spans="1:8" hidden="1" x14ac:dyDescent="0.2">
      <c r="A559" s="201" t="s">
        <v>886</v>
      </c>
      <c r="B559" s="194" t="s">
        <v>346</v>
      </c>
      <c r="C559" s="194"/>
      <c r="D559" s="194"/>
      <c r="E559" s="194"/>
      <c r="F559" s="194"/>
      <c r="G559" s="194"/>
      <c r="H559" s="201" t="s">
        <v>542</v>
      </c>
    </row>
    <row r="560" spans="1:8" hidden="1" x14ac:dyDescent="0.2">
      <c r="A560" s="201" t="s">
        <v>887</v>
      </c>
      <c r="B560" s="194" t="s">
        <v>346</v>
      </c>
      <c r="C560" s="194"/>
      <c r="D560" s="194"/>
      <c r="E560" s="194"/>
      <c r="F560" s="194"/>
      <c r="G560" s="194"/>
      <c r="H560" s="201" t="s">
        <v>542</v>
      </c>
    </row>
    <row r="561" spans="1:8" hidden="1" x14ac:dyDescent="0.2">
      <c r="A561" s="201" t="s">
        <v>888</v>
      </c>
      <c r="B561" s="194" t="s">
        <v>346</v>
      </c>
      <c r="C561" s="194"/>
      <c r="D561" s="194"/>
      <c r="E561" s="194"/>
      <c r="F561" s="194"/>
      <c r="G561" s="194"/>
      <c r="H561" s="201" t="s">
        <v>542</v>
      </c>
    </row>
    <row r="562" spans="1:8" hidden="1" x14ac:dyDescent="0.2">
      <c r="A562" s="201" t="s">
        <v>889</v>
      </c>
      <c r="B562" s="194" t="s">
        <v>346</v>
      </c>
      <c r="C562" s="194"/>
      <c r="D562" s="194"/>
      <c r="E562" s="194"/>
      <c r="F562" s="194"/>
      <c r="G562" s="194"/>
      <c r="H562" s="201" t="s">
        <v>542</v>
      </c>
    </row>
    <row r="563" spans="1:8" hidden="1" x14ac:dyDescent="0.2">
      <c r="A563" s="201" t="s">
        <v>890</v>
      </c>
      <c r="B563" s="194" t="s">
        <v>346</v>
      </c>
      <c r="C563" s="194"/>
      <c r="D563" s="194"/>
      <c r="E563" s="194"/>
      <c r="F563" s="194"/>
      <c r="G563" s="194"/>
      <c r="H563" s="201" t="s">
        <v>542</v>
      </c>
    </row>
    <row r="564" spans="1:8" hidden="1" x14ac:dyDescent="0.2">
      <c r="A564" s="201" t="s">
        <v>891</v>
      </c>
      <c r="B564" s="194" t="s">
        <v>346</v>
      </c>
      <c r="C564" s="194"/>
      <c r="D564" s="194"/>
      <c r="E564" s="194"/>
      <c r="F564" s="194"/>
      <c r="G564" s="194"/>
      <c r="H564" s="201" t="s">
        <v>542</v>
      </c>
    </row>
    <row r="565" spans="1:8" hidden="1" x14ac:dyDescent="0.2">
      <c r="A565" s="201" t="s">
        <v>892</v>
      </c>
      <c r="B565" s="194" t="s">
        <v>346</v>
      </c>
      <c r="C565" s="194"/>
      <c r="D565" s="194"/>
      <c r="E565" s="194"/>
      <c r="F565" s="194"/>
      <c r="G565" s="194"/>
      <c r="H565" s="201" t="s">
        <v>542</v>
      </c>
    </row>
    <row r="566" spans="1:8" hidden="1" x14ac:dyDescent="0.2">
      <c r="A566" s="201" t="s">
        <v>893</v>
      </c>
      <c r="B566" s="194" t="s">
        <v>346</v>
      </c>
      <c r="C566" s="194"/>
      <c r="D566" s="194"/>
      <c r="E566" s="194"/>
      <c r="F566" s="194"/>
      <c r="G566" s="194"/>
      <c r="H566" s="201" t="s">
        <v>542</v>
      </c>
    </row>
    <row r="567" spans="1:8" hidden="1" x14ac:dyDescent="0.2">
      <c r="A567" s="201" t="s">
        <v>894</v>
      </c>
      <c r="B567" s="194" t="s">
        <v>346</v>
      </c>
      <c r="C567" s="194"/>
      <c r="D567" s="194"/>
      <c r="E567" s="194"/>
      <c r="F567" s="194"/>
      <c r="G567" s="194"/>
      <c r="H567" s="201" t="s">
        <v>542</v>
      </c>
    </row>
    <row r="568" spans="1:8" hidden="1" x14ac:dyDescent="0.2">
      <c r="A568" s="201" t="s">
        <v>895</v>
      </c>
      <c r="B568" s="194" t="s">
        <v>346</v>
      </c>
      <c r="C568" s="194"/>
      <c r="D568" s="194"/>
      <c r="E568" s="194"/>
      <c r="F568" s="194"/>
      <c r="G568" s="194"/>
      <c r="H568" s="201" t="s">
        <v>542</v>
      </c>
    </row>
    <row r="569" spans="1:8" hidden="1" x14ac:dyDescent="0.2">
      <c r="A569" s="201" t="s">
        <v>896</v>
      </c>
      <c r="B569" s="194" t="s">
        <v>346</v>
      </c>
      <c r="C569" s="194"/>
      <c r="D569" s="194"/>
      <c r="E569" s="194"/>
      <c r="F569" s="194"/>
      <c r="G569" s="194"/>
      <c r="H569" s="201" t="s">
        <v>542</v>
      </c>
    </row>
    <row r="570" spans="1:8" hidden="1" x14ac:dyDescent="0.2">
      <c r="A570" s="201" t="s">
        <v>897</v>
      </c>
      <c r="B570" s="194" t="s">
        <v>346</v>
      </c>
      <c r="C570" s="194"/>
      <c r="D570" s="194"/>
      <c r="E570" s="194"/>
      <c r="F570" s="194"/>
      <c r="G570" s="194"/>
      <c r="H570" s="201" t="s">
        <v>542</v>
      </c>
    </row>
    <row r="571" spans="1:8" hidden="1" x14ac:dyDescent="0.2">
      <c r="A571" s="201" t="s">
        <v>898</v>
      </c>
      <c r="B571" s="194" t="s">
        <v>346</v>
      </c>
      <c r="C571" s="194"/>
      <c r="D571" s="194"/>
      <c r="E571" s="194"/>
      <c r="F571" s="194"/>
      <c r="G571" s="194"/>
      <c r="H571" s="201" t="s">
        <v>542</v>
      </c>
    </row>
    <row r="572" spans="1:8" hidden="1" x14ac:dyDescent="0.2">
      <c r="A572" s="201" t="s">
        <v>899</v>
      </c>
      <c r="B572" s="194" t="s">
        <v>346</v>
      </c>
      <c r="C572" s="194"/>
      <c r="D572" s="194"/>
      <c r="E572" s="194"/>
      <c r="F572" s="194"/>
      <c r="G572" s="194"/>
      <c r="H572" s="201" t="s">
        <v>542</v>
      </c>
    </row>
    <row r="573" spans="1:8" hidden="1" x14ac:dyDescent="0.2">
      <c r="A573" s="199" t="s">
        <v>900</v>
      </c>
      <c r="B573" s="194" t="s">
        <v>346</v>
      </c>
      <c r="C573" s="194"/>
      <c r="D573" s="194"/>
      <c r="E573" s="194"/>
      <c r="F573" s="194"/>
      <c r="G573" s="194"/>
      <c r="H573" s="199" t="s">
        <v>519</v>
      </c>
    </row>
    <row r="574" spans="1:8" hidden="1" x14ac:dyDescent="0.2">
      <c r="A574" s="198" t="s">
        <v>901</v>
      </c>
      <c r="B574" s="194" t="s">
        <v>346</v>
      </c>
      <c r="C574" s="194"/>
      <c r="D574" s="194"/>
      <c r="E574" s="194"/>
      <c r="F574" s="194"/>
      <c r="G574" s="194"/>
      <c r="H574" s="198" t="s">
        <v>517</v>
      </c>
    </row>
    <row r="575" spans="1:8" hidden="1" x14ac:dyDescent="0.2">
      <c r="A575" s="198" t="s">
        <v>902</v>
      </c>
      <c r="B575" s="194" t="s">
        <v>346</v>
      </c>
      <c r="C575" s="194"/>
      <c r="D575" s="194"/>
      <c r="E575" s="194"/>
      <c r="F575" s="194"/>
      <c r="G575" s="194"/>
      <c r="H575" s="198" t="s">
        <v>517</v>
      </c>
    </row>
    <row r="576" spans="1:8" hidden="1" x14ac:dyDescent="0.2">
      <c r="A576" s="198" t="s">
        <v>903</v>
      </c>
      <c r="B576" s="194" t="s">
        <v>346</v>
      </c>
      <c r="C576" s="194"/>
      <c r="D576" s="194"/>
      <c r="E576" s="194"/>
      <c r="F576" s="194"/>
      <c r="G576" s="194"/>
      <c r="H576" s="198" t="s">
        <v>517</v>
      </c>
    </row>
    <row r="577" spans="1:8" hidden="1" x14ac:dyDescent="0.2">
      <c r="A577" s="198" t="s">
        <v>904</v>
      </c>
      <c r="B577" s="194" t="s">
        <v>346</v>
      </c>
      <c r="C577" s="194"/>
      <c r="D577" s="194"/>
      <c r="E577" s="194"/>
      <c r="F577" s="194"/>
      <c r="G577" s="194"/>
      <c r="H577" s="198" t="s">
        <v>517</v>
      </c>
    </row>
    <row r="578" spans="1:8" hidden="1" x14ac:dyDescent="0.2">
      <c r="A578" s="198" t="s">
        <v>905</v>
      </c>
      <c r="B578" s="194" t="s">
        <v>346</v>
      </c>
      <c r="C578" s="194"/>
      <c r="D578" s="194"/>
      <c r="E578" s="194"/>
      <c r="F578" s="194"/>
      <c r="G578" s="194"/>
      <c r="H578" s="198" t="s">
        <v>517</v>
      </c>
    </row>
    <row r="579" spans="1:8" hidden="1" x14ac:dyDescent="0.2">
      <c r="A579" s="198" t="s">
        <v>906</v>
      </c>
      <c r="B579" s="194" t="s">
        <v>346</v>
      </c>
      <c r="C579" s="194"/>
      <c r="D579" s="194"/>
      <c r="E579" s="194"/>
      <c r="F579" s="194"/>
      <c r="G579" s="194"/>
      <c r="H579" s="198" t="s">
        <v>517</v>
      </c>
    </row>
    <row r="580" spans="1:8" hidden="1" x14ac:dyDescent="0.2">
      <c r="A580" s="198" t="s">
        <v>907</v>
      </c>
      <c r="B580" s="194" t="s">
        <v>346</v>
      </c>
      <c r="C580" s="194"/>
      <c r="D580" s="194"/>
      <c r="E580" s="194"/>
      <c r="F580" s="194"/>
      <c r="G580" s="194"/>
      <c r="H580" s="198" t="s">
        <v>517</v>
      </c>
    </row>
    <row r="581" spans="1:8" hidden="1" x14ac:dyDescent="0.2">
      <c r="A581" s="198" t="s">
        <v>908</v>
      </c>
      <c r="B581" s="194" t="s">
        <v>346</v>
      </c>
      <c r="C581" s="194"/>
      <c r="D581" s="194"/>
      <c r="E581" s="194"/>
      <c r="F581" s="194"/>
      <c r="G581" s="194"/>
      <c r="H581" s="198" t="s">
        <v>517</v>
      </c>
    </row>
    <row r="582" spans="1:8" hidden="1" x14ac:dyDescent="0.2">
      <c r="A582" s="198" t="s">
        <v>909</v>
      </c>
      <c r="B582" s="194" t="s">
        <v>346</v>
      </c>
      <c r="C582" s="194"/>
      <c r="D582" s="194"/>
      <c r="E582" s="194"/>
      <c r="F582" s="194"/>
      <c r="G582" s="194"/>
      <c r="H582" s="198" t="s">
        <v>517</v>
      </c>
    </row>
    <row r="583" spans="1:8" hidden="1" x14ac:dyDescent="0.2">
      <c r="A583" s="198" t="s">
        <v>910</v>
      </c>
      <c r="B583" s="194" t="s">
        <v>346</v>
      </c>
      <c r="C583" s="194"/>
      <c r="D583" s="194"/>
      <c r="E583" s="194"/>
      <c r="F583" s="194"/>
      <c r="G583" s="194"/>
      <c r="H583" s="198" t="s">
        <v>517</v>
      </c>
    </row>
    <row r="584" spans="1:8" hidden="1" x14ac:dyDescent="0.2">
      <c r="A584" s="198" t="s">
        <v>911</v>
      </c>
      <c r="B584" s="194" t="s">
        <v>346</v>
      </c>
      <c r="C584" s="194"/>
      <c r="D584" s="194"/>
      <c r="E584" s="194"/>
      <c r="F584" s="194"/>
      <c r="G584" s="194"/>
      <c r="H584" s="198" t="s">
        <v>517</v>
      </c>
    </row>
    <row r="585" spans="1:8" hidden="1" x14ac:dyDescent="0.2">
      <c r="A585" s="198" t="s">
        <v>912</v>
      </c>
      <c r="B585" s="194" t="s">
        <v>346</v>
      </c>
      <c r="C585" s="194"/>
      <c r="D585" s="194"/>
      <c r="E585" s="194"/>
      <c r="F585" s="194"/>
      <c r="G585" s="194"/>
      <c r="H585" s="198" t="s">
        <v>517</v>
      </c>
    </row>
    <row r="586" spans="1:8" hidden="1" x14ac:dyDescent="0.2">
      <c r="A586" s="198" t="s">
        <v>913</v>
      </c>
      <c r="B586" s="194" t="s">
        <v>346</v>
      </c>
      <c r="C586" s="194"/>
      <c r="D586" s="194"/>
      <c r="E586" s="194"/>
      <c r="F586" s="194"/>
      <c r="G586" s="194"/>
      <c r="H586" s="198" t="s">
        <v>517</v>
      </c>
    </row>
    <row r="587" spans="1:8" hidden="1" x14ac:dyDescent="0.2">
      <c r="A587" s="198" t="s">
        <v>914</v>
      </c>
      <c r="B587" s="194" t="s">
        <v>346</v>
      </c>
      <c r="C587" s="194"/>
      <c r="D587" s="194"/>
      <c r="E587" s="194"/>
      <c r="F587" s="194"/>
      <c r="G587" s="194"/>
      <c r="H587" s="198" t="s">
        <v>517</v>
      </c>
    </row>
    <row r="588" spans="1:8" hidden="1" x14ac:dyDescent="0.2">
      <c r="A588" s="200" t="s">
        <v>915</v>
      </c>
      <c r="B588" s="194" t="s">
        <v>346</v>
      </c>
      <c r="C588" s="194"/>
      <c r="D588" s="194"/>
      <c r="E588" s="194"/>
      <c r="F588" s="194"/>
      <c r="G588" s="194"/>
      <c r="H588" s="200" t="s">
        <v>515</v>
      </c>
    </row>
    <row r="589" spans="1:8" hidden="1" x14ac:dyDescent="0.2">
      <c r="A589" s="198" t="s">
        <v>916</v>
      </c>
      <c r="B589" s="194" t="s">
        <v>297</v>
      </c>
      <c r="C589" s="194"/>
      <c r="D589" t="s">
        <v>230</v>
      </c>
      <c r="E589" s="194"/>
      <c r="F589" s="194"/>
      <c r="G589" s="194"/>
      <c r="H589" s="198" t="s">
        <v>517</v>
      </c>
    </row>
    <row r="590" spans="1:8" hidden="1" x14ac:dyDescent="0.2">
      <c r="A590" s="199" t="s">
        <v>917</v>
      </c>
      <c r="B590" s="194" t="s">
        <v>346</v>
      </c>
      <c r="C590" s="194"/>
      <c r="D590" s="194"/>
      <c r="E590" s="194"/>
      <c r="F590" s="194"/>
      <c r="G590" s="194"/>
      <c r="H590" s="199" t="s">
        <v>519</v>
      </c>
    </row>
    <row r="591" spans="1:8" hidden="1" x14ac:dyDescent="0.2">
      <c r="A591" s="199" t="s">
        <v>918</v>
      </c>
      <c r="B591" s="194" t="s">
        <v>346</v>
      </c>
      <c r="C591" s="194"/>
      <c r="D591" s="194"/>
      <c r="E591" s="194"/>
      <c r="F591" s="194"/>
      <c r="G591" s="194"/>
      <c r="H591" s="199" t="s">
        <v>519</v>
      </c>
    </row>
    <row r="592" spans="1:8" hidden="1" x14ac:dyDescent="0.2">
      <c r="A592" s="199" t="s">
        <v>919</v>
      </c>
      <c r="B592" s="194" t="s">
        <v>346</v>
      </c>
      <c r="C592" s="194"/>
      <c r="D592" s="194"/>
      <c r="E592" s="194"/>
      <c r="F592" s="194"/>
      <c r="G592" s="194"/>
      <c r="H592" s="199" t="s">
        <v>519</v>
      </c>
    </row>
    <row r="593" spans="1:8" hidden="1" x14ac:dyDescent="0.2">
      <c r="A593" s="203" t="s">
        <v>920</v>
      </c>
      <c r="B593" s="194" t="s">
        <v>346</v>
      </c>
      <c r="C593" s="194"/>
      <c r="D593" s="194"/>
      <c r="E593" s="194"/>
      <c r="F593" s="194"/>
      <c r="G593" s="194"/>
      <c r="H593" s="203" t="s">
        <v>572</v>
      </c>
    </row>
    <row r="594" spans="1:8" hidden="1" x14ac:dyDescent="0.2">
      <c r="A594" s="200" t="s">
        <v>921</v>
      </c>
      <c r="B594" s="194" t="s">
        <v>346</v>
      </c>
      <c r="C594" s="194"/>
      <c r="D594" s="194"/>
      <c r="E594" s="194"/>
      <c r="F594" s="194"/>
      <c r="G594" s="194"/>
      <c r="H594" s="200" t="s">
        <v>515</v>
      </c>
    </row>
    <row r="595" spans="1:8" hidden="1" x14ac:dyDescent="0.2">
      <c r="A595" s="200" t="s">
        <v>922</v>
      </c>
      <c r="B595" s="194" t="s">
        <v>346</v>
      </c>
      <c r="C595" s="194"/>
      <c r="D595" s="194"/>
      <c r="E595" s="194"/>
      <c r="F595" s="194"/>
      <c r="G595" s="194"/>
      <c r="H595" s="200" t="s">
        <v>515</v>
      </c>
    </row>
    <row r="596" spans="1:8" hidden="1" x14ac:dyDescent="0.2">
      <c r="A596" s="200" t="s">
        <v>923</v>
      </c>
      <c r="B596" s="194" t="s">
        <v>346</v>
      </c>
      <c r="C596" s="194"/>
      <c r="D596" s="194"/>
      <c r="E596" s="194"/>
      <c r="F596" s="194"/>
      <c r="G596" s="194"/>
      <c r="H596" s="200" t="s">
        <v>515</v>
      </c>
    </row>
    <row r="597" spans="1:8" hidden="1" x14ac:dyDescent="0.2">
      <c r="A597" s="200" t="s">
        <v>924</v>
      </c>
      <c r="B597" s="194" t="s">
        <v>346</v>
      </c>
      <c r="C597" s="194"/>
      <c r="D597" s="194"/>
      <c r="E597" s="194"/>
      <c r="F597" s="194"/>
      <c r="G597" s="194"/>
      <c r="H597" s="200" t="s">
        <v>515</v>
      </c>
    </row>
    <row r="598" spans="1:8" hidden="1" x14ac:dyDescent="0.2">
      <c r="A598" s="200" t="s">
        <v>925</v>
      </c>
      <c r="B598" s="194" t="s">
        <v>346</v>
      </c>
      <c r="C598" s="194"/>
      <c r="D598" s="194"/>
      <c r="E598" s="194"/>
      <c r="F598" s="194"/>
      <c r="G598" s="194"/>
      <c r="H598" s="200" t="s">
        <v>515</v>
      </c>
    </row>
    <row r="599" spans="1:8" hidden="1" x14ac:dyDescent="0.2">
      <c r="A599" s="200" t="s">
        <v>926</v>
      </c>
      <c r="B599" s="194" t="s">
        <v>346</v>
      </c>
      <c r="C599" s="194"/>
      <c r="D599" s="194"/>
      <c r="E599" s="194"/>
      <c r="F599" s="194"/>
      <c r="G599" s="194"/>
      <c r="H599" s="200" t="s">
        <v>515</v>
      </c>
    </row>
    <row r="600" spans="1:8" hidden="1" x14ac:dyDescent="0.2">
      <c r="A600" s="199" t="s">
        <v>927</v>
      </c>
      <c r="B600" s="194" t="s">
        <v>346</v>
      </c>
      <c r="C600" s="194"/>
      <c r="D600" s="194"/>
      <c r="E600" s="194"/>
      <c r="F600" s="194"/>
      <c r="G600" s="194"/>
      <c r="H600" s="199" t="s">
        <v>519</v>
      </c>
    </row>
    <row r="601" spans="1:8" hidden="1" x14ac:dyDescent="0.2">
      <c r="A601" s="205" t="s">
        <v>928</v>
      </c>
      <c r="B601" s="194" t="s">
        <v>346</v>
      </c>
      <c r="C601" s="194"/>
      <c r="D601" s="194"/>
      <c r="E601" s="194"/>
      <c r="F601" s="194"/>
      <c r="G601" s="194"/>
      <c r="H601" s="205" t="s">
        <v>689</v>
      </c>
    </row>
    <row r="602" spans="1:8" hidden="1" x14ac:dyDescent="0.2">
      <c r="A602" s="205" t="s">
        <v>929</v>
      </c>
      <c r="B602" s="194" t="s">
        <v>346</v>
      </c>
      <c r="C602" s="194"/>
      <c r="D602" s="194"/>
      <c r="E602" s="194"/>
      <c r="F602" s="194"/>
      <c r="G602" s="194"/>
      <c r="H602" s="205" t="s">
        <v>689</v>
      </c>
    </row>
    <row r="603" spans="1:8" hidden="1" x14ac:dyDescent="0.2">
      <c r="A603" s="205" t="s">
        <v>930</v>
      </c>
      <c r="B603" s="194" t="s">
        <v>346</v>
      </c>
      <c r="C603" s="194"/>
      <c r="D603" s="194"/>
      <c r="E603" s="194"/>
      <c r="F603" s="194"/>
      <c r="G603" s="194"/>
      <c r="H603" s="205" t="s">
        <v>689</v>
      </c>
    </row>
    <row r="604" spans="1:8" hidden="1" x14ac:dyDescent="0.2">
      <c r="A604" s="205" t="s">
        <v>931</v>
      </c>
      <c r="B604" s="194" t="s">
        <v>346</v>
      </c>
      <c r="C604" s="194"/>
      <c r="D604" s="194"/>
      <c r="E604" s="194"/>
      <c r="F604" s="194"/>
      <c r="G604" s="194"/>
      <c r="H604" s="205" t="s">
        <v>689</v>
      </c>
    </row>
    <row r="605" spans="1:8" hidden="1" x14ac:dyDescent="0.2">
      <c r="A605" s="205" t="s">
        <v>932</v>
      </c>
      <c r="B605" s="194" t="s">
        <v>346</v>
      </c>
      <c r="C605" s="194"/>
      <c r="D605" s="194"/>
      <c r="E605" s="194"/>
      <c r="F605" s="194"/>
      <c r="G605" s="194"/>
      <c r="H605" s="205" t="s">
        <v>689</v>
      </c>
    </row>
    <row r="606" spans="1:8" hidden="1" x14ac:dyDescent="0.2">
      <c r="A606" s="205" t="s">
        <v>933</v>
      </c>
      <c r="B606" s="194" t="s">
        <v>346</v>
      </c>
      <c r="C606" s="194"/>
      <c r="D606" s="194"/>
      <c r="E606" s="194"/>
      <c r="F606" s="194"/>
      <c r="G606" s="194"/>
      <c r="H606" s="205" t="s">
        <v>689</v>
      </c>
    </row>
    <row r="607" spans="1:8" hidden="1" x14ac:dyDescent="0.2">
      <c r="A607" s="202" t="s">
        <v>934</v>
      </c>
      <c r="B607" s="194" t="s">
        <v>346</v>
      </c>
      <c r="C607" s="194"/>
      <c r="D607" s="194"/>
      <c r="E607" s="194"/>
      <c r="F607" s="194"/>
      <c r="G607" s="194"/>
      <c r="H607" s="202" t="s">
        <v>551</v>
      </c>
    </row>
    <row r="608" spans="1:8" hidden="1" x14ac:dyDescent="0.2">
      <c r="A608" s="202" t="s">
        <v>935</v>
      </c>
      <c r="B608" s="194" t="s">
        <v>346</v>
      </c>
      <c r="C608" s="194"/>
      <c r="D608" s="194"/>
      <c r="E608" s="194"/>
      <c r="F608" s="194"/>
      <c r="G608" s="194"/>
      <c r="H608" s="202" t="s">
        <v>551</v>
      </c>
    </row>
    <row r="609" spans="1:8" hidden="1" x14ac:dyDescent="0.2">
      <c r="A609" s="202" t="s">
        <v>936</v>
      </c>
      <c r="B609" s="194" t="s">
        <v>346</v>
      </c>
      <c r="C609" s="194"/>
      <c r="D609" s="194"/>
      <c r="E609" s="194"/>
      <c r="F609" s="194"/>
      <c r="G609" s="194"/>
      <c r="H609" s="202" t="s">
        <v>551</v>
      </c>
    </row>
    <row r="610" spans="1:8" hidden="1" x14ac:dyDescent="0.2">
      <c r="A610" s="202" t="s">
        <v>937</v>
      </c>
      <c r="B610" s="194" t="s">
        <v>346</v>
      </c>
      <c r="C610" s="194"/>
      <c r="D610" s="194"/>
      <c r="E610" s="194"/>
      <c r="F610" s="194"/>
      <c r="G610" s="194"/>
      <c r="H610" s="202" t="s">
        <v>551</v>
      </c>
    </row>
    <row r="611" spans="1:8" hidden="1" x14ac:dyDescent="0.2">
      <c r="A611" s="202" t="s">
        <v>938</v>
      </c>
      <c r="B611" s="194" t="s">
        <v>346</v>
      </c>
      <c r="C611" s="194"/>
      <c r="D611" s="194"/>
      <c r="E611" s="194"/>
      <c r="F611" s="194"/>
      <c r="G611" s="194"/>
      <c r="H611" s="202" t="s">
        <v>551</v>
      </c>
    </row>
    <row r="612" spans="1:8" hidden="1" x14ac:dyDescent="0.2">
      <c r="A612" s="202" t="s">
        <v>939</v>
      </c>
      <c r="B612" s="194" t="s">
        <v>346</v>
      </c>
      <c r="C612" s="194"/>
      <c r="D612" s="194"/>
      <c r="E612" s="194"/>
      <c r="F612" s="194"/>
      <c r="G612" s="194"/>
      <c r="H612" s="202" t="s">
        <v>551</v>
      </c>
    </row>
    <row r="613" spans="1:8" hidden="1" x14ac:dyDescent="0.2">
      <c r="A613" s="202" t="s">
        <v>940</v>
      </c>
      <c r="B613" s="194" t="s">
        <v>346</v>
      </c>
      <c r="C613" s="194"/>
      <c r="D613" s="194"/>
      <c r="E613" s="194"/>
      <c r="F613" s="194"/>
      <c r="G613" s="194"/>
      <c r="H613" s="202" t="s">
        <v>551</v>
      </c>
    </row>
    <row r="614" spans="1:8" hidden="1" x14ac:dyDescent="0.2">
      <c r="A614" s="202" t="s">
        <v>941</v>
      </c>
      <c r="B614" s="194" t="s">
        <v>346</v>
      </c>
      <c r="C614" s="194"/>
      <c r="D614" s="194"/>
      <c r="E614" s="194"/>
      <c r="F614" s="194"/>
      <c r="G614" s="194"/>
      <c r="H614" s="202" t="s">
        <v>551</v>
      </c>
    </row>
    <row r="615" spans="1:8" hidden="1" x14ac:dyDescent="0.2">
      <c r="A615" s="202" t="s">
        <v>942</v>
      </c>
      <c r="B615" s="194" t="s">
        <v>346</v>
      </c>
      <c r="C615" s="194"/>
      <c r="D615" s="194"/>
      <c r="E615" s="194"/>
      <c r="F615" s="194"/>
      <c r="G615" s="194"/>
      <c r="H615" s="202" t="s">
        <v>551</v>
      </c>
    </row>
    <row r="616" spans="1:8" hidden="1" x14ac:dyDescent="0.2">
      <c r="A616" s="201" t="s">
        <v>943</v>
      </c>
      <c r="B616" s="194" t="s">
        <v>346</v>
      </c>
      <c r="C616" s="194"/>
      <c r="D616" s="194"/>
      <c r="E616" s="194"/>
      <c r="F616" s="194"/>
      <c r="G616" s="194"/>
      <c r="H616" s="201" t="s">
        <v>542</v>
      </c>
    </row>
    <row r="617" spans="1:8" hidden="1" x14ac:dyDescent="0.2">
      <c r="A617" s="201" t="s">
        <v>944</v>
      </c>
      <c r="B617" s="194" t="s">
        <v>346</v>
      </c>
      <c r="C617" s="194"/>
      <c r="D617" s="194"/>
      <c r="E617" s="194"/>
      <c r="F617" s="194"/>
      <c r="G617" s="194"/>
      <c r="H617" s="201" t="s">
        <v>542</v>
      </c>
    </row>
    <row r="618" spans="1:8" hidden="1" x14ac:dyDescent="0.2">
      <c r="A618" s="201" t="s">
        <v>945</v>
      </c>
      <c r="B618" s="194" t="s">
        <v>346</v>
      </c>
      <c r="C618" s="194"/>
      <c r="D618" s="194"/>
      <c r="E618" s="194"/>
      <c r="F618" s="194"/>
      <c r="G618" s="194"/>
      <c r="H618" s="201" t="s">
        <v>542</v>
      </c>
    </row>
    <row r="619" spans="1:8" hidden="1" x14ac:dyDescent="0.2">
      <c r="A619" s="201" t="s">
        <v>946</v>
      </c>
      <c r="B619" s="194" t="s">
        <v>346</v>
      </c>
      <c r="C619" s="194"/>
      <c r="D619" s="194"/>
      <c r="E619" s="194"/>
      <c r="F619" s="194"/>
      <c r="G619" s="194"/>
      <c r="H619" s="201" t="s">
        <v>542</v>
      </c>
    </row>
    <row r="620" spans="1:8" hidden="1" x14ac:dyDescent="0.2">
      <c r="A620" s="201" t="s">
        <v>947</v>
      </c>
      <c r="B620" s="194" t="s">
        <v>346</v>
      </c>
      <c r="C620" s="194"/>
      <c r="D620" s="194"/>
      <c r="E620" s="194"/>
      <c r="F620" s="194"/>
      <c r="G620" s="194"/>
      <c r="H620" s="201" t="s">
        <v>542</v>
      </c>
    </row>
    <row r="621" spans="1:8" hidden="1" x14ac:dyDescent="0.2">
      <c r="A621" s="201" t="s">
        <v>948</v>
      </c>
      <c r="B621" s="194" t="s">
        <v>346</v>
      </c>
      <c r="C621" s="194"/>
      <c r="D621" s="194"/>
      <c r="E621" s="194"/>
      <c r="F621" s="194"/>
      <c r="G621" s="194"/>
      <c r="H621" s="201" t="s">
        <v>542</v>
      </c>
    </row>
    <row r="622" spans="1:8" hidden="1" x14ac:dyDescent="0.2">
      <c r="A622" s="201" t="s">
        <v>949</v>
      </c>
      <c r="B622" s="194" t="s">
        <v>346</v>
      </c>
      <c r="C622" s="194"/>
      <c r="D622" s="194"/>
      <c r="E622" s="194"/>
      <c r="F622" s="194"/>
      <c r="G622" s="194"/>
      <c r="H622" s="201" t="s">
        <v>542</v>
      </c>
    </row>
    <row r="623" spans="1:8" hidden="1" x14ac:dyDescent="0.2">
      <c r="A623" s="201" t="s">
        <v>950</v>
      </c>
      <c r="B623" s="194" t="s">
        <v>346</v>
      </c>
      <c r="C623" s="194"/>
      <c r="D623" s="194"/>
      <c r="E623" s="194"/>
      <c r="F623" s="194"/>
      <c r="G623" s="194"/>
      <c r="H623" s="201" t="s">
        <v>542</v>
      </c>
    </row>
    <row r="624" spans="1:8" hidden="1" x14ac:dyDescent="0.2">
      <c r="A624" s="201" t="s">
        <v>951</v>
      </c>
      <c r="B624" s="194" t="s">
        <v>346</v>
      </c>
      <c r="C624" s="194"/>
      <c r="D624" s="194"/>
      <c r="E624" s="194"/>
      <c r="F624" s="194"/>
      <c r="G624" s="194"/>
      <c r="H624" s="201" t="s">
        <v>542</v>
      </c>
    </row>
    <row r="625" spans="1:8" hidden="1" x14ac:dyDescent="0.2">
      <c r="A625" s="201" t="s">
        <v>952</v>
      </c>
      <c r="B625" s="194" t="s">
        <v>346</v>
      </c>
      <c r="C625" s="194"/>
      <c r="D625" s="194"/>
      <c r="E625" s="194"/>
      <c r="F625" s="194"/>
      <c r="G625" s="194"/>
      <c r="H625" s="201" t="s">
        <v>542</v>
      </c>
    </row>
    <row r="626" spans="1:8" hidden="1" x14ac:dyDescent="0.2">
      <c r="A626" s="201" t="s">
        <v>953</v>
      </c>
      <c r="B626" s="194" t="s">
        <v>346</v>
      </c>
      <c r="C626" s="194"/>
      <c r="D626" s="194"/>
      <c r="E626" s="194"/>
      <c r="F626" s="194"/>
      <c r="G626" s="194"/>
      <c r="H626" s="201" t="s">
        <v>542</v>
      </c>
    </row>
    <row r="627" spans="1:8" hidden="1" x14ac:dyDescent="0.2">
      <c r="A627" s="201" t="s">
        <v>954</v>
      </c>
      <c r="B627" s="194" t="s">
        <v>346</v>
      </c>
      <c r="C627" s="194"/>
      <c r="D627" s="194"/>
      <c r="E627" s="194"/>
      <c r="F627" s="194"/>
      <c r="G627" s="194"/>
      <c r="H627" s="201" t="s">
        <v>542</v>
      </c>
    </row>
    <row r="628" spans="1:8" hidden="1" x14ac:dyDescent="0.2">
      <c r="A628" s="201" t="s">
        <v>955</v>
      </c>
      <c r="B628" s="194" t="s">
        <v>346</v>
      </c>
      <c r="C628" s="194"/>
      <c r="D628" s="194"/>
      <c r="E628" s="194"/>
      <c r="F628" s="194"/>
      <c r="G628" s="194"/>
      <c r="H628" s="201" t="s">
        <v>542</v>
      </c>
    </row>
    <row r="629" spans="1:8" hidden="1" x14ac:dyDescent="0.2">
      <c r="A629" s="201" t="s">
        <v>956</v>
      </c>
      <c r="B629" s="194" t="s">
        <v>346</v>
      </c>
      <c r="C629" s="194"/>
      <c r="D629" s="194"/>
      <c r="E629" s="194"/>
      <c r="F629" s="194"/>
      <c r="G629" s="194"/>
      <c r="H629" s="201" t="s">
        <v>542</v>
      </c>
    </row>
    <row r="630" spans="1:8" hidden="1" x14ac:dyDescent="0.2">
      <c r="A630" s="201" t="s">
        <v>957</v>
      </c>
      <c r="B630" s="194" t="s">
        <v>346</v>
      </c>
      <c r="C630" s="194"/>
      <c r="D630" s="194"/>
      <c r="E630" s="194"/>
      <c r="F630" s="194"/>
      <c r="G630" s="194"/>
      <c r="H630" s="201" t="s">
        <v>542</v>
      </c>
    </row>
    <row r="631" spans="1:8" hidden="1" x14ac:dyDescent="0.2">
      <c r="A631" s="201" t="s">
        <v>958</v>
      </c>
      <c r="B631" s="194" t="s">
        <v>346</v>
      </c>
      <c r="C631" s="194"/>
      <c r="D631" s="194"/>
      <c r="E631" s="194"/>
      <c r="F631" s="194"/>
      <c r="G631" s="194"/>
      <c r="H631" s="201" t="s">
        <v>542</v>
      </c>
    </row>
    <row r="632" spans="1:8" hidden="1" x14ac:dyDescent="0.2">
      <c r="A632" s="201" t="s">
        <v>959</v>
      </c>
      <c r="B632" s="194" t="s">
        <v>346</v>
      </c>
      <c r="C632" s="194"/>
      <c r="D632" s="194"/>
      <c r="E632" s="194"/>
      <c r="F632" s="194"/>
      <c r="G632" s="194"/>
      <c r="H632" s="201" t="s">
        <v>542</v>
      </c>
    </row>
    <row r="633" spans="1:8" hidden="1" x14ac:dyDescent="0.2">
      <c r="A633" s="201" t="s">
        <v>960</v>
      </c>
      <c r="B633" s="194" t="s">
        <v>346</v>
      </c>
      <c r="C633" s="194"/>
      <c r="D633" s="194"/>
      <c r="E633" s="194"/>
      <c r="F633" s="194"/>
      <c r="G633" s="194"/>
      <c r="H633" s="201" t="s">
        <v>542</v>
      </c>
    </row>
    <row r="634" spans="1:8" hidden="1" x14ac:dyDescent="0.2">
      <c r="A634" s="202" t="s">
        <v>961</v>
      </c>
      <c r="B634" s="194" t="s">
        <v>346</v>
      </c>
      <c r="C634" s="194"/>
      <c r="D634" s="194"/>
      <c r="E634" s="194"/>
      <c r="F634" s="194"/>
      <c r="G634" s="194"/>
      <c r="H634" s="202" t="s">
        <v>551</v>
      </c>
    </row>
    <row r="635" spans="1:8" hidden="1" x14ac:dyDescent="0.2">
      <c r="A635" s="202" t="s">
        <v>962</v>
      </c>
      <c r="B635" s="194" t="s">
        <v>346</v>
      </c>
      <c r="C635" s="194"/>
      <c r="D635" s="194"/>
      <c r="E635" s="194"/>
      <c r="F635" s="194"/>
      <c r="G635" s="194"/>
      <c r="H635" s="202" t="s">
        <v>551</v>
      </c>
    </row>
    <row r="636" spans="1:8" hidden="1" x14ac:dyDescent="0.2">
      <c r="A636" s="202" t="s">
        <v>963</v>
      </c>
      <c r="B636" s="194" t="s">
        <v>346</v>
      </c>
      <c r="C636" s="194"/>
      <c r="D636" s="194"/>
      <c r="E636" s="194"/>
      <c r="F636" s="194"/>
      <c r="G636" s="194"/>
      <c r="H636" s="202" t="s">
        <v>551</v>
      </c>
    </row>
    <row r="637" spans="1:8" hidden="1" x14ac:dyDescent="0.2">
      <c r="A637" s="202" t="s">
        <v>964</v>
      </c>
      <c r="B637" s="194" t="s">
        <v>346</v>
      </c>
      <c r="C637" s="194"/>
      <c r="D637" s="194"/>
      <c r="E637" s="194"/>
      <c r="F637" s="194"/>
      <c r="G637" s="194"/>
      <c r="H637" s="202" t="s">
        <v>551</v>
      </c>
    </row>
    <row r="638" spans="1:8" hidden="1" x14ac:dyDescent="0.2">
      <c r="A638" s="202" t="s">
        <v>965</v>
      </c>
      <c r="B638" s="194" t="s">
        <v>346</v>
      </c>
      <c r="C638" s="194"/>
      <c r="D638" s="194"/>
      <c r="E638" s="194"/>
      <c r="F638" s="194"/>
      <c r="G638" s="194"/>
      <c r="H638" s="202" t="s">
        <v>551</v>
      </c>
    </row>
    <row r="639" spans="1:8" hidden="1" x14ac:dyDescent="0.2">
      <c r="A639" s="202" t="s">
        <v>966</v>
      </c>
      <c r="B639" s="194" t="s">
        <v>346</v>
      </c>
      <c r="C639" s="194"/>
      <c r="D639" s="194"/>
      <c r="E639" s="194"/>
      <c r="F639" s="194"/>
      <c r="G639" s="194"/>
      <c r="H639" s="202" t="s">
        <v>551</v>
      </c>
    </row>
    <row r="640" spans="1:8" hidden="1" x14ac:dyDescent="0.2">
      <c r="A640" s="202" t="s">
        <v>967</v>
      </c>
      <c r="B640" s="194" t="s">
        <v>346</v>
      </c>
      <c r="C640" s="194"/>
      <c r="D640" s="194"/>
      <c r="E640" s="194"/>
      <c r="F640" s="194"/>
      <c r="G640" s="194"/>
      <c r="H640" s="202" t="s">
        <v>551</v>
      </c>
    </row>
    <row r="641" spans="1:8" hidden="1" x14ac:dyDescent="0.2">
      <c r="A641" s="202" t="s">
        <v>968</v>
      </c>
      <c r="B641" s="194" t="s">
        <v>346</v>
      </c>
      <c r="C641" s="194"/>
      <c r="D641" s="194"/>
      <c r="E641" s="194"/>
      <c r="F641" s="194"/>
      <c r="G641" s="194"/>
      <c r="H641" s="202" t="s">
        <v>551</v>
      </c>
    </row>
    <row r="642" spans="1:8" hidden="1" x14ac:dyDescent="0.2">
      <c r="A642" s="202" t="s">
        <v>969</v>
      </c>
      <c r="B642" s="194" t="s">
        <v>346</v>
      </c>
      <c r="C642" s="194"/>
      <c r="D642" s="194"/>
      <c r="E642" s="194"/>
      <c r="F642" s="194"/>
      <c r="G642" s="194"/>
      <c r="H642" s="202" t="s">
        <v>551</v>
      </c>
    </row>
    <row r="643" spans="1:8" hidden="1" x14ac:dyDescent="0.2">
      <c r="A643" s="202" t="s">
        <v>970</v>
      </c>
      <c r="B643" s="194" t="s">
        <v>346</v>
      </c>
      <c r="C643" s="194"/>
      <c r="D643" s="194"/>
      <c r="E643" s="194"/>
      <c r="F643" s="194"/>
      <c r="G643" s="194"/>
      <c r="H643" s="202" t="s">
        <v>551</v>
      </c>
    </row>
    <row r="644" spans="1:8" hidden="1" x14ac:dyDescent="0.2">
      <c r="A644" s="202" t="s">
        <v>971</v>
      </c>
      <c r="B644" s="194" t="s">
        <v>346</v>
      </c>
      <c r="C644" s="194"/>
      <c r="D644" s="194"/>
      <c r="E644" s="194"/>
      <c r="F644" s="194"/>
      <c r="G644" s="194"/>
      <c r="H644" s="202" t="s">
        <v>551</v>
      </c>
    </row>
    <row r="645" spans="1:8" hidden="1" x14ac:dyDescent="0.2">
      <c r="A645" s="201" t="s">
        <v>972</v>
      </c>
      <c r="B645" s="194" t="s">
        <v>346</v>
      </c>
      <c r="C645" s="194"/>
      <c r="D645" s="194"/>
      <c r="E645" s="194"/>
      <c r="F645" s="194"/>
      <c r="G645" s="194"/>
      <c r="H645" s="201" t="s">
        <v>542</v>
      </c>
    </row>
    <row r="646" spans="1:8" hidden="1" x14ac:dyDescent="0.2">
      <c r="A646" s="201" t="s">
        <v>973</v>
      </c>
      <c r="B646" s="194" t="s">
        <v>346</v>
      </c>
      <c r="C646" s="194"/>
      <c r="D646" s="194"/>
      <c r="E646" s="194"/>
      <c r="F646" s="194"/>
      <c r="G646" s="194"/>
      <c r="H646" s="201" t="s">
        <v>542</v>
      </c>
    </row>
    <row r="647" spans="1:8" hidden="1" x14ac:dyDescent="0.2">
      <c r="A647" s="201" t="s">
        <v>974</v>
      </c>
      <c r="B647" s="194" t="s">
        <v>346</v>
      </c>
      <c r="C647" s="194"/>
      <c r="D647" s="194"/>
      <c r="E647" s="194"/>
      <c r="F647" s="194"/>
      <c r="G647" s="194"/>
      <c r="H647" s="201" t="s">
        <v>542</v>
      </c>
    </row>
    <row r="648" spans="1:8" hidden="1" x14ac:dyDescent="0.2">
      <c r="A648" s="201" t="s">
        <v>975</v>
      </c>
      <c r="B648" s="194" t="s">
        <v>346</v>
      </c>
      <c r="C648" s="194"/>
      <c r="D648" s="194"/>
      <c r="E648" s="194"/>
      <c r="F648" s="194"/>
      <c r="G648" s="194"/>
      <c r="H648" s="201" t="s">
        <v>542</v>
      </c>
    </row>
    <row r="649" spans="1:8" hidden="1" x14ac:dyDescent="0.2">
      <c r="A649" s="201" t="s">
        <v>976</v>
      </c>
      <c r="B649" s="194" t="s">
        <v>346</v>
      </c>
      <c r="C649" s="194"/>
      <c r="D649" s="194"/>
      <c r="E649" s="194"/>
      <c r="F649" s="194"/>
      <c r="G649" s="194"/>
      <c r="H649" s="201" t="s">
        <v>542</v>
      </c>
    </row>
    <row r="650" spans="1:8" hidden="1" x14ac:dyDescent="0.2">
      <c r="A650" s="201" t="s">
        <v>977</v>
      </c>
      <c r="B650" s="194" t="s">
        <v>346</v>
      </c>
      <c r="C650" s="194"/>
      <c r="D650" s="194"/>
      <c r="E650" s="194"/>
      <c r="F650" s="194"/>
      <c r="G650" s="194"/>
      <c r="H650" s="201" t="s">
        <v>542</v>
      </c>
    </row>
    <row r="651" spans="1:8" hidden="1" x14ac:dyDescent="0.2">
      <c r="A651" s="201" t="s">
        <v>978</v>
      </c>
      <c r="B651" s="194" t="s">
        <v>346</v>
      </c>
      <c r="C651" s="194"/>
      <c r="D651" s="194"/>
      <c r="E651" s="194"/>
      <c r="F651" s="194"/>
      <c r="G651" s="194"/>
      <c r="H651" s="201" t="s">
        <v>542</v>
      </c>
    </row>
    <row r="652" spans="1:8" hidden="1" x14ac:dyDescent="0.2">
      <c r="A652" s="201" t="s">
        <v>979</v>
      </c>
      <c r="B652" s="194" t="s">
        <v>346</v>
      </c>
      <c r="C652" s="194"/>
      <c r="D652" s="194"/>
      <c r="E652" s="194"/>
      <c r="F652" s="194"/>
      <c r="G652" s="194"/>
      <c r="H652" s="201" t="s">
        <v>542</v>
      </c>
    </row>
    <row r="653" spans="1:8" hidden="1" x14ac:dyDescent="0.2">
      <c r="A653" s="201" t="s">
        <v>980</v>
      </c>
      <c r="B653" s="194" t="s">
        <v>346</v>
      </c>
      <c r="C653" s="194"/>
      <c r="D653" s="194"/>
      <c r="E653" s="194"/>
      <c r="F653" s="194"/>
      <c r="G653" s="194"/>
      <c r="H653" s="201" t="s">
        <v>542</v>
      </c>
    </row>
    <row r="654" spans="1:8" hidden="1" x14ac:dyDescent="0.2">
      <c r="A654" s="201" t="s">
        <v>981</v>
      </c>
      <c r="B654" s="194" t="s">
        <v>346</v>
      </c>
      <c r="C654" s="194"/>
      <c r="D654" s="194"/>
      <c r="E654" s="194"/>
      <c r="F654" s="194"/>
      <c r="G654" s="194"/>
      <c r="H654" s="201" t="s">
        <v>542</v>
      </c>
    </row>
    <row r="655" spans="1:8" hidden="1" x14ac:dyDescent="0.2">
      <c r="A655" s="201" t="s">
        <v>982</v>
      </c>
      <c r="B655" s="194" t="s">
        <v>346</v>
      </c>
      <c r="C655" s="194"/>
      <c r="D655" s="194"/>
      <c r="E655" s="194"/>
      <c r="F655" s="194"/>
      <c r="G655" s="194"/>
      <c r="H655" s="201" t="s">
        <v>542</v>
      </c>
    </row>
    <row r="656" spans="1:8" hidden="1" x14ac:dyDescent="0.2">
      <c r="A656" s="201" t="s">
        <v>983</v>
      </c>
      <c r="B656" s="194" t="s">
        <v>346</v>
      </c>
      <c r="C656" s="194"/>
      <c r="D656" s="194"/>
      <c r="E656" s="194"/>
      <c r="F656" s="194"/>
      <c r="G656" s="194"/>
      <c r="H656" s="201" t="s">
        <v>542</v>
      </c>
    </row>
    <row r="657" spans="1:8" hidden="1" x14ac:dyDescent="0.2">
      <c r="A657" s="201" t="s">
        <v>984</v>
      </c>
      <c r="B657" s="194" t="s">
        <v>346</v>
      </c>
      <c r="C657" s="194"/>
      <c r="D657" s="194"/>
      <c r="E657" s="194"/>
      <c r="F657" s="194"/>
      <c r="G657" s="194"/>
      <c r="H657" s="201" t="s">
        <v>542</v>
      </c>
    </row>
    <row r="658" spans="1:8" hidden="1" x14ac:dyDescent="0.2">
      <c r="A658" s="201" t="s">
        <v>985</v>
      </c>
      <c r="B658" s="194" t="s">
        <v>346</v>
      </c>
      <c r="C658" s="194"/>
      <c r="D658" s="194"/>
      <c r="E658" s="194"/>
      <c r="F658" s="194"/>
      <c r="G658" s="194"/>
      <c r="H658" s="201" t="s">
        <v>542</v>
      </c>
    </row>
    <row r="659" spans="1:8" hidden="1" x14ac:dyDescent="0.2">
      <c r="A659" s="201" t="s">
        <v>986</v>
      </c>
      <c r="B659" s="194" t="s">
        <v>346</v>
      </c>
      <c r="C659" s="194"/>
      <c r="D659" s="194"/>
      <c r="E659" s="194"/>
      <c r="F659" s="194"/>
      <c r="G659" s="194"/>
      <c r="H659" s="201" t="s">
        <v>542</v>
      </c>
    </row>
    <row r="660" spans="1:8" hidden="1" x14ac:dyDescent="0.2">
      <c r="A660" s="201" t="s">
        <v>987</v>
      </c>
      <c r="B660" s="194" t="s">
        <v>346</v>
      </c>
      <c r="C660" s="194"/>
      <c r="D660" s="194"/>
      <c r="E660" s="194"/>
      <c r="F660" s="194"/>
      <c r="G660" s="194"/>
      <c r="H660" s="201" t="s">
        <v>542</v>
      </c>
    </row>
    <row r="661" spans="1:8" hidden="1" x14ac:dyDescent="0.2">
      <c r="A661" s="201" t="s">
        <v>988</v>
      </c>
      <c r="B661" s="194" t="s">
        <v>346</v>
      </c>
      <c r="C661" s="194"/>
      <c r="D661" s="194"/>
      <c r="E661" s="194"/>
      <c r="F661" s="194"/>
      <c r="G661" s="194"/>
      <c r="H661" s="201" t="s">
        <v>542</v>
      </c>
    </row>
    <row r="662" spans="1:8" hidden="1" x14ac:dyDescent="0.2">
      <c r="A662" s="201" t="s">
        <v>989</v>
      </c>
      <c r="B662" s="194" t="s">
        <v>346</v>
      </c>
      <c r="C662" s="194"/>
      <c r="D662" s="194"/>
      <c r="E662" s="194"/>
      <c r="F662" s="194"/>
      <c r="G662" s="194"/>
      <c r="H662" s="201" t="s">
        <v>542</v>
      </c>
    </row>
    <row r="663" spans="1:8" hidden="1" x14ac:dyDescent="0.2">
      <c r="A663" s="201" t="s">
        <v>990</v>
      </c>
      <c r="B663" s="194" t="s">
        <v>346</v>
      </c>
      <c r="C663" s="194"/>
      <c r="D663" s="194"/>
      <c r="E663" s="194"/>
      <c r="F663" s="194"/>
      <c r="G663" s="194"/>
      <c r="H663" s="201" t="s">
        <v>542</v>
      </c>
    </row>
    <row r="664" spans="1:8" hidden="1" x14ac:dyDescent="0.2">
      <c r="A664" s="201" t="s">
        <v>991</v>
      </c>
      <c r="B664" s="194" t="s">
        <v>346</v>
      </c>
      <c r="C664" s="194"/>
      <c r="D664" s="194"/>
      <c r="E664" s="194"/>
      <c r="F664" s="194"/>
      <c r="G664" s="194"/>
      <c r="H664" s="201" t="s">
        <v>542</v>
      </c>
    </row>
    <row r="665" spans="1:8" hidden="1" x14ac:dyDescent="0.2">
      <c r="A665" s="201" t="s">
        <v>992</v>
      </c>
      <c r="B665" s="194" t="s">
        <v>346</v>
      </c>
      <c r="C665" s="194"/>
      <c r="D665" s="194"/>
      <c r="E665" s="194"/>
      <c r="F665" s="194"/>
      <c r="G665" s="194"/>
      <c r="H665" s="201" t="s">
        <v>542</v>
      </c>
    </row>
    <row r="666" spans="1:8" hidden="1" x14ac:dyDescent="0.2">
      <c r="A666" s="201" t="s">
        <v>993</v>
      </c>
      <c r="B666" s="194" t="s">
        <v>346</v>
      </c>
      <c r="C666" s="194"/>
      <c r="D666" s="194"/>
      <c r="E666" s="194"/>
      <c r="F666" s="194"/>
      <c r="G666" s="194"/>
      <c r="H666" s="201" t="s">
        <v>542</v>
      </c>
    </row>
    <row r="667" spans="1:8" hidden="1" x14ac:dyDescent="0.2">
      <c r="A667" s="201" t="s">
        <v>994</v>
      </c>
      <c r="B667" s="194" t="s">
        <v>346</v>
      </c>
      <c r="C667" s="194"/>
      <c r="D667" s="194"/>
      <c r="E667" s="194"/>
      <c r="F667" s="194"/>
      <c r="G667" s="194"/>
      <c r="H667" s="201" t="s">
        <v>542</v>
      </c>
    </row>
    <row r="668" spans="1:8" hidden="1" x14ac:dyDescent="0.2">
      <c r="A668" s="201" t="s">
        <v>995</v>
      </c>
      <c r="B668" s="194" t="s">
        <v>346</v>
      </c>
      <c r="C668" s="194"/>
      <c r="D668" s="194"/>
      <c r="E668" s="194"/>
      <c r="F668" s="194"/>
      <c r="G668" s="194"/>
      <c r="H668" s="201" t="s">
        <v>542</v>
      </c>
    </row>
    <row r="669" spans="1:8" hidden="1" x14ac:dyDescent="0.2">
      <c r="A669" s="201" t="s">
        <v>996</v>
      </c>
      <c r="B669" s="194" t="s">
        <v>346</v>
      </c>
      <c r="C669" s="194"/>
      <c r="D669" s="194"/>
      <c r="E669" s="194"/>
      <c r="F669" s="194"/>
      <c r="G669" s="194"/>
      <c r="H669" s="201" t="s">
        <v>542</v>
      </c>
    </row>
    <row r="670" spans="1:8" hidden="1" x14ac:dyDescent="0.2">
      <c r="A670" s="201" t="s">
        <v>997</v>
      </c>
      <c r="B670" s="194" t="s">
        <v>346</v>
      </c>
      <c r="C670" s="194"/>
      <c r="D670" s="194"/>
      <c r="E670" s="194"/>
      <c r="F670" s="194"/>
      <c r="G670" s="194"/>
      <c r="H670" s="201" t="s">
        <v>542</v>
      </c>
    </row>
    <row r="671" spans="1:8" hidden="1" x14ac:dyDescent="0.2">
      <c r="A671" s="201" t="s">
        <v>998</v>
      </c>
      <c r="B671" s="194" t="s">
        <v>346</v>
      </c>
      <c r="C671" s="194"/>
      <c r="D671" s="194"/>
      <c r="E671" s="194"/>
      <c r="F671" s="194"/>
      <c r="G671" s="194"/>
      <c r="H671" s="201" t="s">
        <v>542</v>
      </c>
    </row>
    <row r="672" spans="1:8" hidden="1" x14ac:dyDescent="0.2">
      <c r="A672" s="201" t="s">
        <v>999</v>
      </c>
      <c r="B672" s="194" t="s">
        <v>346</v>
      </c>
      <c r="C672" s="194"/>
      <c r="D672" s="194"/>
      <c r="E672" s="194"/>
      <c r="F672" s="194"/>
      <c r="G672" s="194"/>
      <c r="H672" s="201" t="s">
        <v>542</v>
      </c>
    </row>
    <row r="673" spans="1:8" hidden="1" x14ac:dyDescent="0.2">
      <c r="A673" s="201" t="s">
        <v>1000</v>
      </c>
      <c r="B673" s="194" t="s">
        <v>346</v>
      </c>
      <c r="C673" s="194"/>
      <c r="D673" s="194"/>
      <c r="E673" s="194"/>
      <c r="F673" s="194"/>
      <c r="G673" s="194"/>
      <c r="H673" s="201" t="s">
        <v>542</v>
      </c>
    </row>
    <row r="674" spans="1:8" hidden="1" x14ac:dyDescent="0.2">
      <c r="A674" s="201" t="s">
        <v>1001</v>
      </c>
      <c r="B674" s="194" t="s">
        <v>346</v>
      </c>
      <c r="C674" s="194"/>
      <c r="D674" s="194"/>
      <c r="E674" s="194"/>
      <c r="F674" s="194"/>
      <c r="G674" s="194"/>
      <c r="H674" s="201" t="s">
        <v>542</v>
      </c>
    </row>
    <row r="675" spans="1:8" hidden="1" x14ac:dyDescent="0.2">
      <c r="A675" s="201" t="s">
        <v>1002</v>
      </c>
      <c r="B675" s="194" t="s">
        <v>346</v>
      </c>
      <c r="C675" s="194"/>
      <c r="D675" s="194"/>
      <c r="E675" s="194"/>
      <c r="F675" s="194"/>
      <c r="G675" s="194"/>
      <c r="H675" s="201" t="s">
        <v>542</v>
      </c>
    </row>
    <row r="676" spans="1:8" hidden="1" x14ac:dyDescent="0.2">
      <c r="A676" s="201" t="s">
        <v>1003</v>
      </c>
      <c r="B676" s="194" t="s">
        <v>346</v>
      </c>
      <c r="C676" s="194"/>
      <c r="D676" s="194"/>
      <c r="E676" s="194"/>
      <c r="F676" s="194"/>
      <c r="G676" s="194"/>
      <c r="H676" s="201" t="s">
        <v>542</v>
      </c>
    </row>
    <row r="677" spans="1:8" hidden="1" x14ac:dyDescent="0.2">
      <c r="A677" s="201" t="s">
        <v>1004</v>
      </c>
      <c r="B677" s="194" t="s">
        <v>346</v>
      </c>
      <c r="C677" s="194"/>
      <c r="D677" s="194"/>
      <c r="E677" s="194"/>
      <c r="F677" s="194"/>
      <c r="G677" s="194"/>
      <c r="H677" s="201" t="s">
        <v>542</v>
      </c>
    </row>
    <row r="678" spans="1:8" hidden="1" x14ac:dyDescent="0.2">
      <c r="A678" s="201" t="s">
        <v>1005</v>
      </c>
      <c r="B678" s="194" t="s">
        <v>346</v>
      </c>
      <c r="C678" s="194"/>
      <c r="D678" s="194"/>
      <c r="E678" s="194"/>
      <c r="F678" s="194"/>
      <c r="G678" s="194"/>
      <c r="H678" s="201" t="s">
        <v>542</v>
      </c>
    </row>
    <row r="679" spans="1:8" hidden="1" x14ac:dyDescent="0.2">
      <c r="A679" s="201" t="s">
        <v>1006</v>
      </c>
      <c r="B679" s="194" t="s">
        <v>346</v>
      </c>
      <c r="C679" s="194"/>
      <c r="D679" s="194"/>
      <c r="E679" s="194"/>
      <c r="F679" s="194"/>
      <c r="G679" s="194"/>
      <c r="H679" s="201" t="s">
        <v>542</v>
      </c>
    </row>
    <row r="680" spans="1:8" hidden="1" x14ac:dyDescent="0.2">
      <c r="A680" s="201" t="s">
        <v>1007</v>
      </c>
      <c r="B680" s="194" t="s">
        <v>346</v>
      </c>
      <c r="C680" s="194"/>
      <c r="D680" s="194"/>
      <c r="E680" s="194"/>
      <c r="F680" s="194"/>
      <c r="G680" s="194"/>
      <c r="H680" s="201" t="s">
        <v>542</v>
      </c>
    </row>
    <row r="681" spans="1:8" hidden="1" x14ac:dyDescent="0.2">
      <c r="A681" s="201" t="s">
        <v>1008</v>
      </c>
      <c r="B681" s="194" t="s">
        <v>346</v>
      </c>
      <c r="C681" s="194"/>
      <c r="D681" s="194"/>
      <c r="E681" s="194"/>
      <c r="F681" s="194"/>
      <c r="G681" s="194"/>
      <c r="H681" s="201" t="s">
        <v>542</v>
      </c>
    </row>
    <row r="682" spans="1:8" hidden="1" x14ac:dyDescent="0.2">
      <c r="A682" s="201" t="s">
        <v>1009</v>
      </c>
      <c r="B682" s="194" t="s">
        <v>346</v>
      </c>
      <c r="C682" s="194"/>
      <c r="D682" s="194"/>
      <c r="E682" s="194"/>
      <c r="F682" s="194"/>
      <c r="G682" s="194"/>
      <c r="H682" s="201" t="s">
        <v>542</v>
      </c>
    </row>
    <row r="683" spans="1:8" hidden="1" x14ac:dyDescent="0.2">
      <c r="A683" s="201" t="s">
        <v>1010</v>
      </c>
      <c r="B683" s="194" t="s">
        <v>346</v>
      </c>
      <c r="C683" s="194"/>
      <c r="D683" s="194"/>
      <c r="E683" s="194"/>
      <c r="F683" s="194"/>
      <c r="G683" s="194"/>
      <c r="H683" s="201" t="s">
        <v>542</v>
      </c>
    </row>
    <row r="684" spans="1:8" hidden="1" x14ac:dyDescent="0.2">
      <c r="A684" s="201" t="s">
        <v>1011</v>
      </c>
      <c r="B684" s="194" t="s">
        <v>346</v>
      </c>
      <c r="C684" s="194"/>
      <c r="D684" s="194"/>
      <c r="E684" s="194"/>
      <c r="F684" s="194"/>
      <c r="G684" s="194"/>
      <c r="H684" s="201" t="s">
        <v>542</v>
      </c>
    </row>
    <row r="685" spans="1:8" hidden="1" x14ac:dyDescent="0.2">
      <c r="A685" s="201" t="s">
        <v>1012</v>
      </c>
      <c r="B685" s="194" t="s">
        <v>346</v>
      </c>
      <c r="C685" s="194"/>
      <c r="D685" s="194"/>
      <c r="E685" s="194"/>
      <c r="F685" s="194"/>
      <c r="G685" s="194"/>
      <c r="H685" s="201" t="s">
        <v>542</v>
      </c>
    </row>
    <row r="686" spans="1:8" hidden="1" x14ac:dyDescent="0.2">
      <c r="A686" s="201" t="s">
        <v>1013</v>
      </c>
      <c r="B686" s="194" t="s">
        <v>346</v>
      </c>
      <c r="C686" s="194"/>
      <c r="D686" s="194"/>
      <c r="E686" s="194"/>
      <c r="F686" s="194"/>
      <c r="G686" s="194"/>
      <c r="H686" s="201" t="s">
        <v>542</v>
      </c>
    </row>
    <row r="687" spans="1:8" hidden="1" x14ac:dyDescent="0.2">
      <c r="A687" s="201" t="s">
        <v>1014</v>
      </c>
      <c r="B687" s="194" t="s">
        <v>346</v>
      </c>
      <c r="C687" s="194"/>
      <c r="D687" s="194"/>
      <c r="E687" s="194"/>
      <c r="F687" s="194"/>
      <c r="G687" s="194"/>
      <c r="H687" s="201" t="s">
        <v>542</v>
      </c>
    </row>
    <row r="688" spans="1:8" hidden="1" x14ac:dyDescent="0.2">
      <c r="A688" s="201" t="s">
        <v>1015</v>
      </c>
      <c r="B688" s="194" t="s">
        <v>346</v>
      </c>
      <c r="C688" s="194"/>
      <c r="D688" s="194"/>
      <c r="E688" s="194"/>
      <c r="F688" s="194"/>
      <c r="G688" s="194"/>
      <c r="H688" s="201" t="s">
        <v>542</v>
      </c>
    </row>
    <row r="689" spans="1:8" hidden="1" x14ac:dyDescent="0.2">
      <c r="A689" s="201" t="s">
        <v>1016</v>
      </c>
      <c r="B689" s="194" t="s">
        <v>346</v>
      </c>
      <c r="C689" s="194"/>
      <c r="D689" s="194"/>
      <c r="E689" s="194"/>
      <c r="F689" s="194"/>
      <c r="G689" s="194"/>
      <c r="H689" s="201" t="s">
        <v>542</v>
      </c>
    </row>
    <row r="690" spans="1:8" hidden="1" x14ac:dyDescent="0.2">
      <c r="A690" s="203" t="s">
        <v>1017</v>
      </c>
      <c r="B690" s="194" t="s">
        <v>346</v>
      </c>
      <c r="C690" s="194"/>
      <c r="D690" s="194"/>
      <c r="E690" s="194"/>
      <c r="F690" s="194"/>
      <c r="G690" s="194"/>
      <c r="H690" s="203" t="s">
        <v>572</v>
      </c>
    </row>
    <row r="691" spans="1:8" hidden="1" x14ac:dyDescent="0.2">
      <c r="A691" s="198" t="s">
        <v>1018</v>
      </c>
      <c r="B691" s="194" t="s">
        <v>346</v>
      </c>
      <c r="C691" s="194"/>
      <c r="D691" s="194"/>
      <c r="E691" s="194"/>
      <c r="F691" s="194"/>
      <c r="G691" s="194"/>
      <c r="H691" s="198" t="s">
        <v>517</v>
      </c>
    </row>
  </sheetData>
  <autoFilter ref="A1:H691" xr:uid="{00000000-0009-0000-0000-00000A000000}">
    <filterColumn colId="7">
      <filters>
        <filter val="ELECTRICITY"/>
      </filters>
    </filterColumn>
  </autoFilter>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7" t="s">
        <v>1019</v>
      </c>
      <c r="B1" s="207" t="s">
        <v>272</v>
      </c>
      <c r="C1" s="207" t="s">
        <v>1020</v>
      </c>
      <c r="D1" s="207" t="s">
        <v>1021</v>
      </c>
      <c r="E1" s="207" t="s">
        <v>1022</v>
      </c>
    </row>
    <row r="2" spans="1:5" x14ac:dyDescent="0.2">
      <c r="A2" s="194" t="s">
        <v>1023</v>
      </c>
      <c r="B2" s="194" t="s">
        <v>348</v>
      </c>
      <c r="C2" s="194" t="s">
        <v>258</v>
      </c>
      <c r="D2" s="194">
        <v>45</v>
      </c>
      <c r="E2" s="194" t="s">
        <v>1024</v>
      </c>
    </row>
  </sheetData>
  <autoFilter ref="A1:E2"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106</v>
      </c>
    </row>
    <row r="3" spans="1:3" x14ac:dyDescent="0.2">
      <c r="A3" s="2" t="s">
        <v>1025</v>
      </c>
    </row>
    <row r="4" spans="1:3" x14ac:dyDescent="0.2">
      <c r="A4" s="15"/>
      <c r="B4" s="2" t="s">
        <v>1026</v>
      </c>
      <c r="C4" t="s">
        <v>1027</v>
      </c>
    </row>
    <row r="5" spans="1:3" x14ac:dyDescent="0.2">
      <c r="A5" s="20"/>
      <c r="B5" s="2" t="s">
        <v>1028</v>
      </c>
      <c r="C5" t="s">
        <v>1029</v>
      </c>
    </row>
    <row r="6" spans="1:3" x14ac:dyDescent="0.2">
      <c r="A6" s="19"/>
      <c r="B6" s="2" t="s">
        <v>1030</v>
      </c>
      <c r="C6" t="s">
        <v>1031</v>
      </c>
    </row>
    <row r="7" spans="1:3" x14ac:dyDescent="0.2">
      <c r="A7" s="13"/>
      <c r="B7" s="2" t="s">
        <v>1032</v>
      </c>
      <c r="C7" t="s">
        <v>1033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7" tint="0.59999389629810485"/>
  </sheetPr>
  <dimension ref="A1:G837"/>
  <sheetViews>
    <sheetView topLeftCell="A675" zoomScale="115" zoomScaleNormal="115" workbookViewId="0">
      <selection activeCell="C830" sqref="C830:D837"/>
    </sheetView>
  </sheetViews>
  <sheetFormatPr baseColWidth="10" defaultRowHeight="15" x14ac:dyDescent="0.2"/>
  <cols>
    <col min="1" max="1" width="13.83203125" bestFit="1" customWidth="1"/>
    <col min="2" max="2" width="23.6640625" bestFit="1" customWidth="1"/>
    <col min="3" max="3" width="22.5" bestFit="1" customWidth="1"/>
    <col min="4" max="4" width="21.1640625" style="184" customWidth="1"/>
    <col min="6" max="6" width="46.5" bestFit="1" customWidth="1"/>
    <col min="7" max="7" width="93.5" customWidth="1"/>
  </cols>
  <sheetData>
    <row r="1" spans="1:7" x14ac:dyDescent="0.2">
      <c r="A1" s="92" t="s">
        <v>1034</v>
      </c>
      <c r="B1" s="92" t="s">
        <v>1035</v>
      </c>
      <c r="C1" s="92" t="s">
        <v>174</v>
      </c>
      <c r="D1" s="178" t="s">
        <v>1036</v>
      </c>
      <c r="E1" s="92" t="s">
        <v>62</v>
      </c>
      <c r="F1" s="92" t="s">
        <v>1037</v>
      </c>
      <c r="G1" s="92" t="s">
        <v>1038</v>
      </c>
    </row>
    <row r="2" spans="1:7" x14ac:dyDescent="0.2">
      <c r="A2" s="79" t="s">
        <v>137</v>
      </c>
      <c r="B2" s="79" t="s">
        <v>1039</v>
      </c>
      <c r="C2" s="139" t="s">
        <v>14</v>
      </c>
      <c r="D2" s="78">
        <v>3900</v>
      </c>
      <c r="E2" s="86" t="s">
        <v>1040</v>
      </c>
      <c r="F2" s="79" t="s">
        <v>1041</v>
      </c>
      <c r="G2" s="79"/>
    </row>
    <row r="3" spans="1:7" x14ac:dyDescent="0.2">
      <c r="A3" s="9" t="s">
        <v>137</v>
      </c>
      <c r="B3" s="9" t="s">
        <v>1039</v>
      </c>
      <c r="C3" s="92" t="s">
        <v>14</v>
      </c>
      <c r="D3" s="12">
        <v>1300</v>
      </c>
      <c r="E3" s="11" t="s">
        <v>1040</v>
      </c>
      <c r="F3" s="9" t="s">
        <v>1042</v>
      </c>
      <c r="G3" s="9"/>
    </row>
    <row r="4" spans="1:7" x14ac:dyDescent="0.2">
      <c r="A4" s="9" t="s">
        <v>137</v>
      </c>
      <c r="B4" s="9" t="s">
        <v>1039</v>
      </c>
      <c r="C4" s="92" t="s">
        <v>14</v>
      </c>
      <c r="D4" s="17">
        <f>1000*(33.9*0.8/100)</f>
        <v>271.2</v>
      </c>
      <c r="E4" s="11" t="s">
        <v>1040</v>
      </c>
      <c r="F4" s="9" t="s">
        <v>1043</v>
      </c>
      <c r="G4" s="9"/>
    </row>
    <row r="5" spans="1:7" x14ac:dyDescent="0.2">
      <c r="A5" s="9" t="s">
        <v>137</v>
      </c>
      <c r="B5" s="9" t="s">
        <v>1044</v>
      </c>
      <c r="C5" s="92" t="s">
        <v>14</v>
      </c>
      <c r="D5" s="18">
        <v>184</v>
      </c>
      <c r="E5" s="11" t="s">
        <v>1040</v>
      </c>
      <c r="F5" s="9" t="s">
        <v>1045</v>
      </c>
      <c r="G5" s="9"/>
    </row>
    <row r="6" spans="1:7" x14ac:dyDescent="0.2">
      <c r="A6" s="9" t="s">
        <v>1046</v>
      </c>
      <c r="B6" s="11" t="s">
        <v>1047</v>
      </c>
      <c r="C6" s="92" t="s">
        <v>14</v>
      </c>
      <c r="D6" s="17">
        <v>1033.5</v>
      </c>
      <c r="E6" s="11" t="s">
        <v>1040</v>
      </c>
      <c r="F6" s="9" t="s">
        <v>1048</v>
      </c>
      <c r="G6" s="9"/>
    </row>
    <row r="7" spans="1:7" x14ac:dyDescent="0.2">
      <c r="A7" s="9" t="s">
        <v>1046</v>
      </c>
      <c r="B7" s="9" t="s">
        <v>1049</v>
      </c>
      <c r="C7" s="92" t="s">
        <v>14</v>
      </c>
      <c r="D7" s="140">
        <v>922.19999999999982</v>
      </c>
      <c r="E7" s="11" t="s">
        <v>1040</v>
      </c>
      <c r="F7" s="9" t="s">
        <v>1048</v>
      </c>
      <c r="G7" s="9"/>
    </row>
    <row r="8" spans="1:7" x14ac:dyDescent="0.2">
      <c r="A8" s="9" t="s">
        <v>1046</v>
      </c>
      <c r="B8" s="11" t="s">
        <v>1039</v>
      </c>
      <c r="C8" s="92" t="s">
        <v>14</v>
      </c>
      <c r="D8" s="19">
        <v>500</v>
      </c>
      <c r="E8" s="11" t="s">
        <v>1040</v>
      </c>
      <c r="F8" s="9" t="s">
        <v>168</v>
      </c>
      <c r="G8" s="9" t="s">
        <v>1050</v>
      </c>
    </row>
    <row r="9" spans="1:7" x14ac:dyDescent="0.2">
      <c r="A9" s="9" t="s">
        <v>1046</v>
      </c>
      <c r="B9" s="9" t="s">
        <v>1051</v>
      </c>
      <c r="C9" s="92" t="s">
        <v>14</v>
      </c>
      <c r="D9" s="13">
        <v>527</v>
      </c>
      <c r="E9" s="11" t="s">
        <v>1040</v>
      </c>
      <c r="F9" s="9" t="s">
        <v>1052</v>
      </c>
      <c r="G9" s="9"/>
    </row>
    <row r="10" spans="1:7" x14ac:dyDescent="0.2">
      <c r="A10" s="9" t="s">
        <v>1046</v>
      </c>
      <c r="B10" s="9" t="s">
        <v>1053</v>
      </c>
      <c r="C10" s="92" t="s">
        <v>14</v>
      </c>
      <c r="D10" s="15">
        <v>517.6</v>
      </c>
      <c r="E10" s="11" t="s">
        <v>1040</v>
      </c>
      <c r="F10" s="9" t="s">
        <v>1052</v>
      </c>
      <c r="G10" s="9"/>
    </row>
    <row r="11" spans="1:7" x14ac:dyDescent="0.2">
      <c r="A11" s="9" t="s">
        <v>138</v>
      </c>
      <c r="B11" s="9" t="s">
        <v>1039</v>
      </c>
      <c r="C11" s="92" t="s">
        <v>14</v>
      </c>
      <c r="D11" s="17">
        <v>2386</v>
      </c>
      <c r="E11" s="11" t="s">
        <v>1040</v>
      </c>
      <c r="F11" s="9" t="s">
        <v>1054</v>
      </c>
      <c r="G11" s="9"/>
    </row>
    <row r="12" spans="1:7" x14ac:dyDescent="0.2">
      <c r="A12" s="9" t="s">
        <v>138</v>
      </c>
      <c r="B12" s="9" t="s">
        <v>1039</v>
      </c>
      <c r="C12" s="92" t="s">
        <v>14</v>
      </c>
      <c r="D12" s="18">
        <v>46100</v>
      </c>
      <c r="E12" s="11" t="s">
        <v>1040</v>
      </c>
      <c r="F12" s="9" t="s">
        <v>1042</v>
      </c>
      <c r="G12" s="9"/>
    </row>
    <row r="13" spans="1:7" x14ac:dyDescent="0.2">
      <c r="A13" s="9" t="s">
        <v>138</v>
      </c>
      <c r="B13" s="9" t="s">
        <v>1039</v>
      </c>
      <c r="C13" s="92" t="s">
        <v>14</v>
      </c>
      <c r="D13" s="17">
        <v>4922</v>
      </c>
      <c r="E13" s="11" t="s">
        <v>1040</v>
      </c>
      <c r="F13" s="9" t="s">
        <v>1052</v>
      </c>
      <c r="G13" s="9"/>
    </row>
    <row r="14" spans="1:7" x14ac:dyDescent="0.2">
      <c r="A14" s="9" t="s">
        <v>1055</v>
      </c>
      <c r="B14" s="11" t="s">
        <v>1039</v>
      </c>
      <c r="C14" s="92" t="s">
        <v>14</v>
      </c>
      <c r="D14" s="82">
        <v>3400</v>
      </c>
      <c r="E14" s="11" t="s">
        <v>1040</v>
      </c>
      <c r="F14" s="9" t="s">
        <v>1041</v>
      </c>
      <c r="G14" s="9"/>
    </row>
    <row r="15" spans="1:7" x14ac:dyDescent="0.2">
      <c r="A15" s="9" t="s">
        <v>1055</v>
      </c>
      <c r="B15" s="11" t="s">
        <v>1039</v>
      </c>
      <c r="C15" s="92" t="s">
        <v>14</v>
      </c>
      <c r="D15" s="82">
        <v>1635</v>
      </c>
      <c r="E15" s="11" t="s">
        <v>1040</v>
      </c>
      <c r="F15" s="9" t="s">
        <v>1052</v>
      </c>
      <c r="G15" s="9"/>
    </row>
    <row r="16" spans="1:7" x14ac:dyDescent="0.2">
      <c r="A16" s="9" t="s">
        <v>1056</v>
      </c>
      <c r="B16" s="9" t="s">
        <v>1057</v>
      </c>
      <c r="C16" s="92" t="s">
        <v>14</v>
      </c>
      <c r="D16" s="18">
        <f>1000*(62.8*97.3/100)</f>
        <v>61104.4</v>
      </c>
      <c r="E16" s="11" t="s">
        <v>1040</v>
      </c>
      <c r="F16" s="9" t="s">
        <v>1058</v>
      </c>
      <c r="G16" s="9"/>
    </row>
    <row r="17" spans="1:7" x14ac:dyDescent="0.2">
      <c r="A17" s="9" t="s">
        <v>1056</v>
      </c>
      <c r="B17" s="11" t="s">
        <v>1059</v>
      </c>
      <c r="C17" s="92" t="s">
        <v>14</v>
      </c>
      <c r="D17" s="18">
        <v>577</v>
      </c>
      <c r="E17" s="11" t="s">
        <v>1040</v>
      </c>
      <c r="F17" s="9" t="s">
        <v>1052</v>
      </c>
      <c r="G17" s="9"/>
    </row>
    <row r="18" spans="1:7" x14ac:dyDescent="0.2">
      <c r="A18" s="9" t="s">
        <v>1056</v>
      </c>
      <c r="B18" s="11" t="s">
        <v>1060</v>
      </c>
      <c r="C18" s="92" t="s">
        <v>14</v>
      </c>
      <c r="D18" s="18">
        <v>542</v>
      </c>
      <c r="E18" s="11" t="s">
        <v>1040</v>
      </c>
      <c r="F18" s="9" t="s">
        <v>1052</v>
      </c>
      <c r="G18" s="9"/>
    </row>
    <row r="19" spans="1:7" x14ac:dyDescent="0.2">
      <c r="A19" s="9" t="s">
        <v>1061</v>
      </c>
      <c r="B19" s="9" t="s">
        <v>1039</v>
      </c>
      <c r="C19" s="92" t="s">
        <v>14</v>
      </c>
      <c r="D19" s="13">
        <v>200</v>
      </c>
      <c r="E19" s="11" t="s">
        <v>1040</v>
      </c>
      <c r="F19" s="9" t="s">
        <v>1062</v>
      </c>
      <c r="G19" s="9"/>
    </row>
    <row r="20" spans="1:7" x14ac:dyDescent="0.2">
      <c r="A20" s="9" t="s">
        <v>1061</v>
      </c>
      <c r="B20" s="9" t="s">
        <v>1063</v>
      </c>
      <c r="C20" s="92" t="s">
        <v>14</v>
      </c>
      <c r="D20" s="12">
        <v>11000</v>
      </c>
      <c r="E20" s="11" t="s">
        <v>1040</v>
      </c>
      <c r="F20" s="9" t="s">
        <v>1064</v>
      </c>
      <c r="G20" s="9"/>
    </row>
    <row r="21" spans="1:7" x14ac:dyDescent="0.2">
      <c r="A21" s="9" t="s">
        <v>1061</v>
      </c>
      <c r="B21" s="9" t="s">
        <v>1065</v>
      </c>
      <c r="C21" s="92" t="s">
        <v>14</v>
      </c>
      <c r="D21" s="13">
        <v>285</v>
      </c>
      <c r="E21" s="11" t="s">
        <v>1040</v>
      </c>
      <c r="F21" s="9" t="s">
        <v>168</v>
      </c>
      <c r="G21" s="9"/>
    </row>
    <row r="22" spans="1:7" x14ac:dyDescent="0.2">
      <c r="A22" s="9" t="s">
        <v>1061</v>
      </c>
      <c r="B22" s="9" t="s">
        <v>1063</v>
      </c>
      <c r="C22" s="92" t="s">
        <v>14</v>
      </c>
      <c r="D22" s="12">
        <v>72967</v>
      </c>
      <c r="E22" s="11" t="s">
        <v>1040</v>
      </c>
      <c r="F22" s="9" t="s">
        <v>168</v>
      </c>
      <c r="G22" s="9"/>
    </row>
    <row r="23" spans="1:7" x14ac:dyDescent="0.2">
      <c r="A23" s="9" t="s">
        <v>1066</v>
      </c>
      <c r="B23" s="9" t="s">
        <v>1039</v>
      </c>
      <c r="C23" s="92" t="s">
        <v>14</v>
      </c>
      <c r="D23" s="141">
        <v>7288</v>
      </c>
      <c r="E23" s="11" t="s">
        <v>1040</v>
      </c>
      <c r="F23" s="9" t="s">
        <v>1067</v>
      </c>
      <c r="G23" s="9"/>
    </row>
    <row r="24" spans="1:7" x14ac:dyDescent="0.2">
      <c r="A24" s="9" t="s">
        <v>1066</v>
      </c>
      <c r="B24" s="9" t="s">
        <v>1039</v>
      </c>
      <c r="C24" s="92" t="s">
        <v>14</v>
      </c>
      <c r="D24" s="141">
        <f>9.4*80000/100</f>
        <v>7520</v>
      </c>
      <c r="E24" s="11" t="s">
        <v>1040</v>
      </c>
      <c r="F24" s="9" t="s">
        <v>1048</v>
      </c>
      <c r="G24" s="9"/>
    </row>
    <row r="25" spans="1:7" x14ac:dyDescent="0.2">
      <c r="A25" s="9" t="s">
        <v>1066</v>
      </c>
      <c r="B25" s="9" t="s">
        <v>1068</v>
      </c>
      <c r="C25" s="92" t="s">
        <v>14</v>
      </c>
      <c r="D25" s="12">
        <v>10953</v>
      </c>
      <c r="E25" s="11" t="s">
        <v>1040</v>
      </c>
      <c r="F25" s="9" t="s">
        <v>1069</v>
      </c>
      <c r="G25" s="9"/>
    </row>
    <row r="26" spans="1:7" ht="64" customHeight="1" x14ac:dyDescent="0.2">
      <c r="A26" s="9" t="s">
        <v>1066</v>
      </c>
      <c r="B26" s="9" t="s">
        <v>1068</v>
      </c>
      <c r="C26" s="92" t="s">
        <v>14</v>
      </c>
      <c r="D26" s="141">
        <v>31407.3</v>
      </c>
      <c r="E26" s="11" t="s">
        <v>1040</v>
      </c>
      <c r="F26" s="6" t="s">
        <v>1070</v>
      </c>
      <c r="G26" s="9"/>
    </row>
    <row r="27" spans="1:7" x14ac:dyDescent="0.2">
      <c r="A27" s="9" t="s">
        <v>1066</v>
      </c>
      <c r="B27" s="9" t="s">
        <v>1071</v>
      </c>
      <c r="C27" s="92" t="s">
        <v>14</v>
      </c>
      <c r="D27" s="141">
        <v>31300</v>
      </c>
      <c r="E27" s="11" t="s">
        <v>1040</v>
      </c>
      <c r="F27" s="9" t="s">
        <v>1072</v>
      </c>
      <c r="G27" s="9"/>
    </row>
    <row r="28" spans="1:7" x14ac:dyDescent="0.2">
      <c r="A28" s="9" t="s">
        <v>1066</v>
      </c>
      <c r="B28" s="9" t="s">
        <v>1073</v>
      </c>
      <c r="C28" s="92" t="s">
        <v>14</v>
      </c>
      <c r="D28" s="141">
        <v>38500</v>
      </c>
      <c r="E28" s="11" t="s">
        <v>1040</v>
      </c>
      <c r="F28" s="9" t="s">
        <v>1072</v>
      </c>
      <c r="G28" s="9"/>
    </row>
    <row r="29" spans="1:7" x14ac:dyDescent="0.2">
      <c r="A29" s="9" t="s">
        <v>1066</v>
      </c>
      <c r="B29" s="9" t="s">
        <v>1074</v>
      </c>
      <c r="C29" s="92" t="s">
        <v>14</v>
      </c>
      <c r="D29" s="141">
        <v>2000</v>
      </c>
      <c r="E29" s="11" t="s">
        <v>1040</v>
      </c>
      <c r="F29" s="9" t="s">
        <v>1041</v>
      </c>
      <c r="G29" s="9" t="s">
        <v>1075</v>
      </c>
    </row>
    <row r="30" spans="1:7" x14ac:dyDescent="0.2">
      <c r="A30" s="9" t="s">
        <v>1066</v>
      </c>
      <c r="B30" s="9" t="s">
        <v>1074</v>
      </c>
      <c r="C30" s="92" t="s">
        <v>14</v>
      </c>
      <c r="D30" s="141">
        <v>1051</v>
      </c>
      <c r="E30" s="11" t="s">
        <v>1040</v>
      </c>
      <c r="F30" s="9" t="s">
        <v>168</v>
      </c>
      <c r="G30" s="9" t="s">
        <v>1075</v>
      </c>
    </row>
    <row r="31" spans="1:7" x14ac:dyDescent="0.2">
      <c r="A31" s="9" t="s">
        <v>1066</v>
      </c>
      <c r="B31" s="9" t="s">
        <v>1074</v>
      </c>
      <c r="C31" s="92" t="s">
        <v>14</v>
      </c>
      <c r="D31" s="147">
        <v>102</v>
      </c>
      <c r="E31" s="11" t="s">
        <v>1040</v>
      </c>
      <c r="F31" s="9" t="s">
        <v>1076</v>
      </c>
      <c r="G31" s="9" t="s">
        <v>1075</v>
      </c>
    </row>
    <row r="32" spans="1:7" x14ac:dyDescent="0.2">
      <c r="A32" s="9" t="s">
        <v>1066</v>
      </c>
      <c r="B32" s="9" t="s">
        <v>1077</v>
      </c>
      <c r="C32" s="92" t="s">
        <v>14</v>
      </c>
      <c r="D32" s="141">
        <v>20000</v>
      </c>
      <c r="E32" s="11" t="s">
        <v>1040</v>
      </c>
      <c r="F32" s="9" t="s">
        <v>1041</v>
      </c>
      <c r="G32" s="9" t="s">
        <v>1075</v>
      </c>
    </row>
    <row r="33" spans="1:7" x14ac:dyDescent="0.2">
      <c r="A33" s="9" t="s">
        <v>1066</v>
      </c>
      <c r="B33" s="9" t="s">
        <v>1077</v>
      </c>
      <c r="C33" s="92" t="s">
        <v>14</v>
      </c>
      <c r="D33" s="141">
        <v>33500</v>
      </c>
      <c r="E33" s="11" t="s">
        <v>1040</v>
      </c>
      <c r="F33" s="9" t="s">
        <v>168</v>
      </c>
      <c r="G33" s="9" t="s">
        <v>1075</v>
      </c>
    </row>
    <row r="34" spans="1:7" x14ac:dyDescent="0.2">
      <c r="A34" s="9" t="s">
        <v>1078</v>
      </c>
      <c r="B34" s="9" t="s">
        <v>1079</v>
      </c>
      <c r="C34" s="92" t="s">
        <v>14</v>
      </c>
      <c r="D34" s="15">
        <v>46.400078224184739</v>
      </c>
      <c r="E34" s="9" t="s">
        <v>194</v>
      </c>
      <c r="F34" s="138" t="s">
        <v>1080</v>
      </c>
      <c r="G34" s="9" t="s">
        <v>1081</v>
      </c>
    </row>
    <row r="35" spans="1:7" x14ac:dyDescent="0.2">
      <c r="A35" s="9" t="s">
        <v>1078</v>
      </c>
      <c r="B35" s="9" t="s">
        <v>1082</v>
      </c>
      <c r="C35" s="92" t="s">
        <v>14</v>
      </c>
      <c r="D35" s="15">
        <v>300</v>
      </c>
      <c r="E35" s="9" t="s">
        <v>194</v>
      </c>
      <c r="F35" s="138" t="s">
        <v>1080</v>
      </c>
      <c r="G35" s="9" t="s">
        <v>1083</v>
      </c>
    </row>
    <row r="36" spans="1:7" x14ac:dyDescent="0.2">
      <c r="A36" s="9" t="s">
        <v>1078</v>
      </c>
      <c r="B36" s="9" t="s">
        <v>1084</v>
      </c>
      <c r="C36" s="92" t="s">
        <v>14</v>
      </c>
      <c r="D36" s="15">
        <v>0</v>
      </c>
      <c r="E36" s="9" t="s">
        <v>194</v>
      </c>
      <c r="F36" s="138" t="s">
        <v>1080</v>
      </c>
      <c r="G36" s="9" t="s">
        <v>1083</v>
      </c>
    </row>
    <row r="37" spans="1:7" x14ac:dyDescent="0.2">
      <c r="A37" s="9" t="s">
        <v>1078</v>
      </c>
      <c r="B37" s="9" t="s">
        <v>1085</v>
      </c>
      <c r="C37" s="92" t="s">
        <v>14</v>
      </c>
      <c r="D37" s="15">
        <v>58.429299361209431</v>
      </c>
      <c r="E37" s="9" t="s">
        <v>194</v>
      </c>
      <c r="F37" s="138" t="s">
        <v>1080</v>
      </c>
      <c r="G37" s="9" t="s">
        <v>1086</v>
      </c>
    </row>
    <row r="38" spans="1:7" x14ac:dyDescent="0.2">
      <c r="A38" s="9" t="s">
        <v>1078</v>
      </c>
      <c r="B38" s="9" t="s">
        <v>1087</v>
      </c>
      <c r="C38" s="92" t="s">
        <v>14</v>
      </c>
      <c r="D38" s="15">
        <v>62.252903741535938</v>
      </c>
      <c r="E38" s="9" t="s">
        <v>194</v>
      </c>
      <c r="F38" s="138" t="s">
        <v>1080</v>
      </c>
      <c r="G38" s="9" t="s">
        <v>1088</v>
      </c>
    </row>
    <row r="39" spans="1:7" x14ac:dyDescent="0.2">
      <c r="A39" s="9" t="s">
        <v>1078</v>
      </c>
      <c r="B39" s="9" t="s">
        <v>1089</v>
      </c>
      <c r="C39" s="92" t="s">
        <v>14</v>
      </c>
      <c r="D39" s="15">
        <v>52.526904548917862</v>
      </c>
      <c r="E39" s="9" t="s">
        <v>194</v>
      </c>
      <c r="F39" s="138" t="s">
        <v>1080</v>
      </c>
      <c r="G39" s="9" t="s">
        <v>1090</v>
      </c>
    </row>
    <row r="40" spans="1:7" x14ac:dyDescent="0.2">
      <c r="A40" s="9" t="s">
        <v>1078</v>
      </c>
      <c r="B40" s="9" t="s">
        <v>1091</v>
      </c>
      <c r="C40" s="92" t="s">
        <v>14</v>
      </c>
      <c r="D40" s="15">
        <v>85.708918423537071</v>
      </c>
      <c r="E40" s="9" t="s">
        <v>194</v>
      </c>
      <c r="F40" s="138" t="s">
        <v>1080</v>
      </c>
      <c r="G40" s="9" t="s">
        <v>1092</v>
      </c>
    </row>
    <row r="41" spans="1:7" x14ac:dyDescent="0.2">
      <c r="A41" s="9" t="s">
        <v>1093</v>
      </c>
      <c r="B41" s="9" t="s">
        <v>61</v>
      </c>
      <c r="C41" s="92" t="s">
        <v>14</v>
      </c>
      <c r="D41" s="157">
        <v>127302</v>
      </c>
      <c r="E41" s="11" t="s">
        <v>177</v>
      </c>
      <c r="F41" s="9" t="s">
        <v>1094</v>
      </c>
      <c r="G41" s="9"/>
    </row>
    <row r="42" spans="1:7" x14ac:dyDescent="0.2">
      <c r="A42" s="9" t="s">
        <v>1093</v>
      </c>
      <c r="B42" s="9" t="s">
        <v>1</v>
      </c>
      <c r="C42" s="92" t="s">
        <v>14</v>
      </c>
      <c r="D42" s="157">
        <v>71300</v>
      </c>
      <c r="E42" s="11" t="s">
        <v>177</v>
      </c>
      <c r="F42" s="9" t="s">
        <v>1094</v>
      </c>
      <c r="G42" s="9"/>
    </row>
    <row r="43" spans="1:7" x14ac:dyDescent="0.2">
      <c r="A43" s="9" t="s">
        <v>1093</v>
      </c>
      <c r="B43" s="9" t="s">
        <v>60</v>
      </c>
      <c r="C43" s="92" t="s">
        <v>14</v>
      </c>
      <c r="D43" s="157">
        <v>110658</v>
      </c>
      <c r="E43" s="11" t="s">
        <v>177</v>
      </c>
      <c r="F43" s="9" t="s">
        <v>1094</v>
      </c>
      <c r="G43" s="9"/>
    </row>
    <row r="44" spans="1:7" x14ac:dyDescent="0.2">
      <c r="A44" s="9" t="s">
        <v>1095</v>
      </c>
      <c r="B44" s="9" t="s">
        <v>199</v>
      </c>
      <c r="C44" s="103" t="s">
        <v>14</v>
      </c>
      <c r="D44" s="158">
        <v>0</v>
      </c>
      <c r="E44" s="9" t="s">
        <v>177</v>
      </c>
      <c r="F44" s="9" t="s">
        <v>206</v>
      </c>
      <c r="G44" s="9"/>
    </row>
    <row r="45" spans="1:7" x14ac:dyDescent="0.2">
      <c r="A45" s="9" t="s">
        <v>1095</v>
      </c>
      <c r="B45" s="9" t="s">
        <v>198</v>
      </c>
      <c r="C45" s="103" t="s">
        <v>14</v>
      </c>
      <c r="D45" s="158">
        <v>0</v>
      </c>
      <c r="E45" s="9" t="s">
        <v>177</v>
      </c>
      <c r="F45" s="9" t="s">
        <v>206</v>
      </c>
      <c r="G45" s="9"/>
    </row>
    <row r="46" spans="1:7" x14ac:dyDescent="0.2">
      <c r="A46" s="9" t="s">
        <v>1096</v>
      </c>
      <c r="B46" s="9" t="s">
        <v>1097</v>
      </c>
      <c r="C46" s="92" t="s">
        <v>14</v>
      </c>
      <c r="D46" s="180">
        <v>700</v>
      </c>
      <c r="E46" s="11" t="s">
        <v>1040</v>
      </c>
      <c r="F46" s="9" t="s">
        <v>1098</v>
      </c>
      <c r="G46" s="9" t="s">
        <v>1099</v>
      </c>
    </row>
    <row r="47" spans="1:7" x14ac:dyDescent="0.2">
      <c r="A47" s="9" t="s">
        <v>1096</v>
      </c>
      <c r="B47" s="9" t="s">
        <v>1100</v>
      </c>
      <c r="C47" s="92" t="s">
        <v>14</v>
      </c>
      <c r="D47" s="185">
        <v>500</v>
      </c>
      <c r="E47" s="11" t="s">
        <v>1040</v>
      </c>
      <c r="F47" s="9" t="s">
        <v>1098</v>
      </c>
      <c r="G47" s="9" t="s">
        <v>1101</v>
      </c>
    </row>
    <row r="48" spans="1:7" x14ac:dyDescent="0.2">
      <c r="A48" s="9" t="s">
        <v>1096</v>
      </c>
      <c r="B48" s="9" t="s">
        <v>1102</v>
      </c>
      <c r="C48" s="92" t="s">
        <v>14</v>
      </c>
      <c r="D48" s="185">
        <v>3651</v>
      </c>
      <c r="E48" s="11" t="s">
        <v>1040</v>
      </c>
      <c r="F48" s="36" t="s">
        <v>1103</v>
      </c>
      <c r="G48" s="9"/>
    </row>
    <row r="49" spans="1:7" x14ac:dyDescent="0.2">
      <c r="A49" s="9" t="s">
        <v>1096</v>
      </c>
      <c r="B49" s="9" t="s">
        <v>1104</v>
      </c>
      <c r="C49" s="92" t="s">
        <v>14</v>
      </c>
      <c r="D49" s="185">
        <v>3856</v>
      </c>
      <c r="E49" s="11" t="s">
        <v>1040</v>
      </c>
      <c r="F49" s="36" t="s">
        <v>1103</v>
      </c>
      <c r="G49" s="9"/>
    </row>
    <row r="50" spans="1:7" x14ac:dyDescent="0.2">
      <c r="A50" s="9" t="s">
        <v>1096</v>
      </c>
      <c r="B50" s="9" t="s">
        <v>1105</v>
      </c>
      <c r="C50" s="92" t="s">
        <v>14</v>
      </c>
      <c r="D50" s="180">
        <v>1311.8571428571429</v>
      </c>
      <c r="E50" s="11" t="s">
        <v>1040</v>
      </c>
      <c r="F50" s="9" t="s">
        <v>1069</v>
      </c>
      <c r="G50" s="9"/>
    </row>
    <row r="51" spans="1:7" x14ac:dyDescent="0.2">
      <c r="A51" s="9" t="s">
        <v>1096</v>
      </c>
      <c r="B51" s="9" t="s">
        <v>1106</v>
      </c>
      <c r="C51" s="92" t="s">
        <v>14</v>
      </c>
      <c r="D51" s="180">
        <v>1400</v>
      </c>
      <c r="E51" s="11" t="s">
        <v>1040</v>
      </c>
      <c r="F51" s="9" t="s">
        <v>1098</v>
      </c>
      <c r="G51" s="9" t="s">
        <v>1107</v>
      </c>
    </row>
    <row r="52" spans="1:7" x14ac:dyDescent="0.2">
      <c r="A52" s="9" t="s">
        <v>1096</v>
      </c>
      <c r="B52" s="9" t="s">
        <v>1108</v>
      </c>
      <c r="C52" s="92" t="s">
        <v>14</v>
      </c>
      <c r="D52" s="185">
        <v>1600</v>
      </c>
      <c r="E52" s="11" t="s">
        <v>1040</v>
      </c>
      <c r="F52" s="9" t="s">
        <v>1098</v>
      </c>
      <c r="G52" s="9" t="s">
        <v>1109</v>
      </c>
    </row>
    <row r="53" spans="1:7" x14ac:dyDescent="0.2">
      <c r="A53" s="9" t="s">
        <v>1096</v>
      </c>
      <c r="B53" s="9" t="s">
        <v>1110</v>
      </c>
      <c r="C53" s="92" t="s">
        <v>14</v>
      </c>
      <c r="D53" s="185">
        <v>446.9</v>
      </c>
      <c r="E53" s="11" t="s">
        <v>1040</v>
      </c>
      <c r="F53" s="9" t="s">
        <v>1048</v>
      </c>
      <c r="G53" s="9"/>
    </row>
    <row r="54" spans="1:7" x14ac:dyDescent="0.2">
      <c r="A54" s="9" t="s">
        <v>1096</v>
      </c>
      <c r="B54" s="9" t="s">
        <v>1110</v>
      </c>
      <c r="C54" s="92" t="s">
        <v>14</v>
      </c>
      <c r="D54" s="185">
        <v>2063</v>
      </c>
      <c r="E54" s="11" t="s">
        <v>1040</v>
      </c>
      <c r="F54" s="9" t="s">
        <v>168</v>
      </c>
      <c r="G54" s="9" t="s">
        <v>1111</v>
      </c>
    </row>
    <row r="55" spans="1:7" x14ac:dyDescent="0.2">
      <c r="A55" s="9" t="s">
        <v>1096</v>
      </c>
      <c r="B55" s="9" t="s">
        <v>1112</v>
      </c>
      <c r="C55" s="92" t="s">
        <v>14</v>
      </c>
      <c r="D55" s="179">
        <v>371.7</v>
      </c>
      <c r="E55" s="11" t="s">
        <v>1040</v>
      </c>
      <c r="F55" s="9" t="s">
        <v>1048</v>
      </c>
      <c r="G55" s="9"/>
    </row>
    <row r="56" spans="1:7" x14ac:dyDescent="0.2">
      <c r="A56" s="9" t="s">
        <v>1096</v>
      </c>
      <c r="B56" s="9" t="s">
        <v>1112</v>
      </c>
      <c r="C56" s="92" t="s">
        <v>14</v>
      </c>
      <c r="D56" s="180">
        <v>1372</v>
      </c>
      <c r="E56" s="11" t="s">
        <v>1040</v>
      </c>
      <c r="F56" s="9" t="s">
        <v>168</v>
      </c>
      <c r="G56" s="9"/>
    </row>
    <row r="57" spans="1:7" x14ac:dyDescent="0.2">
      <c r="A57" s="9" t="s">
        <v>1096</v>
      </c>
      <c r="B57" s="9" t="s">
        <v>1113</v>
      </c>
      <c r="C57" s="92" t="s">
        <v>14</v>
      </c>
      <c r="D57" s="179">
        <v>13200</v>
      </c>
      <c r="E57" s="11" t="s">
        <v>1040</v>
      </c>
      <c r="F57" s="9" t="s">
        <v>1114</v>
      </c>
      <c r="G57" s="9"/>
    </row>
    <row r="58" spans="1:7" x14ac:dyDescent="0.2">
      <c r="A58" s="9" t="s">
        <v>1096</v>
      </c>
      <c r="B58" s="9" t="s">
        <v>1115</v>
      </c>
      <c r="C58" s="92" t="s">
        <v>14</v>
      </c>
      <c r="D58" s="180">
        <v>4965</v>
      </c>
      <c r="E58" s="11" t="s">
        <v>1040</v>
      </c>
      <c r="F58" s="36" t="s">
        <v>1103</v>
      </c>
      <c r="G58" s="9"/>
    </row>
    <row r="59" spans="1:7" x14ac:dyDescent="0.2">
      <c r="A59" s="9" t="s">
        <v>1116</v>
      </c>
      <c r="B59" s="9" t="s">
        <v>1117</v>
      </c>
      <c r="C59" s="92" t="s">
        <v>14</v>
      </c>
      <c r="D59" s="15">
        <v>121.125</v>
      </c>
      <c r="E59" s="11" t="s">
        <v>1040</v>
      </c>
      <c r="F59" s="9" t="s">
        <v>1118</v>
      </c>
      <c r="G59" s="9" t="s">
        <v>1119</v>
      </c>
    </row>
    <row r="60" spans="1:7" x14ac:dyDescent="0.2">
      <c r="A60" s="9" t="s">
        <v>1066</v>
      </c>
      <c r="B60" s="9" t="s">
        <v>1039</v>
      </c>
      <c r="C60" s="92" t="s">
        <v>15</v>
      </c>
      <c r="D60" s="148">
        <v>8.0000000000000004E-4</v>
      </c>
      <c r="E60" s="11" t="s">
        <v>1040</v>
      </c>
      <c r="F60" s="9" t="s">
        <v>1076</v>
      </c>
      <c r="G60" s="9" t="s">
        <v>1120</v>
      </c>
    </row>
    <row r="61" spans="1:7" x14ac:dyDescent="0.2">
      <c r="A61" s="9" t="s">
        <v>1096</v>
      </c>
      <c r="B61" s="9" t="s">
        <v>1097</v>
      </c>
      <c r="C61" s="92" t="s">
        <v>15</v>
      </c>
      <c r="D61" s="180">
        <v>0</v>
      </c>
      <c r="E61" s="11" t="s">
        <v>1040</v>
      </c>
      <c r="F61" s="9" t="s">
        <v>1098</v>
      </c>
      <c r="G61" s="9" t="s">
        <v>1099</v>
      </c>
    </row>
    <row r="62" spans="1:7" x14ac:dyDescent="0.2">
      <c r="A62" s="9" t="s">
        <v>1096</v>
      </c>
      <c r="B62" s="9" t="s">
        <v>1100</v>
      </c>
      <c r="C62" s="92" t="s">
        <v>15</v>
      </c>
      <c r="D62" s="180">
        <v>6</v>
      </c>
      <c r="E62" s="11" t="s">
        <v>1040</v>
      </c>
      <c r="F62" s="9" t="s">
        <v>1098</v>
      </c>
      <c r="G62" s="9" t="s">
        <v>1101</v>
      </c>
    </row>
    <row r="63" spans="1:7" x14ac:dyDescent="0.2">
      <c r="A63" s="9" t="s">
        <v>1096</v>
      </c>
      <c r="B63" s="9" t="s">
        <v>1105</v>
      </c>
      <c r="C63" s="92" t="s">
        <v>15</v>
      </c>
      <c r="D63" s="180">
        <v>6</v>
      </c>
      <c r="E63" s="11" t="s">
        <v>1040</v>
      </c>
      <c r="F63" s="9" t="s">
        <v>1069</v>
      </c>
      <c r="G63" s="9"/>
    </row>
    <row r="64" spans="1:7" x14ac:dyDescent="0.2">
      <c r="A64" s="9" t="s">
        <v>1096</v>
      </c>
      <c r="B64" s="9" t="s">
        <v>1106</v>
      </c>
      <c r="C64" s="92" t="s">
        <v>15</v>
      </c>
      <c r="D64" s="180">
        <v>0</v>
      </c>
      <c r="E64" s="11" t="s">
        <v>1040</v>
      </c>
      <c r="F64" s="9" t="s">
        <v>1098</v>
      </c>
      <c r="G64" s="9" t="s">
        <v>1107</v>
      </c>
    </row>
    <row r="65" spans="1:7" x14ac:dyDescent="0.2">
      <c r="A65" s="9" t="s">
        <v>1096</v>
      </c>
      <c r="B65" s="9" t="s">
        <v>1108</v>
      </c>
      <c r="C65" s="92" t="s">
        <v>15</v>
      </c>
      <c r="D65" s="180">
        <v>1</v>
      </c>
      <c r="E65" s="11" t="s">
        <v>1040</v>
      </c>
      <c r="F65" s="9" t="s">
        <v>1098</v>
      </c>
      <c r="G65" s="9" t="s">
        <v>1109</v>
      </c>
    </row>
    <row r="66" spans="1:7" x14ac:dyDescent="0.2">
      <c r="A66" s="9" t="s">
        <v>1096</v>
      </c>
      <c r="B66" s="9" t="s">
        <v>1110</v>
      </c>
      <c r="C66" s="92" t="s">
        <v>15</v>
      </c>
      <c r="D66" s="180">
        <v>7</v>
      </c>
      <c r="E66" s="11" t="s">
        <v>1040</v>
      </c>
      <c r="F66" s="9" t="s">
        <v>168</v>
      </c>
      <c r="G66" s="9"/>
    </row>
    <row r="67" spans="1:7" x14ac:dyDescent="0.2">
      <c r="A67" s="9" t="s">
        <v>1096</v>
      </c>
      <c r="B67" s="9" t="s">
        <v>1112</v>
      </c>
      <c r="C67" s="92" t="s">
        <v>15</v>
      </c>
      <c r="D67" s="180">
        <v>1</v>
      </c>
      <c r="E67" s="11" t="s">
        <v>1040</v>
      </c>
      <c r="F67" s="9" t="s">
        <v>168</v>
      </c>
      <c r="G67" s="9"/>
    </row>
    <row r="68" spans="1:7" x14ac:dyDescent="0.2">
      <c r="A68" s="9" t="s">
        <v>1056</v>
      </c>
      <c r="B68" s="9" t="s">
        <v>1060</v>
      </c>
      <c r="C68" s="92" t="s">
        <v>16</v>
      </c>
      <c r="D68" s="140">
        <v>0.4</v>
      </c>
      <c r="E68" s="11" t="s">
        <v>1040</v>
      </c>
      <c r="F68" s="9" t="s">
        <v>1121</v>
      </c>
      <c r="G68" s="9"/>
    </row>
    <row r="69" spans="1:7" x14ac:dyDescent="0.2">
      <c r="A69" s="9" t="s">
        <v>1066</v>
      </c>
      <c r="B69" s="9" t="s">
        <v>1122</v>
      </c>
      <c r="C69" s="92" t="s">
        <v>16</v>
      </c>
      <c r="D69" s="141">
        <v>50</v>
      </c>
      <c r="E69" s="11" t="s">
        <v>1040</v>
      </c>
      <c r="F69" s="9" t="s">
        <v>1098</v>
      </c>
      <c r="G69" s="9"/>
    </row>
    <row r="70" spans="1:7" x14ac:dyDescent="0.2">
      <c r="A70" s="9" t="s">
        <v>1066</v>
      </c>
      <c r="B70" s="9" t="s">
        <v>1122</v>
      </c>
      <c r="C70" s="92" t="s">
        <v>16</v>
      </c>
      <c r="D70" s="141" t="s">
        <v>1123</v>
      </c>
      <c r="E70" s="11" t="s">
        <v>1040</v>
      </c>
      <c r="F70" s="9" t="s">
        <v>1124</v>
      </c>
      <c r="G70" s="9" t="s">
        <v>1125</v>
      </c>
    </row>
    <row r="71" spans="1:7" x14ac:dyDescent="0.2">
      <c r="A71" s="9" t="s">
        <v>1066</v>
      </c>
      <c r="B71" s="9" t="s">
        <v>1122</v>
      </c>
      <c r="C71" s="92" t="s">
        <v>16</v>
      </c>
      <c r="D71" s="141">
        <v>138</v>
      </c>
      <c r="E71" s="11" t="s">
        <v>1040</v>
      </c>
      <c r="F71" s="9" t="s">
        <v>1126</v>
      </c>
      <c r="G71" s="9"/>
    </row>
    <row r="72" spans="1:7" x14ac:dyDescent="0.2">
      <c r="A72" s="9" t="s">
        <v>1066</v>
      </c>
      <c r="B72" s="9" t="s">
        <v>1122</v>
      </c>
      <c r="C72" s="92" t="s">
        <v>16</v>
      </c>
      <c r="D72" s="141">
        <v>87</v>
      </c>
      <c r="E72" s="11" t="s">
        <v>1040</v>
      </c>
      <c r="F72" s="9" t="s">
        <v>168</v>
      </c>
      <c r="G72" s="9" t="s">
        <v>1111</v>
      </c>
    </row>
    <row r="73" spans="1:7" ht="64" customHeight="1" x14ac:dyDescent="0.2">
      <c r="A73" s="9" t="s">
        <v>1066</v>
      </c>
      <c r="B73" s="9" t="s">
        <v>1068</v>
      </c>
      <c r="C73" s="92" t="s">
        <v>16</v>
      </c>
      <c r="D73" s="148">
        <v>0.3</v>
      </c>
      <c r="E73" s="11" t="s">
        <v>1040</v>
      </c>
      <c r="F73" s="6" t="s">
        <v>1070</v>
      </c>
      <c r="G73" s="9"/>
    </row>
    <row r="74" spans="1:7" x14ac:dyDescent="0.2">
      <c r="A74" s="9" t="s">
        <v>137</v>
      </c>
      <c r="B74" s="9" t="s">
        <v>1039</v>
      </c>
      <c r="C74" s="92" t="s">
        <v>17</v>
      </c>
      <c r="D74" s="17">
        <v>2</v>
      </c>
      <c r="E74" s="11" t="s">
        <v>1040</v>
      </c>
      <c r="F74" s="9" t="s">
        <v>1041</v>
      </c>
      <c r="G74" s="9"/>
    </row>
    <row r="75" spans="1:7" x14ac:dyDescent="0.2">
      <c r="A75" s="9" t="s">
        <v>137</v>
      </c>
      <c r="B75" s="9" t="s">
        <v>1044</v>
      </c>
      <c r="C75" s="92" t="s">
        <v>17</v>
      </c>
      <c r="D75" s="17">
        <v>269</v>
      </c>
      <c r="E75" s="11" t="s">
        <v>1040</v>
      </c>
      <c r="F75" s="9" t="s">
        <v>1045</v>
      </c>
      <c r="G75" s="9"/>
    </row>
    <row r="76" spans="1:7" x14ac:dyDescent="0.2">
      <c r="A76" s="9" t="s">
        <v>1046</v>
      </c>
      <c r="B76" s="11" t="s">
        <v>1047</v>
      </c>
      <c r="C76" s="92" t="s">
        <v>17</v>
      </c>
      <c r="D76" s="16">
        <v>307.5</v>
      </c>
      <c r="E76" s="11" t="s">
        <v>1040</v>
      </c>
      <c r="F76" s="9" t="s">
        <v>1127</v>
      </c>
      <c r="G76" s="9"/>
    </row>
    <row r="77" spans="1:7" x14ac:dyDescent="0.2">
      <c r="A77" s="9" t="s">
        <v>1046</v>
      </c>
      <c r="B77" s="9" t="s">
        <v>1051</v>
      </c>
      <c r="C77" s="92" t="s">
        <v>17</v>
      </c>
      <c r="D77" s="13">
        <v>48.34</v>
      </c>
      <c r="E77" s="11" t="s">
        <v>1040</v>
      </c>
      <c r="F77" s="9" t="s">
        <v>1127</v>
      </c>
      <c r="G77" s="9"/>
    </row>
    <row r="78" spans="1:7" x14ac:dyDescent="0.2">
      <c r="A78" s="9" t="s">
        <v>1046</v>
      </c>
      <c r="B78" s="9" t="s">
        <v>1051</v>
      </c>
      <c r="C78" s="92" t="s">
        <v>17</v>
      </c>
      <c r="D78" s="13">
        <v>57</v>
      </c>
      <c r="E78" s="11" t="s">
        <v>1040</v>
      </c>
      <c r="F78" s="9" t="s">
        <v>1052</v>
      </c>
      <c r="G78" s="9"/>
    </row>
    <row r="79" spans="1:7" x14ac:dyDescent="0.2">
      <c r="A79" s="9" t="s">
        <v>1046</v>
      </c>
      <c r="B79" s="9" t="s">
        <v>1053</v>
      </c>
      <c r="C79" s="92" t="s">
        <v>17</v>
      </c>
      <c r="D79" s="15">
        <v>904</v>
      </c>
      <c r="E79" s="11" t="s">
        <v>1040</v>
      </c>
      <c r="F79" s="9" t="s">
        <v>1052</v>
      </c>
      <c r="G79" s="9"/>
    </row>
    <row r="80" spans="1:7" x14ac:dyDescent="0.2">
      <c r="A80" s="9" t="s">
        <v>138</v>
      </c>
      <c r="B80" s="9" t="s">
        <v>1039</v>
      </c>
      <c r="C80" s="92" t="s">
        <v>17</v>
      </c>
      <c r="D80" s="12">
        <v>64405</v>
      </c>
      <c r="E80" s="11" t="s">
        <v>1040</v>
      </c>
      <c r="F80" s="9" t="s">
        <v>1062</v>
      </c>
      <c r="G80" s="9"/>
    </row>
    <row r="81" spans="1:7" x14ac:dyDescent="0.2">
      <c r="A81" s="9" t="s">
        <v>138</v>
      </c>
      <c r="B81" s="9" t="s">
        <v>1039</v>
      </c>
      <c r="C81" s="92" t="s">
        <v>17</v>
      </c>
      <c r="D81" s="12">
        <v>13663</v>
      </c>
      <c r="E81" s="11" t="s">
        <v>1040</v>
      </c>
      <c r="F81" s="9" t="s">
        <v>1052</v>
      </c>
      <c r="G81" s="9"/>
    </row>
    <row r="82" spans="1:7" x14ac:dyDescent="0.2">
      <c r="A82" s="9" t="s">
        <v>1055</v>
      </c>
      <c r="B82" s="11" t="s">
        <v>1039</v>
      </c>
      <c r="C82" s="92" t="s">
        <v>17</v>
      </c>
      <c r="D82" s="81">
        <v>1500</v>
      </c>
      <c r="E82" s="11" t="s">
        <v>1040</v>
      </c>
      <c r="F82" s="9" t="s">
        <v>1041</v>
      </c>
      <c r="G82" s="9"/>
    </row>
    <row r="83" spans="1:7" x14ac:dyDescent="0.2">
      <c r="A83" s="9" t="s">
        <v>1055</v>
      </c>
      <c r="B83" s="11" t="s">
        <v>1039</v>
      </c>
      <c r="C83" s="92" t="s">
        <v>17</v>
      </c>
      <c r="D83" s="81">
        <v>12395</v>
      </c>
      <c r="E83" s="11" t="s">
        <v>1040</v>
      </c>
      <c r="F83" s="9" t="s">
        <v>1052</v>
      </c>
      <c r="G83" s="9"/>
    </row>
    <row r="84" spans="1:7" x14ac:dyDescent="0.2">
      <c r="A84" s="9" t="s">
        <v>1056</v>
      </c>
      <c r="B84" s="9" t="s">
        <v>1057</v>
      </c>
      <c r="C84" s="92" t="s">
        <v>17</v>
      </c>
      <c r="D84" s="17">
        <v>427</v>
      </c>
      <c r="E84" s="11" t="s">
        <v>1040</v>
      </c>
      <c r="F84" s="9" t="s">
        <v>1128</v>
      </c>
      <c r="G84" s="9"/>
    </row>
    <row r="85" spans="1:7" x14ac:dyDescent="0.2">
      <c r="A85" s="9" t="s">
        <v>1056</v>
      </c>
      <c r="B85" s="11" t="s">
        <v>1059</v>
      </c>
      <c r="C85" s="92" t="s">
        <v>17</v>
      </c>
      <c r="D85" s="17">
        <v>5444</v>
      </c>
      <c r="E85" s="11" t="s">
        <v>1040</v>
      </c>
      <c r="F85" s="9" t="s">
        <v>1052</v>
      </c>
      <c r="G85" s="9"/>
    </row>
    <row r="86" spans="1:7" x14ac:dyDescent="0.2">
      <c r="A86" s="9" t="s">
        <v>1056</v>
      </c>
      <c r="B86" s="11" t="s">
        <v>1060</v>
      </c>
      <c r="C86" s="92" t="s">
        <v>17</v>
      </c>
      <c r="D86" s="17">
        <v>571</v>
      </c>
      <c r="E86" s="11" t="s">
        <v>1040</v>
      </c>
      <c r="F86" s="9" t="s">
        <v>1052</v>
      </c>
      <c r="G86" s="9"/>
    </row>
    <row r="87" spans="1:7" x14ac:dyDescent="0.2">
      <c r="A87" s="9" t="s">
        <v>1061</v>
      </c>
      <c r="B87" s="9" t="s">
        <v>1065</v>
      </c>
      <c r="C87" s="92" t="s">
        <v>17</v>
      </c>
      <c r="D87" s="18">
        <v>2190</v>
      </c>
      <c r="E87" s="11" t="s">
        <v>1040</v>
      </c>
      <c r="F87" s="9" t="s">
        <v>1129</v>
      </c>
      <c r="G87" s="9"/>
    </row>
    <row r="88" spans="1:7" x14ac:dyDescent="0.2">
      <c r="A88" s="9" t="s">
        <v>1061</v>
      </c>
      <c r="B88" s="9" t="s">
        <v>1039</v>
      </c>
      <c r="C88" s="92" t="s">
        <v>17</v>
      </c>
      <c r="D88" s="13">
        <v>3000</v>
      </c>
      <c r="E88" s="11" t="s">
        <v>1040</v>
      </c>
      <c r="F88" s="9" t="s">
        <v>1062</v>
      </c>
      <c r="G88" s="9"/>
    </row>
    <row r="89" spans="1:7" x14ac:dyDescent="0.2">
      <c r="A89" s="9" t="s">
        <v>1061</v>
      </c>
      <c r="B89" s="9" t="s">
        <v>1065</v>
      </c>
      <c r="C89" s="92" t="s">
        <v>17</v>
      </c>
      <c r="D89" s="13">
        <v>4733</v>
      </c>
      <c r="E89" s="11" t="s">
        <v>1040</v>
      </c>
      <c r="F89" s="9" t="s">
        <v>168</v>
      </c>
      <c r="G89" s="9"/>
    </row>
    <row r="90" spans="1:7" x14ac:dyDescent="0.2">
      <c r="A90" s="9" t="s">
        <v>1061</v>
      </c>
      <c r="B90" s="9" t="s">
        <v>1063</v>
      </c>
      <c r="C90" s="92" t="s">
        <v>17</v>
      </c>
      <c r="D90" s="146">
        <v>3700</v>
      </c>
      <c r="E90" s="11" t="s">
        <v>1040</v>
      </c>
      <c r="F90" s="9" t="s">
        <v>168</v>
      </c>
      <c r="G90" s="9"/>
    </row>
    <row r="91" spans="1:7" x14ac:dyDescent="0.2">
      <c r="A91" s="9" t="s">
        <v>1066</v>
      </c>
      <c r="B91" s="9" t="s">
        <v>1074</v>
      </c>
      <c r="C91" s="92" t="s">
        <v>17</v>
      </c>
      <c r="D91" s="149">
        <v>61</v>
      </c>
      <c r="E91" s="11" t="s">
        <v>1040</v>
      </c>
      <c r="F91" s="9" t="s">
        <v>168</v>
      </c>
      <c r="G91" s="9" t="s">
        <v>1130</v>
      </c>
    </row>
    <row r="92" spans="1:7" x14ac:dyDescent="0.2">
      <c r="A92" s="9" t="s">
        <v>1066</v>
      </c>
      <c r="B92" s="9" t="s">
        <v>1077</v>
      </c>
      <c r="C92" s="92" t="s">
        <v>17</v>
      </c>
      <c r="D92" s="149">
        <v>3700</v>
      </c>
      <c r="E92" s="11" t="s">
        <v>1040</v>
      </c>
      <c r="F92" s="9" t="s">
        <v>168</v>
      </c>
      <c r="G92" s="9" t="s">
        <v>1130</v>
      </c>
    </row>
    <row r="93" spans="1:7" x14ac:dyDescent="0.2">
      <c r="A93" s="9" t="s">
        <v>1093</v>
      </c>
      <c r="B93" s="9" t="s">
        <v>61</v>
      </c>
      <c r="C93" s="92" t="s">
        <v>17</v>
      </c>
      <c r="D93" s="157">
        <v>11850</v>
      </c>
      <c r="E93" s="11" t="s">
        <v>177</v>
      </c>
      <c r="F93" s="9" t="s">
        <v>178</v>
      </c>
      <c r="G93" s="9"/>
    </row>
    <row r="94" spans="1:7" x14ac:dyDescent="0.2">
      <c r="A94" s="9" t="s">
        <v>1093</v>
      </c>
      <c r="B94" s="9" t="s">
        <v>1</v>
      </c>
      <c r="C94" s="92" t="s">
        <v>17</v>
      </c>
      <c r="D94" s="157">
        <v>0</v>
      </c>
      <c r="E94" s="11" t="s">
        <v>177</v>
      </c>
      <c r="F94" s="9" t="s">
        <v>178</v>
      </c>
      <c r="G94" s="9"/>
    </row>
    <row r="95" spans="1:7" x14ac:dyDescent="0.2">
      <c r="A95" s="9" t="s">
        <v>1093</v>
      </c>
      <c r="B95" s="9" t="s">
        <v>60</v>
      </c>
      <c r="C95" s="92" t="s">
        <v>17</v>
      </c>
      <c r="D95" s="157">
        <v>12789</v>
      </c>
      <c r="E95" s="11" t="s">
        <v>177</v>
      </c>
      <c r="F95" s="9" t="s">
        <v>178</v>
      </c>
      <c r="G95" s="9"/>
    </row>
    <row r="96" spans="1:7" x14ac:dyDescent="0.2">
      <c r="A96" s="9" t="s">
        <v>1096</v>
      </c>
      <c r="B96" s="9" t="s">
        <v>1097</v>
      </c>
      <c r="C96" s="92" t="s">
        <v>17</v>
      </c>
      <c r="D96" s="180">
        <v>525</v>
      </c>
      <c r="E96" s="11" t="s">
        <v>1040</v>
      </c>
      <c r="F96" s="9" t="s">
        <v>1098</v>
      </c>
      <c r="G96" s="9" t="s">
        <v>1099</v>
      </c>
    </row>
    <row r="97" spans="1:7" x14ac:dyDescent="0.2">
      <c r="A97" s="9" t="s">
        <v>1096</v>
      </c>
      <c r="B97" s="9" t="s">
        <v>1100</v>
      </c>
      <c r="C97" s="92" t="s">
        <v>17</v>
      </c>
      <c r="D97" s="180">
        <v>525</v>
      </c>
      <c r="E97" s="11" t="s">
        <v>1040</v>
      </c>
      <c r="F97" s="9" t="s">
        <v>1098</v>
      </c>
      <c r="G97" s="9" t="s">
        <v>1101</v>
      </c>
    </row>
    <row r="98" spans="1:7" x14ac:dyDescent="0.2">
      <c r="A98" s="9" t="s">
        <v>1096</v>
      </c>
      <c r="B98" s="9" t="s">
        <v>1105</v>
      </c>
      <c r="C98" s="92" t="s">
        <v>17</v>
      </c>
      <c r="D98" s="180">
        <v>382</v>
      </c>
      <c r="E98" s="11" t="s">
        <v>1040</v>
      </c>
      <c r="F98" s="9" t="s">
        <v>1069</v>
      </c>
      <c r="G98" s="9"/>
    </row>
    <row r="99" spans="1:7" x14ac:dyDescent="0.2">
      <c r="A99" s="9" t="s">
        <v>1096</v>
      </c>
      <c r="B99" s="9" t="s">
        <v>1106</v>
      </c>
      <c r="C99" s="92" t="s">
        <v>17</v>
      </c>
      <c r="D99" s="180">
        <v>470</v>
      </c>
      <c r="E99" s="11" t="s">
        <v>1040</v>
      </c>
      <c r="F99" s="9" t="s">
        <v>1098</v>
      </c>
      <c r="G99" s="9" t="s">
        <v>1107</v>
      </c>
    </row>
    <row r="100" spans="1:7" x14ac:dyDescent="0.2">
      <c r="A100" s="9" t="s">
        <v>1096</v>
      </c>
      <c r="B100" s="9" t="s">
        <v>1108</v>
      </c>
      <c r="C100" s="92" t="s">
        <v>17</v>
      </c>
      <c r="D100" s="180">
        <v>580</v>
      </c>
      <c r="E100" s="11" t="s">
        <v>1040</v>
      </c>
      <c r="F100" s="9" t="s">
        <v>1098</v>
      </c>
      <c r="G100" s="9" t="s">
        <v>1109</v>
      </c>
    </row>
    <row r="101" spans="1:7" x14ac:dyDescent="0.2">
      <c r="A101" s="9" t="s">
        <v>1096</v>
      </c>
      <c r="B101" s="9" t="s">
        <v>1110</v>
      </c>
      <c r="C101" s="92" t="s">
        <v>17</v>
      </c>
      <c r="D101" s="180">
        <v>525</v>
      </c>
      <c r="E101" s="11" t="s">
        <v>1040</v>
      </c>
      <c r="F101" s="9" t="s">
        <v>1127</v>
      </c>
      <c r="G101" s="9"/>
    </row>
    <row r="102" spans="1:7" x14ac:dyDescent="0.2">
      <c r="A102" s="9" t="s">
        <v>1096</v>
      </c>
      <c r="B102" s="9" t="s">
        <v>1110</v>
      </c>
      <c r="C102" s="92" t="s">
        <v>17</v>
      </c>
      <c r="D102" s="180">
        <v>372</v>
      </c>
      <c r="E102" s="11" t="s">
        <v>1040</v>
      </c>
      <c r="F102" s="9" t="s">
        <v>168</v>
      </c>
      <c r="G102" s="9"/>
    </row>
    <row r="103" spans="1:7" x14ac:dyDescent="0.2">
      <c r="A103" s="9" t="s">
        <v>1096</v>
      </c>
      <c r="B103" s="9" t="s">
        <v>1112</v>
      </c>
      <c r="C103" s="92" t="s">
        <v>17</v>
      </c>
      <c r="D103" s="180">
        <v>470</v>
      </c>
      <c r="E103" s="11" t="s">
        <v>1040</v>
      </c>
      <c r="F103" s="9" t="s">
        <v>1127</v>
      </c>
      <c r="G103" s="9"/>
    </row>
    <row r="104" spans="1:7" x14ac:dyDescent="0.2">
      <c r="A104" s="9" t="s">
        <v>1096</v>
      </c>
      <c r="B104" s="9" t="s">
        <v>1112</v>
      </c>
      <c r="C104" s="92" t="s">
        <v>17</v>
      </c>
      <c r="D104" s="180">
        <v>683</v>
      </c>
      <c r="E104" s="11" t="s">
        <v>1040</v>
      </c>
      <c r="F104" s="9" t="s">
        <v>168</v>
      </c>
      <c r="G104" s="9"/>
    </row>
    <row r="105" spans="1:7" x14ac:dyDescent="0.2">
      <c r="A105" s="9" t="s">
        <v>1056</v>
      </c>
      <c r="B105" s="9" t="s">
        <v>1057</v>
      </c>
      <c r="C105" s="92" t="s">
        <v>17</v>
      </c>
      <c r="D105" s="17">
        <v>2190</v>
      </c>
      <c r="E105" s="11" t="s">
        <v>1040</v>
      </c>
      <c r="F105" s="9" t="s">
        <v>1127</v>
      </c>
      <c r="G105" s="9"/>
    </row>
    <row r="106" spans="1:7" x14ac:dyDescent="0.2">
      <c r="A106" s="9" t="s">
        <v>144</v>
      </c>
      <c r="B106" s="9" t="s">
        <v>1039</v>
      </c>
      <c r="C106" s="92" t="s">
        <v>17</v>
      </c>
      <c r="D106" s="16">
        <v>310</v>
      </c>
      <c r="E106" s="11" t="s">
        <v>1040</v>
      </c>
      <c r="F106" s="9" t="s">
        <v>1128</v>
      </c>
      <c r="G106" s="9"/>
    </row>
    <row r="107" spans="1:7" x14ac:dyDescent="0.2">
      <c r="A107" s="9" t="s">
        <v>137</v>
      </c>
      <c r="B107" s="9" t="s">
        <v>1039</v>
      </c>
      <c r="C107" s="92" t="s">
        <v>18</v>
      </c>
      <c r="D107" s="17">
        <v>2</v>
      </c>
      <c r="E107" s="11" t="s">
        <v>1040</v>
      </c>
      <c r="F107" s="9" t="s">
        <v>1041</v>
      </c>
      <c r="G107" s="9"/>
    </row>
    <row r="108" spans="1:7" x14ac:dyDescent="0.2">
      <c r="A108" s="9" t="s">
        <v>137</v>
      </c>
      <c r="B108" s="9" t="s">
        <v>1044</v>
      </c>
      <c r="C108" s="92" t="s">
        <v>18</v>
      </c>
      <c r="D108" s="17">
        <v>7.0000000000000007E-2</v>
      </c>
      <c r="E108" s="11" t="s">
        <v>1040</v>
      </c>
      <c r="F108" s="9" t="s">
        <v>1045</v>
      </c>
      <c r="G108" s="9"/>
    </row>
    <row r="109" spans="1:7" x14ac:dyDescent="0.2">
      <c r="A109" s="9" t="s">
        <v>1046</v>
      </c>
      <c r="B109" s="11" t="s">
        <v>1047</v>
      </c>
      <c r="C109" s="92" t="s">
        <v>18</v>
      </c>
      <c r="D109" s="16">
        <v>201.46</v>
      </c>
      <c r="E109" s="11" t="s">
        <v>1040</v>
      </c>
      <c r="F109" s="9" t="s">
        <v>1127</v>
      </c>
      <c r="G109" s="9"/>
    </row>
    <row r="110" spans="1:7" x14ac:dyDescent="0.2">
      <c r="A110" s="9" t="s">
        <v>1046</v>
      </c>
      <c r="B110" s="9" t="s">
        <v>1051</v>
      </c>
      <c r="C110" s="92" t="s">
        <v>18</v>
      </c>
      <c r="D110" s="15">
        <v>1.8</v>
      </c>
      <c r="E110" s="11" t="s">
        <v>1040</v>
      </c>
      <c r="F110" s="9" t="s">
        <v>1127</v>
      </c>
      <c r="G110" s="9"/>
    </row>
    <row r="111" spans="1:7" x14ac:dyDescent="0.2">
      <c r="A111" s="9" t="s">
        <v>1061</v>
      </c>
      <c r="B111" s="9" t="s">
        <v>1039</v>
      </c>
      <c r="C111" s="92" t="s">
        <v>18</v>
      </c>
      <c r="D111" s="15">
        <v>326</v>
      </c>
      <c r="E111" s="11" t="s">
        <v>1040</v>
      </c>
      <c r="F111" s="9" t="s">
        <v>1127</v>
      </c>
      <c r="G111" s="9"/>
    </row>
    <row r="112" spans="1:7" x14ac:dyDescent="0.2">
      <c r="A112" s="9" t="s">
        <v>1078</v>
      </c>
      <c r="B112" s="9" t="s">
        <v>1079</v>
      </c>
      <c r="C112" s="92" t="s">
        <v>18</v>
      </c>
      <c r="D112" s="20">
        <v>1536.85058087675</v>
      </c>
      <c r="E112" s="9" t="s">
        <v>194</v>
      </c>
      <c r="F112" s="138" t="s">
        <v>1080</v>
      </c>
      <c r="G112" s="9" t="s">
        <v>1081</v>
      </c>
    </row>
    <row r="113" spans="1:7" x14ac:dyDescent="0.2">
      <c r="A113" s="9" t="s">
        <v>1078</v>
      </c>
      <c r="B113" s="9" t="s">
        <v>1079</v>
      </c>
      <c r="C113" s="92" t="s">
        <v>18</v>
      </c>
      <c r="D113" s="13">
        <v>0</v>
      </c>
      <c r="E113" s="9" t="s">
        <v>194</v>
      </c>
      <c r="F113" s="9" t="s">
        <v>195</v>
      </c>
      <c r="G113" s="9" t="s">
        <v>1131</v>
      </c>
    </row>
    <row r="114" spans="1:7" x14ac:dyDescent="0.2">
      <c r="A114" s="9" t="s">
        <v>1078</v>
      </c>
      <c r="B114" s="9" t="s">
        <v>1079</v>
      </c>
      <c r="C114" s="92" t="s">
        <v>18</v>
      </c>
      <c r="D114" s="13">
        <v>0</v>
      </c>
      <c r="E114" s="9" t="s">
        <v>194</v>
      </c>
      <c r="F114" s="9" t="s">
        <v>1132</v>
      </c>
      <c r="G114" s="9"/>
    </row>
    <row r="115" spans="1:7" x14ac:dyDescent="0.2">
      <c r="A115" s="9" t="s">
        <v>1078</v>
      </c>
      <c r="B115" s="9" t="s">
        <v>1133</v>
      </c>
      <c r="C115" s="92" t="s">
        <v>18</v>
      </c>
      <c r="D115" s="15">
        <v>0</v>
      </c>
      <c r="E115" s="9" t="s">
        <v>194</v>
      </c>
      <c r="F115" s="9" t="s">
        <v>195</v>
      </c>
      <c r="G115" s="9" t="s">
        <v>1134</v>
      </c>
    </row>
    <row r="116" spans="1:7" x14ac:dyDescent="0.2">
      <c r="A116" s="9" t="s">
        <v>1078</v>
      </c>
      <c r="B116" s="9" t="s">
        <v>1135</v>
      </c>
      <c r="C116" s="92" t="s">
        <v>18</v>
      </c>
      <c r="D116" s="19">
        <v>500</v>
      </c>
      <c r="E116" s="9" t="s">
        <v>194</v>
      </c>
      <c r="F116" s="9" t="s">
        <v>1132</v>
      </c>
      <c r="G116" s="9"/>
    </row>
    <row r="117" spans="1:7" x14ac:dyDescent="0.2">
      <c r="A117" s="9" t="s">
        <v>1078</v>
      </c>
      <c r="B117" s="9" t="s">
        <v>1135</v>
      </c>
      <c r="C117" s="92" t="s">
        <v>18</v>
      </c>
      <c r="D117" s="19">
        <v>0</v>
      </c>
      <c r="E117" s="5" t="s">
        <v>194</v>
      </c>
      <c r="F117" s="9" t="s">
        <v>195</v>
      </c>
      <c r="G117" s="9" t="s">
        <v>1136</v>
      </c>
    </row>
    <row r="118" spans="1:7" x14ac:dyDescent="0.2">
      <c r="A118" s="9" t="s">
        <v>1078</v>
      </c>
      <c r="B118" s="9" t="s">
        <v>192</v>
      </c>
      <c r="C118" s="92" t="s">
        <v>18</v>
      </c>
      <c r="D118" s="19">
        <v>0</v>
      </c>
      <c r="E118" s="9" t="s">
        <v>194</v>
      </c>
      <c r="F118" s="9" t="s">
        <v>195</v>
      </c>
      <c r="G118" s="9"/>
    </row>
    <row r="119" spans="1:7" x14ac:dyDescent="0.2">
      <c r="A119" s="9" t="s">
        <v>1078</v>
      </c>
      <c r="B119" s="9" t="s">
        <v>1082</v>
      </c>
      <c r="C119" s="92" t="s">
        <v>18</v>
      </c>
      <c r="D119" s="19">
        <v>160</v>
      </c>
      <c r="E119" s="9" t="s">
        <v>194</v>
      </c>
      <c r="F119" s="138" t="s">
        <v>1080</v>
      </c>
      <c r="G119" s="9" t="s">
        <v>1083</v>
      </c>
    </row>
    <row r="120" spans="1:7" x14ac:dyDescent="0.2">
      <c r="A120" s="9" t="s">
        <v>1078</v>
      </c>
      <c r="B120" s="9" t="s">
        <v>1084</v>
      </c>
      <c r="C120" s="92" t="s">
        <v>18</v>
      </c>
      <c r="D120" s="20">
        <v>920.77681734010343</v>
      </c>
      <c r="E120" s="9" t="s">
        <v>194</v>
      </c>
      <c r="F120" s="138" t="s">
        <v>1080</v>
      </c>
      <c r="G120" s="9" t="s">
        <v>1083</v>
      </c>
    </row>
    <row r="121" spans="1:7" x14ac:dyDescent="0.2">
      <c r="A121" s="9" t="s">
        <v>1078</v>
      </c>
      <c r="B121" s="9" t="s">
        <v>1084</v>
      </c>
      <c r="C121" s="92" t="s">
        <v>18</v>
      </c>
      <c r="D121" s="155">
        <v>105.6910503548001</v>
      </c>
      <c r="E121" s="9" t="s">
        <v>194</v>
      </c>
      <c r="F121" s="9" t="s">
        <v>195</v>
      </c>
      <c r="G121" s="9" t="s">
        <v>1137</v>
      </c>
    </row>
    <row r="122" spans="1:7" x14ac:dyDescent="0.2">
      <c r="A122" s="9" t="s">
        <v>1078</v>
      </c>
      <c r="B122" s="9" t="s">
        <v>1084</v>
      </c>
      <c r="C122" s="92" t="s">
        <v>18</v>
      </c>
      <c r="D122" s="13">
        <v>200</v>
      </c>
      <c r="E122" s="9" t="s">
        <v>194</v>
      </c>
      <c r="F122" s="9" t="s">
        <v>1132</v>
      </c>
      <c r="G122" s="9"/>
    </row>
    <row r="123" spans="1:7" x14ac:dyDescent="0.2">
      <c r="A123" s="9" t="s">
        <v>1078</v>
      </c>
      <c r="B123" s="9" t="s">
        <v>1084</v>
      </c>
      <c r="C123" s="92" t="s">
        <v>18</v>
      </c>
      <c r="D123" s="13">
        <v>143</v>
      </c>
      <c r="E123" s="9" t="s">
        <v>194</v>
      </c>
      <c r="F123" s="9" t="s">
        <v>1138</v>
      </c>
      <c r="G123" s="9"/>
    </row>
    <row r="124" spans="1:7" x14ac:dyDescent="0.2">
      <c r="A124" s="9" t="s">
        <v>1078</v>
      </c>
      <c r="B124" s="9" t="s">
        <v>1139</v>
      </c>
      <c r="C124" s="92" t="s">
        <v>18</v>
      </c>
      <c r="D124" s="15">
        <f>105.6910503548+0.147</f>
        <v>105.8380503548</v>
      </c>
      <c r="E124" s="9" t="s">
        <v>194</v>
      </c>
      <c r="F124" s="9" t="s">
        <v>195</v>
      </c>
      <c r="G124" s="9" t="s">
        <v>1140</v>
      </c>
    </row>
    <row r="125" spans="1:7" x14ac:dyDescent="0.2">
      <c r="A125" s="79" t="s">
        <v>1078</v>
      </c>
      <c r="B125" s="79" t="s">
        <v>1141</v>
      </c>
      <c r="C125" s="139" t="s">
        <v>18</v>
      </c>
      <c r="D125" s="187">
        <v>105.6910503548001</v>
      </c>
      <c r="E125" s="79" t="s">
        <v>194</v>
      </c>
      <c r="F125" s="79" t="s">
        <v>195</v>
      </c>
      <c r="G125" s="9" t="s">
        <v>1142</v>
      </c>
    </row>
    <row r="126" spans="1:7" x14ac:dyDescent="0.2">
      <c r="A126" s="9" t="s">
        <v>1078</v>
      </c>
      <c r="B126" s="9" t="s">
        <v>1143</v>
      </c>
      <c r="C126" s="92" t="s">
        <v>18</v>
      </c>
      <c r="D126" s="13">
        <v>300</v>
      </c>
      <c r="E126" s="9" t="s">
        <v>194</v>
      </c>
      <c r="F126" s="9" t="s">
        <v>1132</v>
      </c>
      <c r="G126" s="9"/>
    </row>
    <row r="127" spans="1:7" x14ac:dyDescent="0.2">
      <c r="A127" s="9" t="s">
        <v>1078</v>
      </c>
      <c r="B127" s="9" t="s">
        <v>1143</v>
      </c>
      <c r="C127" s="92" t="s">
        <v>18</v>
      </c>
      <c r="D127" s="155">
        <v>132.1138129435102</v>
      </c>
      <c r="E127" s="9" t="s">
        <v>194</v>
      </c>
      <c r="F127" s="9" t="s">
        <v>195</v>
      </c>
      <c r="G127" s="9" t="s">
        <v>1144</v>
      </c>
    </row>
    <row r="128" spans="1:7" x14ac:dyDescent="0.2">
      <c r="A128" s="9" t="s">
        <v>1078</v>
      </c>
      <c r="B128" s="9" t="s">
        <v>1085</v>
      </c>
      <c r="C128" s="92" t="s">
        <v>18</v>
      </c>
      <c r="D128" s="20">
        <v>2041.723359645516</v>
      </c>
      <c r="E128" s="9" t="s">
        <v>194</v>
      </c>
      <c r="F128" s="138" t="s">
        <v>1080</v>
      </c>
      <c r="G128" s="9" t="s">
        <v>1086</v>
      </c>
    </row>
    <row r="129" spans="1:7" x14ac:dyDescent="0.2">
      <c r="A129" s="9" t="s">
        <v>1078</v>
      </c>
      <c r="B129" s="9" t="s">
        <v>1085</v>
      </c>
      <c r="C129" s="92" t="s">
        <v>18</v>
      </c>
      <c r="D129" s="20">
        <v>334.5549512355899</v>
      </c>
      <c r="E129" s="9" t="s">
        <v>194</v>
      </c>
      <c r="F129" s="9" t="s">
        <v>195</v>
      </c>
      <c r="G129" s="9" t="s">
        <v>1145</v>
      </c>
    </row>
    <row r="130" spans="1:7" x14ac:dyDescent="0.2">
      <c r="A130" s="9" t="s">
        <v>1078</v>
      </c>
      <c r="B130" s="9" t="s">
        <v>1146</v>
      </c>
      <c r="C130" s="92" t="s">
        <v>18</v>
      </c>
      <c r="D130" s="15">
        <v>394</v>
      </c>
      <c r="E130" s="9" t="s">
        <v>194</v>
      </c>
      <c r="F130" s="9" t="s">
        <v>1138</v>
      </c>
      <c r="G130" s="9"/>
    </row>
    <row r="131" spans="1:7" x14ac:dyDescent="0.2">
      <c r="A131" s="9" t="s">
        <v>1078</v>
      </c>
      <c r="B131" s="9" t="s">
        <v>1147</v>
      </c>
      <c r="C131" s="92" t="s">
        <v>18</v>
      </c>
      <c r="D131" s="15">
        <v>301.5706207743001</v>
      </c>
      <c r="E131" s="9" t="s">
        <v>194</v>
      </c>
      <c r="F131" s="9" t="s">
        <v>195</v>
      </c>
      <c r="G131" s="9" t="s">
        <v>1148</v>
      </c>
    </row>
    <row r="132" spans="1:7" x14ac:dyDescent="0.2">
      <c r="A132" s="9" t="s">
        <v>1078</v>
      </c>
      <c r="B132" s="9" t="s">
        <v>1087</v>
      </c>
      <c r="C132" s="92" t="s">
        <v>18</v>
      </c>
      <c r="D132" s="13">
        <v>212.0418932866599</v>
      </c>
      <c r="E132" s="9" t="s">
        <v>194</v>
      </c>
      <c r="F132" s="9" t="s">
        <v>195</v>
      </c>
      <c r="G132" s="9" t="s">
        <v>1149</v>
      </c>
    </row>
    <row r="133" spans="1:7" x14ac:dyDescent="0.2">
      <c r="A133" s="9" t="s">
        <v>1078</v>
      </c>
      <c r="B133" s="9" t="s">
        <v>1087</v>
      </c>
      <c r="C133" s="92" t="s">
        <v>18</v>
      </c>
      <c r="D133" s="13">
        <v>230</v>
      </c>
      <c r="E133" s="9" t="s">
        <v>194</v>
      </c>
      <c r="F133" s="9" t="s">
        <v>1138</v>
      </c>
      <c r="G133" s="9"/>
    </row>
    <row r="134" spans="1:7" x14ac:dyDescent="0.2">
      <c r="A134" s="9" t="s">
        <v>1078</v>
      </c>
      <c r="B134" s="9" t="s">
        <v>1087</v>
      </c>
      <c r="C134" s="92" t="s">
        <v>18</v>
      </c>
      <c r="D134" s="20">
        <v>2125.9766361881361</v>
      </c>
      <c r="E134" s="9" t="s">
        <v>194</v>
      </c>
      <c r="F134" s="138" t="s">
        <v>1080</v>
      </c>
      <c r="G134" s="9" t="s">
        <v>1088</v>
      </c>
    </row>
    <row r="135" spans="1:7" x14ac:dyDescent="0.2">
      <c r="A135" s="9" t="s">
        <v>1078</v>
      </c>
      <c r="B135" s="9" t="s">
        <v>1150</v>
      </c>
      <c r="C135" s="92" t="s">
        <v>18</v>
      </c>
      <c r="D135" s="13">
        <v>214</v>
      </c>
      <c r="E135" s="9" t="s">
        <v>194</v>
      </c>
      <c r="F135" s="9" t="s">
        <v>1138</v>
      </c>
      <c r="G135" s="9"/>
    </row>
    <row r="136" spans="1:7" x14ac:dyDescent="0.2">
      <c r="A136" s="9" t="s">
        <v>1078</v>
      </c>
      <c r="B136" s="9" t="s">
        <v>1150</v>
      </c>
      <c r="C136" s="92" t="s">
        <v>18</v>
      </c>
      <c r="D136" s="13">
        <v>179.0575628253699</v>
      </c>
      <c r="E136" s="9" t="s">
        <v>194</v>
      </c>
      <c r="F136" s="9" t="s">
        <v>195</v>
      </c>
      <c r="G136" s="9" t="s">
        <v>1151</v>
      </c>
    </row>
    <row r="137" spans="1:7" x14ac:dyDescent="0.2">
      <c r="A137" s="9" t="s">
        <v>1078</v>
      </c>
      <c r="B137" s="9" t="s">
        <v>1089</v>
      </c>
      <c r="C137" s="92" t="s">
        <v>18</v>
      </c>
      <c r="D137" s="15">
        <v>1933.0192462568859</v>
      </c>
      <c r="E137" s="9" t="s">
        <v>194</v>
      </c>
      <c r="F137" s="138" t="s">
        <v>1080</v>
      </c>
      <c r="G137" s="9" t="s">
        <v>1090</v>
      </c>
    </row>
    <row r="138" spans="1:7" x14ac:dyDescent="0.2">
      <c r="A138" s="9" t="s">
        <v>1078</v>
      </c>
      <c r="B138" s="9" t="s">
        <v>1091</v>
      </c>
      <c r="C138" s="92" t="s">
        <v>18</v>
      </c>
      <c r="D138" s="20">
        <v>2657.450350391126</v>
      </c>
      <c r="E138" s="9" t="s">
        <v>194</v>
      </c>
      <c r="F138" s="138" t="s">
        <v>1080</v>
      </c>
      <c r="G138" s="9" t="s">
        <v>1092</v>
      </c>
    </row>
    <row r="139" spans="1:7" x14ac:dyDescent="0.2">
      <c r="A139" s="9" t="s">
        <v>1078</v>
      </c>
      <c r="B139" s="9" t="s">
        <v>1091</v>
      </c>
      <c r="C139" s="92" t="s">
        <v>18</v>
      </c>
      <c r="D139" s="13">
        <v>84.816757314669871</v>
      </c>
      <c r="E139" s="9" t="s">
        <v>194</v>
      </c>
      <c r="F139" s="9" t="s">
        <v>195</v>
      </c>
      <c r="G139" s="9" t="s">
        <v>1152</v>
      </c>
    </row>
    <row r="140" spans="1:7" x14ac:dyDescent="0.2">
      <c r="A140" s="9" t="s">
        <v>1078</v>
      </c>
      <c r="B140" s="9" t="s">
        <v>1153</v>
      </c>
      <c r="C140" s="92" t="s">
        <v>18</v>
      </c>
      <c r="D140" s="13">
        <v>94</v>
      </c>
      <c r="E140" s="9" t="s">
        <v>194</v>
      </c>
      <c r="F140" s="9" t="s">
        <v>1138</v>
      </c>
      <c r="G140" s="9"/>
    </row>
    <row r="141" spans="1:7" x14ac:dyDescent="0.2">
      <c r="A141" s="9" t="s">
        <v>137</v>
      </c>
      <c r="B141" s="9" t="s">
        <v>1039</v>
      </c>
      <c r="C141" s="92" t="s">
        <v>19</v>
      </c>
      <c r="D141" s="15">
        <v>159000</v>
      </c>
      <c r="E141" s="11" t="s">
        <v>1040</v>
      </c>
      <c r="F141" s="9" t="s">
        <v>1042</v>
      </c>
      <c r="G141" s="9"/>
    </row>
    <row r="142" spans="1:7" x14ac:dyDescent="0.2">
      <c r="A142" s="9" t="s">
        <v>138</v>
      </c>
      <c r="B142" s="9" t="s">
        <v>1039</v>
      </c>
      <c r="C142" s="92" t="s">
        <v>19</v>
      </c>
      <c r="D142" s="15">
        <v>459000</v>
      </c>
      <c r="E142" s="11" t="s">
        <v>1040</v>
      </c>
      <c r="F142" s="9" t="s">
        <v>1042</v>
      </c>
      <c r="G142" s="9"/>
    </row>
    <row r="143" spans="1:7" x14ac:dyDescent="0.2">
      <c r="A143" s="9" t="s">
        <v>1061</v>
      </c>
      <c r="B143" s="9" t="s">
        <v>1039</v>
      </c>
      <c r="C143" s="92" t="s">
        <v>19</v>
      </c>
      <c r="D143" s="15">
        <v>1000000</v>
      </c>
      <c r="E143" s="11" t="s">
        <v>1040</v>
      </c>
      <c r="F143" s="9" t="s">
        <v>1062</v>
      </c>
      <c r="G143" s="9"/>
    </row>
    <row r="144" spans="1:7" x14ac:dyDescent="0.2">
      <c r="A144" s="9" t="s">
        <v>1066</v>
      </c>
      <c r="B144" s="9" t="s">
        <v>1039</v>
      </c>
      <c r="C144" s="92" t="s">
        <v>19</v>
      </c>
      <c r="D144" s="148">
        <v>60700</v>
      </c>
      <c r="E144" s="11" t="s">
        <v>1040</v>
      </c>
      <c r="F144" s="9" t="s">
        <v>1098</v>
      </c>
      <c r="G144" s="9"/>
    </row>
    <row r="145" spans="1:7" x14ac:dyDescent="0.2">
      <c r="A145" s="9" t="s">
        <v>1066</v>
      </c>
      <c r="B145" s="9" t="s">
        <v>1154</v>
      </c>
      <c r="C145" s="92" t="s">
        <v>19</v>
      </c>
      <c r="D145" s="150">
        <v>60700</v>
      </c>
      <c r="E145" s="11" t="s">
        <v>1040</v>
      </c>
      <c r="F145" s="9" t="s">
        <v>1098</v>
      </c>
      <c r="G145" s="9"/>
    </row>
    <row r="146" spans="1:7" x14ac:dyDescent="0.2">
      <c r="A146" s="9" t="s">
        <v>1066</v>
      </c>
      <c r="B146" s="9" t="s">
        <v>1122</v>
      </c>
      <c r="C146" s="92" t="s">
        <v>19</v>
      </c>
      <c r="D146" s="148">
        <v>60700</v>
      </c>
      <c r="E146" s="11" t="s">
        <v>1040</v>
      </c>
      <c r="F146" s="9" t="s">
        <v>1098</v>
      </c>
      <c r="G146" s="9"/>
    </row>
    <row r="147" spans="1:7" x14ac:dyDescent="0.2">
      <c r="A147" s="9" t="s">
        <v>1066</v>
      </c>
      <c r="B147" s="11" t="s">
        <v>1155</v>
      </c>
      <c r="C147" s="92" t="s">
        <v>19</v>
      </c>
      <c r="D147" s="148">
        <v>60700</v>
      </c>
      <c r="E147" s="11" t="s">
        <v>1040</v>
      </c>
      <c r="F147" s="9" t="s">
        <v>1098</v>
      </c>
      <c r="G147" s="9"/>
    </row>
    <row r="148" spans="1:7" x14ac:dyDescent="0.2">
      <c r="A148" s="9" t="s">
        <v>1066</v>
      </c>
      <c r="B148" s="9" t="s">
        <v>1068</v>
      </c>
      <c r="C148" s="92" t="s">
        <v>19</v>
      </c>
      <c r="D148" s="148">
        <v>60700</v>
      </c>
      <c r="E148" s="11" t="s">
        <v>1040</v>
      </c>
      <c r="F148" s="9" t="s">
        <v>1098</v>
      </c>
      <c r="G148" s="9"/>
    </row>
    <row r="149" spans="1:7" x14ac:dyDescent="0.2">
      <c r="A149" s="9" t="s">
        <v>1096</v>
      </c>
      <c r="B149" s="9" t="s">
        <v>1097</v>
      </c>
      <c r="C149" s="92" t="s">
        <v>19</v>
      </c>
      <c r="D149" s="180">
        <v>369000</v>
      </c>
      <c r="E149" s="11" t="s">
        <v>1040</v>
      </c>
      <c r="F149" s="9" t="s">
        <v>1098</v>
      </c>
      <c r="G149" s="9" t="s">
        <v>1099</v>
      </c>
    </row>
    <row r="150" spans="1:7" x14ac:dyDescent="0.2">
      <c r="A150" s="9" t="s">
        <v>1096</v>
      </c>
      <c r="B150" s="9" t="s">
        <v>1100</v>
      </c>
      <c r="C150" s="92" t="s">
        <v>19</v>
      </c>
      <c r="D150" s="180">
        <v>243000</v>
      </c>
      <c r="E150" s="11" t="s">
        <v>1040</v>
      </c>
      <c r="F150" s="9" t="s">
        <v>1098</v>
      </c>
      <c r="G150" s="9" t="s">
        <v>1101</v>
      </c>
    </row>
    <row r="151" spans="1:7" x14ac:dyDescent="0.2">
      <c r="A151" s="9" t="s">
        <v>1096</v>
      </c>
      <c r="B151" s="9" t="s">
        <v>1102</v>
      </c>
      <c r="C151" s="92" t="s">
        <v>19</v>
      </c>
      <c r="D151" s="180">
        <v>818261</v>
      </c>
      <c r="E151" s="11" t="s">
        <v>1040</v>
      </c>
      <c r="F151" s="36" t="s">
        <v>1103</v>
      </c>
      <c r="G151" s="9"/>
    </row>
    <row r="152" spans="1:7" x14ac:dyDescent="0.2">
      <c r="A152" s="9" t="s">
        <v>1096</v>
      </c>
      <c r="B152" s="9" t="s">
        <v>1104</v>
      </c>
      <c r="C152" s="92" t="s">
        <v>19</v>
      </c>
      <c r="D152" s="180">
        <v>380000</v>
      </c>
      <c r="E152" s="11" t="s">
        <v>1040</v>
      </c>
      <c r="F152" s="36" t="s">
        <v>1103</v>
      </c>
      <c r="G152" s="9"/>
    </row>
    <row r="153" spans="1:7" x14ac:dyDescent="0.2">
      <c r="A153" s="9" t="s">
        <v>1096</v>
      </c>
      <c r="B153" s="9" t="s">
        <v>1106</v>
      </c>
      <c r="C153" s="92" t="s">
        <v>19</v>
      </c>
      <c r="D153" s="180">
        <v>355000</v>
      </c>
      <c r="E153" s="11" t="s">
        <v>1040</v>
      </c>
      <c r="F153" s="9" t="s">
        <v>1098</v>
      </c>
      <c r="G153" s="9" t="s">
        <v>1107</v>
      </c>
    </row>
    <row r="154" spans="1:7" x14ac:dyDescent="0.2">
      <c r="A154" s="9" t="s">
        <v>1096</v>
      </c>
      <c r="B154" s="9" t="s">
        <v>1108</v>
      </c>
      <c r="C154" s="92" t="s">
        <v>19</v>
      </c>
      <c r="D154" s="180">
        <v>413000</v>
      </c>
      <c r="E154" s="11" t="s">
        <v>1040</v>
      </c>
      <c r="F154" s="9" t="s">
        <v>1098</v>
      </c>
      <c r="G154" s="9" t="s">
        <v>1109</v>
      </c>
    </row>
    <row r="155" spans="1:7" x14ac:dyDescent="0.2">
      <c r="A155" s="9" t="s">
        <v>1096</v>
      </c>
      <c r="B155" s="9" t="s">
        <v>1113</v>
      </c>
      <c r="C155" s="92" t="s">
        <v>19</v>
      </c>
      <c r="D155" s="180">
        <v>365440</v>
      </c>
      <c r="E155" s="11" t="s">
        <v>1040</v>
      </c>
      <c r="F155" s="9" t="s">
        <v>1114</v>
      </c>
      <c r="G155" s="9"/>
    </row>
    <row r="156" spans="1:7" x14ac:dyDescent="0.2">
      <c r="A156" s="9" t="s">
        <v>1096</v>
      </c>
      <c r="B156" s="9" t="s">
        <v>1115</v>
      </c>
      <c r="C156" s="92" t="s">
        <v>19</v>
      </c>
      <c r="D156" s="180">
        <v>487879</v>
      </c>
      <c r="E156" s="11" t="s">
        <v>1040</v>
      </c>
      <c r="F156" s="36" t="s">
        <v>1103</v>
      </c>
      <c r="G156" s="9"/>
    </row>
    <row r="157" spans="1:7" x14ac:dyDescent="0.2">
      <c r="A157" s="9" t="s">
        <v>137</v>
      </c>
      <c r="B157" s="9" t="s">
        <v>1039</v>
      </c>
      <c r="C157" s="92" t="s">
        <v>20</v>
      </c>
      <c r="D157" s="12">
        <v>2270</v>
      </c>
      <c r="E157" s="11" t="s">
        <v>1040</v>
      </c>
      <c r="F157" s="9" t="s">
        <v>1041</v>
      </c>
      <c r="G157" s="9"/>
    </row>
    <row r="158" spans="1:7" x14ac:dyDescent="0.2">
      <c r="A158" s="9" t="s">
        <v>137</v>
      </c>
      <c r="B158" s="9" t="s">
        <v>1039</v>
      </c>
      <c r="C158" s="92" t="s">
        <v>20</v>
      </c>
      <c r="D158" s="12">
        <f>(1300+3050)/2</f>
        <v>2175</v>
      </c>
      <c r="E158" s="11" t="s">
        <v>1040</v>
      </c>
      <c r="F158" s="9" t="s">
        <v>1156</v>
      </c>
      <c r="G158" s="9"/>
    </row>
    <row r="159" spans="1:7" x14ac:dyDescent="0.2">
      <c r="A159" s="9" t="s">
        <v>137</v>
      </c>
      <c r="B159" s="9" t="s">
        <v>1039</v>
      </c>
      <c r="C159" s="92" t="s">
        <v>20</v>
      </c>
      <c r="D159" s="18">
        <f>1000*(33.9*0.1/100)</f>
        <v>33.9</v>
      </c>
      <c r="E159" s="11" t="s">
        <v>1040</v>
      </c>
      <c r="F159" s="9" t="s">
        <v>1043</v>
      </c>
      <c r="G159" s="9"/>
    </row>
    <row r="160" spans="1:7" x14ac:dyDescent="0.2">
      <c r="A160" s="9" t="s">
        <v>137</v>
      </c>
      <c r="B160" s="9" t="s">
        <v>1044</v>
      </c>
      <c r="C160" s="92" t="s">
        <v>20</v>
      </c>
      <c r="D160" s="18">
        <v>333</v>
      </c>
      <c r="E160" s="11" t="s">
        <v>1040</v>
      </c>
      <c r="F160" s="9" t="s">
        <v>1045</v>
      </c>
      <c r="G160" s="9"/>
    </row>
    <row r="161" spans="1:7" x14ac:dyDescent="0.2">
      <c r="A161" s="9" t="s">
        <v>1046</v>
      </c>
      <c r="B161" s="11" t="s">
        <v>1047</v>
      </c>
      <c r="C161" s="92" t="s">
        <v>20</v>
      </c>
      <c r="D161" s="12">
        <v>1150</v>
      </c>
      <c r="E161" s="11" t="s">
        <v>1040</v>
      </c>
      <c r="F161" s="9" t="s">
        <v>1127</v>
      </c>
      <c r="G161" s="9"/>
    </row>
    <row r="162" spans="1:7" x14ac:dyDescent="0.2">
      <c r="A162" s="9" t="s">
        <v>1046</v>
      </c>
      <c r="B162" s="9" t="s">
        <v>1051</v>
      </c>
      <c r="C162" s="92" t="s">
        <v>20</v>
      </c>
      <c r="D162" s="13">
        <v>1100</v>
      </c>
      <c r="E162" s="11" t="s">
        <v>1040</v>
      </c>
      <c r="F162" s="9" t="s">
        <v>1127</v>
      </c>
      <c r="G162" s="9"/>
    </row>
    <row r="163" spans="1:7" x14ac:dyDescent="0.2">
      <c r="A163" s="9" t="s">
        <v>1046</v>
      </c>
      <c r="B163" s="11" t="s">
        <v>1047</v>
      </c>
      <c r="C163" s="92" t="s">
        <v>20</v>
      </c>
      <c r="D163" s="12">
        <v>890</v>
      </c>
      <c r="E163" s="11" t="s">
        <v>1040</v>
      </c>
      <c r="F163" s="9" t="s">
        <v>1156</v>
      </c>
      <c r="G163" s="9"/>
    </row>
    <row r="164" spans="1:7" x14ac:dyDescent="0.2">
      <c r="A164" s="9" t="s">
        <v>1046</v>
      </c>
      <c r="B164" s="9" t="s">
        <v>1049</v>
      </c>
      <c r="C164" s="92" t="s">
        <v>20</v>
      </c>
      <c r="D164" s="13">
        <v>1110</v>
      </c>
      <c r="E164" s="11" t="s">
        <v>1040</v>
      </c>
      <c r="F164" s="9" t="s">
        <v>1156</v>
      </c>
      <c r="G164" s="9"/>
    </row>
    <row r="165" spans="1:7" x14ac:dyDescent="0.2">
      <c r="A165" s="9" t="s">
        <v>1046</v>
      </c>
      <c r="B165" s="9" t="s">
        <v>1051</v>
      </c>
      <c r="C165" s="92" t="s">
        <v>20</v>
      </c>
      <c r="D165" s="13">
        <v>1110</v>
      </c>
      <c r="E165" s="11" t="s">
        <v>1040</v>
      </c>
      <c r="F165" s="9" t="s">
        <v>1156</v>
      </c>
      <c r="G165" s="9"/>
    </row>
    <row r="166" spans="1:7" x14ac:dyDescent="0.2">
      <c r="A166" s="9" t="s">
        <v>1046</v>
      </c>
      <c r="B166" s="9" t="s">
        <v>1053</v>
      </c>
      <c r="C166" s="92" t="s">
        <v>20</v>
      </c>
      <c r="D166" s="13">
        <v>1100</v>
      </c>
      <c r="E166" s="11" t="s">
        <v>1040</v>
      </c>
      <c r="F166" s="9" t="s">
        <v>1156</v>
      </c>
      <c r="G166" s="9"/>
    </row>
    <row r="167" spans="1:7" x14ac:dyDescent="0.2">
      <c r="A167" s="9" t="s">
        <v>1046</v>
      </c>
      <c r="B167" s="11" t="s">
        <v>1047</v>
      </c>
      <c r="C167" s="92" t="s">
        <v>20</v>
      </c>
      <c r="D167" s="12">
        <v>1510.5</v>
      </c>
      <c r="E167" s="11" t="s">
        <v>1040</v>
      </c>
      <c r="F167" s="9" t="s">
        <v>1048</v>
      </c>
      <c r="G167" s="9"/>
    </row>
    <row r="168" spans="1:7" x14ac:dyDescent="0.2">
      <c r="A168" s="9" t="s">
        <v>1046</v>
      </c>
      <c r="B168" s="9" t="s">
        <v>1049</v>
      </c>
      <c r="C168" s="92" t="s">
        <v>20</v>
      </c>
      <c r="D168" s="12">
        <v>922.19999999999982</v>
      </c>
      <c r="E168" s="11" t="s">
        <v>1040</v>
      </c>
      <c r="F168" s="9" t="s">
        <v>1048</v>
      </c>
      <c r="G168" s="9"/>
    </row>
    <row r="169" spans="1:7" x14ac:dyDescent="0.2">
      <c r="A169" s="9" t="s">
        <v>1046</v>
      </c>
      <c r="B169" s="11" t="s">
        <v>1039</v>
      </c>
      <c r="C169" s="92" t="s">
        <v>20</v>
      </c>
      <c r="D169" s="20">
        <v>90</v>
      </c>
      <c r="E169" s="11" t="s">
        <v>1040</v>
      </c>
      <c r="F169" s="9" t="s">
        <v>168</v>
      </c>
      <c r="G169" s="9" t="s">
        <v>1050</v>
      </c>
    </row>
    <row r="170" spans="1:7" x14ac:dyDescent="0.2">
      <c r="A170" s="9" t="s">
        <v>1046</v>
      </c>
      <c r="B170" s="9" t="s">
        <v>1051</v>
      </c>
      <c r="C170" s="92" t="s">
        <v>20</v>
      </c>
      <c r="D170" s="13">
        <v>684</v>
      </c>
      <c r="E170" s="11" t="s">
        <v>1040</v>
      </c>
      <c r="F170" s="9" t="s">
        <v>1052</v>
      </c>
      <c r="G170" s="9"/>
    </row>
    <row r="171" spans="1:7" x14ac:dyDescent="0.2">
      <c r="A171" s="9" t="s">
        <v>1046</v>
      </c>
      <c r="B171" s="9" t="s">
        <v>1053</v>
      </c>
      <c r="C171" s="92" t="s">
        <v>20</v>
      </c>
      <c r="D171" s="13">
        <v>1513</v>
      </c>
      <c r="E171" s="11" t="s">
        <v>1040</v>
      </c>
      <c r="F171" s="9" t="s">
        <v>1052</v>
      </c>
      <c r="G171" s="9"/>
    </row>
    <row r="172" spans="1:7" x14ac:dyDescent="0.2">
      <c r="A172" s="9" t="s">
        <v>138</v>
      </c>
      <c r="B172" s="9" t="s">
        <v>1039</v>
      </c>
      <c r="C172" s="92" t="s">
        <v>20</v>
      </c>
      <c r="D172" s="12">
        <v>2335</v>
      </c>
      <c r="E172" s="11" t="s">
        <v>1040</v>
      </c>
      <c r="F172" s="9" t="s">
        <v>1041</v>
      </c>
      <c r="G172" s="9"/>
    </row>
    <row r="173" spans="1:7" x14ac:dyDescent="0.2">
      <c r="A173" s="9" t="s">
        <v>138</v>
      </c>
      <c r="B173" s="9" t="s">
        <v>1039</v>
      </c>
      <c r="C173" s="92" t="s">
        <v>20</v>
      </c>
      <c r="D173" s="17">
        <v>597</v>
      </c>
      <c r="E173" s="11" t="s">
        <v>1040</v>
      </c>
      <c r="F173" s="9" t="s">
        <v>1054</v>
      </c>
      <c r="G173" s="9"/>
    </row>
    <row r="174" spans="1:7" x14ac:dyDescent="0.2">
      <c r="A174" s="9" t="s">
        <v>138</v>
      </c>
      <c r="B174" s="9" t="s">
        <v>1039</v>
      </c>
      <c r="C174" s="92" t="s">
        <v>20</v>
      </c>
      <c r="D174" s="13">
        <v>2175</v>
      </c>
      <c r="E174" s="11" t="s">
        <v>1040</v>
      </c>
      <c r="F174" s="9" t="s">
        <v>1156</v>
      </c>
      <c r="G174" s="9"/>
    </row>
    <row r="175" spans="1:7" x14ac:dyDescent="0.2">
      <c r="A175" s="9" t="s">
        <v>138</v>
      </c>
      <c r="B175" s="9" t="s">
        <v>1039</v>
      </c>
      <c r="C175" s="92" t="s">
        <v>20</v>
      </c>
      <c r="D175" s="12">
        <v>3605</v>
      </c>
      <c r="E175" s="11" t="s">
        <v>1040</v>
      </c>
      <c r="F175" s="9" t="s">
        <v>1062</v>
      </c>
      <c r="G175" s="9"/>
    </row>
    <row r="176" spans="1:7" x14ac:dyDescent="0.2">
      <c r="A176" s="9" t="s">
        <v>138</v>
      </c>
      <c r="B176" s="9" t="s">
        <v>1039</v>
      </c>
      <c r="C176" s="92" t="s">
        <v>20</v>
      </c>
      <c r="D176" s="12">
        <v>6520</v>
      </c>
      <c r="E176" s="11" t="s">
        <v>1040</v>
      </c>
      <c r="F176" s="9" t="s">
        <v>1052</v>
      </c>
      <c r="G176" s="9"/>
    </row>
    <row r="177" spans="1:7" x14ac:dyDescent="0.2">
      <c r="A177" s="9" t="s">
        <v>1055</v>
      </c>
      <c r="B177" s="11" t="s">
        <v>1039</v>
      </c>
      <c r="C177" s="92" t="s">
        <v>20</v>
      </c>
      <c r="D177" s="82">
        <v>1050</v>
      </c>
      <c r="E177" s="11" t="s">
        <v>1040</v>
      </c>
      <c r="F177" s="9" t="s">
        <v>1041</v>
      </c>
      <c r="G177" s="9"/>
    </row>
    <row r="178" spans="1:7" x14ac:dyDescent="0.2">
      <c r="A178" s="9" t="s">
        <v>1055</v>
      </c>
      <c r="B178" s="9" t="s">
        <v>1157</v>
      </c>
      <c r="C178" s="92" t="s">
        <v>20</v>
      </c>
      <c r="D178" s="82">
        <v>1713</v>
      </c>
      <c r="E178" s="11" t="s">
        <v>1040</v>
      </c>
      <c r="F178" s="9" t="s">
        <v>1121</v>
      </c>
      <c r="G178" s="9"/>
    </row>
    <row r="179" spans="1:7" x14ac:dyDescent="0.2">
      <c r="A179" s="9" t="s">
        <v>1055</v>
      </c>
      <c r="B179" s="11" t="s">
        <v>1039</v>
      </c>
      <c r="C179" s="92" t="s">
        <v>20</v>
      </c>
      <c r="D179" s="83">
        <v>3160</v>
      </c>
      <c r="E179" s="11" t="s">
        <v>1040</v>
      </c>
      <c r="F179" s="9" t="s">
        <v>1156</v>
      </c>
      <c r="G179" s="9"/>
    </row>
    <row r="180" spans="1:7" x14ac:dyDescent="0.2">
      <c r="A180" s="9" t="s">
        <v>1055</v>
      </c>
      <c r="B180" s="11" t="s">
        <v>1039</v>
      </c>
      <c r="C180" s="92" t="s">
        <v>20</v>
      </c>
      <c r="D180" s="82">
        <v>6735</v>
      </c>
      <c r="E180" s="11" t="s">
        <v>1040</v>
      </c>
      <c r="F180" s="9" t="s">
        <v>1052</v>
      </c>
      <c r="G180" s="9"/>
    </row>
    <row r="181" spans="1:7" x14ac:dyDescent="0.2">
      <c r="A181" s="9" t="s">
        <v>1056</v>
      </c>
      <c r="B181" s="11" t="s">
        <v>1158</v>
      </c>
      <c r="C181" s="92" t="s">
        <v>20</v>
      </c>
      <c r="D181" s="12">
        <v>37.200000000000003</v>
      </c>
      <c r="E181" s="11" t="s">
        <v>1040</v>
      </c>
      <c r="F181" s="9" t="s">
        <v>1121</v>
      </c>
      <c r="G181" s="9"/>
    </row>
    <row r="182" spans="1:7" x14ac:dyDescent="0.2">
      <c r="A182" s="9" t="s">
        <v>1056</v>
      </c>
      <c r="B182" s="9" t="s">
        <v>1159</v>
      </c>
      <c r="C182" s="92" t="s">
        <v>20</v>
      </c>
      <c r="D182" s="12">
        <v>24.8</v>
      </c>
      <c r="E182" s="11" t="s">
        <v>1040</v>
      </c>
      <c r="F182" s="9" t="s">
        <v>1121</v>
      </c>
      <c r="G182" s="9"/>
    </row>
    <row r="183" spans="1:7" x14ac:dyDescent="0.2">
      <c r="A183" s="9" t="s">
        <v>1056</v>
      </c>
      <c r="B183" s="9" t="s">
        <v>1060</v>
      </c>
      <c r="C183" s="92" t="s">
        <v>20</v>
      </c>
      <c r="D183" s="12">
        <v>59.6</v>
      </c>
      <c r="E183" s="11" t="s">
        <v>1040</v>
      </c>
      <c r="F183" s="9" t="s">
        <v>1121</v>
      </c>
      <c r="G183" s="9"/>
    </row>
    <row r="184" spans="1:7" x14ac:dyDescent="0.2">
      <c r="A184" s="9" t="s">
        <v>1056</v>
      </c>
      <c r="B184" s="9" t="s">
        <v>1057</v>
      </c>
      <c r="C184" s="92" t="s">
        <v>20</v>
      </c>
      <c r="D184" s="12">
        <v>1345</v>
      </c>
      <c r="E184" s="11" t="s">
        <v>1040</v>
      </c>
      <c r="F184" s="9" t="s">
        <v>1160</v>
      </c>
      <c r="G184" s="9"/>
    </row>
    <row r="185" spans="1:7" x14ac:dyDescent="0.2">
      <c r="A185" s="9" t="s">
        <v>1056</v>
      </c>
      <c r="B185" s="9" t="s">
        <v>1057</v>
      </c>
      <c r="C185" s="92" t="s">
        <v>20</v>
      </c>
      <c r="D185" s="12">
        <v>1473.4</v>
      </c>
      <c r="E185" s="11" t="s">
        <v>1040</v>
      </c>
      <c r="F185" s="9" t="s">
        <v>1127</v>
      </c>
      <c r="G185" s="9"/>
    </row>
    <row r="186" spans="1:7" x14ac:dyDescent="0.2">
      <c r="A186" s="9" t="s">
        <v>1056</v>
      </c>
      <c r="B186" s="9" t="s">
        <v>1057</v>
      </c>
      <c r="C186" s="92" t="s">
        <v>20</v>
      </c>
      <c r="D186" s="18">
        <v>60</v>
      </c>
      <c r="E186" s="11" t="s">
        <v>1040</v>
      </c>
      <c r="F186" s="9" t="s">
        <v>1128</v>
      </c>
      <c r="G186" s="9"/>
    </row>
    <row r="187" spans="1:7" x14ac:dyDescent="0.2">
      <c r="A187" s="9" t="s">
        <v>1056</v>
      </c>
      <c r="B187" s="11" t="s">
        <v>1059</v>
      </c>
      <c r="C187" s="92" t="s">
        <v>20</v>
      </c>
      <c r="D187" s="12">
        <v>1523</v>
      </c>
      <c r="E187" s="11" t="s">
        <v>1040</v>
      </c>
      <c r="F187" s="9" t="s">
        <v>1052</v>
      </c>
      <c r="G187" s="9"/>
    </row>
    <row r="188" spans="1:7" x14ac:dyDescent="0.2">
      <c r="A188" s="9" t="s">
        <v>1056</v>
      </c>
      <c r="B188" s="11" t="s">
        <v>1060</v>
      </c>
      <c r="C188" s="92" t="s">
        <v>20</v>
      </c>
      <c r="D188" s="12">
        <v>1489</v>
      </c>
      <c r="E188" s="11" t="s">
        <v>1040</v>
      </c>
      <c r="F188" s="9" t="s">
        <v>1052</v>
      </c>
      <c r="G188" s="9"/>
    </row>
    <row r="189" spans="1:7" x14ac:dyDescent="0.2">
      <c r="A189" s="9" t="s">
        <v>1061</v>
      </c>
      <c r="B189" s="9" t="s">
        <v>1065</v>
      </c>
      <c r="C189" s="92" t="s">
        <v>20</v>
      </c>
      <c r="D189" s="19">
        <v>3200</v>
      </c>
      <c r="E189" s="11" t="s">
        <v>1040</v>
      </c>
      <c r="F189" s="9" t="s">
        <v>1129</v>
      </c>
      <c r="G189" s="9"/>
    </row>
    <row r="190" spans="1:7" x14ac:dyDescent="0.2">
      <c r="A190" s="9" t="s">
        <v>1061</v>
      </c>
      <c r="B190" s="9" t="s">
        <v>1063</v>
      </c>
      <c r="C190" s="92" t="s">
        <v>20</v>
      </c>
      <c r="D190" s="13">
        <v>1400</v>
      </c>
      <c r="E190" s="11" t="s">
        <v>1040</v>
      </c>
      <c r="F190" s="9" t="s">
        <v>1129</v>
      </c>
      <c r="G190" s="9"/>
    </row>
    <row r="191" spans="1:7" x14ac:dyDescent="0.2">
      <c r="A191" s="9" t="s">
        <v>1061</v>
      </c>
      <c r="B191" s="9" t="s">
        <v>1039</v>
      </c>
      <c r="C191" s="92" t="s">
        <v>20</v>
      </c>
      <c r="D191" s="13">
        <v>3000</v>
      </c>
      <c r="E191" s="11" t="s">
        <v>1040</v>
      </c>
      <c r="F191" s="9" t="s">
        <v>1062</v>
      </c>
      <c r="G191" s="9"/>
    </row>
    <row r="192" spans="1:7" x14ac:dyDescent="0.2">
      <c r="A192" s="9" t="s">
        <v>1061</v>
      </c>
      <c r="B192" s="9" t="s">
        <v>1065</v>
      </c>
      <c r="C192" s="92" t="s">
        <v>20</v>
      </c>
      <c r="D192" s="13">
        <v>3200</v>
      </c>
      <c r="E192" s="11" t="s">
        <v>1040</v>
      </c>
      <c r="F192" s="9" t="s">
        <v>1064</v>
      </c>
      <c r="G192" s="9"/>
    </row>
    <row r="193" spans="1:7" x14ac:dyDescent="0.2">
      <c r="A193" s="9" t="s">
        <v>1061</v>
      </c>
      <c r="B193" s="9" t="s">
        <v>1063</v>
      </c>
      <c r="C193" s="92" t="s">
        <v>20</v>
      </c>
      <c r="D193" s="13">
        <v>1400</v>
      </c>
      <c r="E193" s="11" t="s">
        <v>1040</v>
      </c>
      <c r="F193" s="9" t="s">
        <v>1064</v>
      </c>
      <c r="G193" s="9"/>
    </row>
    <row r="194" spans="1:7" x14ac:dyDescent="0.2">
      <c r="A194" s="9" t="s">
        <v>1061</v>
      </c>
      <c r="B194" s="9" t="s">
        <v>1065</v>
      </c>
      <c r="C194" s="92" t="s">
        <v>20</v>
      </c>
      <c r="D194" s="13">
        <v>3175</v>
      </c>
      <c r="E194" s="11" t="s">
        <v>1040</v>
      </c>
      <c r="F194" s="9" t="s">
        <v>168</v>
      </c>
      <c r="G194" s="9"/>
    </row>
    <row r="195" spans="1:7" x14ac:dyDescent="0.2">
      <c r="A195" s="9" t="s">
        <v>1061</v>
      </c>
      <c r="B195" s="9" t="s">
        <v>1063</v>
      </c>
      <c r="C195" s="92" t="s">
        <v>20</v>
      </c>
      <c r="D195" s="13">
        <v>1400</v>
      </c>
      <c r="E195" s="11" t="s">
        <v>1040</v>
      </c>
      <c r="F195" s="9" t="s">
        <v>168</v>
      </c>
      <c r="G195" s="9"/>
    </row>
    <row r="196" spans="1:7" x14ac:dyDescent="0.2">
      <c r="A196" s="9" t="s">
        <v>1066</v>
      </c>
      <c r="B196" s="11" t="s">
        <v>1039</v>
      </c>
      <c r="C196" s="92" t="s">
        <v>20</v>
      </c>
      <c r="D196" s="20">
        <v>22</v>
      </c>
      <c r="E196" s="11" t="s">
        <v>1040</v>
      </c>
      <c r="F196" s="9" t="s">
        <v>1121</v>
      </c>
      <c r="G196" s="9"/>
    </row>
    <row r="197" spans="1:7" x14ac:dyDescent="0.2">
      <c r="A197" s="9" t="s">
        <v>1066</v>
      </c>
      <c r="B197" s="9" t="s">
        <v>1039</v>
      </c>
      <c r="C197" s="92" t="s">
        <v>20</v>
      </c>
      <c r="D197" s="141">
        <v>3707</v>
      </c>
      <c r="E197" s="11" t="s">
        <v>1040</v>
      </c>
      <c r="F197" s="9" t="s">
        <v>1067</v>
      </c>
      <c r="G197" s="9"/>
    </row>
    <row r="198" spans="1:7" x14ac:dyDescent="0.2">
      <c r="A198" s="9" t="s">
        <v>1066</v>
      </c>
      <c r="B198" s="9" t="s">
        <v>1039</v>
      </c>
      <c r="C198" s="92" t="s">
        <v>20</v>
      </c>
      <c r="D198" s="141">
        <f>5.8*80000/100</f>
        <v>4640</v>
      </c>
      <c r="E198" s="11" t="s">
        <v>1040</v>
      </c>
      <c r="F198" s="9" t="s">
        <v>1048</v>
      </c>
      <c r="G198" s="9"/>
    </row>
    <row r="199" spans="1:7" x14ac:dyDescent="0.2">
      <c r="A199" s="9" t="s">
        <v>1066</v>
      </c>
      <c r="B199" s="9" t="s">
        <v>1161</v>
      </c>
      <c r="C199" s="92" t="s">
        <v>20</v>
      </c>
      <c r="D199" s="151">
        <v>1005</v>
      </c>
      <c r="E199" s="11" t="s">
        <v>1040</v>
      </c>
      <c r="F199" s="9" t="s">
        <v>1129</v>
      </c>
      <c r="G199" s="9"/>
    </row>
    <row r="200" spans="1:7" x14ac:dyDescent="0.2">
      <c r="A200" s="9" t="s">
        <v>1066</v>
      </c>
      <c r="B200" s="9" t="s">
        <v>1122</v>
      </c>
      <c r="C200" s="92" t="s">
        <v>20</v>
      </c>
      <c r="D200" s="141">
        <v>5181</v>
      </c>
      <c r="E200" s="11" t="s">
        <v>1040</v>
      </c>
      <c r="F200" s="9" t="s">
        <v>1129</v>
      </c>
      <c r="G200" s="9"/>
    </row>
    <row r="201" spans="1:7" x14ac:dyDescent="0.2">
      <c r="A201" s="9" t="s">
        <v>1066</v>
      </c>
      <c r="B201" s="9" t="s">
        <v>1122</v>
      </c>
      <c r="C201" s="92" t="s">
        <v>20</v>
      </c>
      <c r="D201" s="141">
        <v>3091</v>
      </c>
      <c r="E201" s="11" t="s">
        <v>1040</v>
      </c>
      <c r="F201" s="9" t="s">
        <v>168</v>
      </c>
      <c r="G201" s="9" t="s">
        <v>1111</v>
      </c>
    </row>
    <row r="202" spans="1:7" x14ac:dyDescent="0.2">
      <c r="A202" s="9" t="s">
        <v>1066</v>
      </c>
      <c r="B202" s="11" t="s">
        <v>1155</v>
      </c>
      <c r="C202" s="92" t="s">
        <v>20</v>
      </c>
      <c r="D202" s="147">
        <v>22</v>
      </c>
      <c r="E202" s="11" t="s">
        <v>1040</v>
      </c>
      <c r="F202" s="9" t="s">
        <v>1098</v>
      </c>
      <c r="G202" s="9"/>
    </row>
    <row r="203" spans="1:7" x14ac:dyDescent="0.2">
      <c r="A203" s="9" t="s">
        <v>1066</v>
      </c>
      <c r="B203" s="11" t="s">
        <v>1155</v>
      </c>
      <c r="C203" s="92" t="s">
        <v>20</v>
      </c>
      <c r="D203" s="147">
        <v>450</v>
      </c>
      <c r="E203" s="11" t="s">
        <v>1040</v>
      </c>
      <c r="F203" s="9" t="s">
        <v>1129</v>
      </c>
      <c r="G203" s="9"/>
    </row>
    <row r="204" spans="1:7" x14ac:dyDescent="0.2">
      <c r="A204" s="9" t="s">
        <v>1066</v>
      </c>
      <c r="B204" s="11" t="s">
        <v>1155</v>
      </c>
      <c r="C204" s="92" t="s">
        <v>20</v>
      </c>
      <c r="D204" s="141">
        <v>233</v>
      </c>
      <c r="E204" s="11" t="s">
        <v>1040</v>
      </c>
      <c r="F204" s="9" t="s">
        <v>168</v>
      </c>
      <c r="G204" s="9" t="s">
        <v>1111</v>
      </c>
    </row>
    <row r="205" spans="1:7" x14ac:dyDescent="0.2">
      <c r="A205" s="9" t="s">
        <v>1066</v>
      </c>
      <c r="B205" s="9" t="s">
        <v>1068</v>
      </c>
      <c r="C205" s="92" t="s">
        <v>20</v>
      </c>
      <c r="D205" s="141" t="s">
        <v>1162</v>
      </c>
      <c r="E205" s="11" t="s">
        <v>1040</v>
      </c>
      <c r="F205" s="9" t="s">
        <v>1069</v>
      </c>
      <c r="G205" s="9"/>
    </row>
    <row r="206" spans="1:7" x14ac:dyDescent="0.2">
      <c r="A206" s="9" t="s">
        <v>1066</v>
      </c>
      <c r="B206" s="9" t="s">
        <v>1068</v>
      </c>
      <c r="C206" s="92" t="s">
        <v>20</v>
      </c>
      <c r="D206" s="152">
        <v>884</v>
      </c>
      <c r="E206" s="11" t="s">
        <v>1040</v>
      </c>
      <c r="F206" s="9" t="s">
        <v>1129</v>
      </c>
      <c r="G206" s="9"/>
    </row>
    <row r="207" spans="1:7" x14ac:dyDescent="0.2">
      <c r="A207" s="9" t="s">
        <v>1066</v>
      </c>
      <c r="B207" s="9" t="s">
        <v>1068</v>
      </c>
      <c r="C207" s="92" t="s">
        <v>20</v>
      </c>
      <c r="D207" s="141">
        <v>458</v>
      </c>
      <c r="E207" s="11" t="s">
        <v>1040</v>
      </c>
      <c r="F207" s="9" t="s">
        <v>168</v>
      </c>
      <c r="G207" s="9" t="s">
        <v>1111</v>
      </c>
    </row>
    <row r="208" spans="1:7" ht="64" customHeight="1" x14ac:dyDescent="0.2">
      <c r="A208" s="9" t="s">
        <v>1066</v>
      </c>
      <c r="B208" s="9" t="s">
        <v>1068</v>
      </c>
      <c r="C208" s="92" t="s">
        <v>20</v>
      </c>
      <c r="D208" s="141">
        <v>5952.19</v>
      </c>
      <c r="E208" s="11" t="s">
        <v>1040</v>
      </c>
      <c r="F208" s="6" t="s">
        <v>1070</v>
      </c>
      <c r="G208" s="9"/>
    </row>
    <row r="209" spans="1:7" x14ac:dyDescent="0.2">
      <c r="A209" s="9" t="s">
        <v>1066</v>
      </c>
      <c r="B209" s="9" t="s">
        <v>1077</v>
      </c>
      <c r="C209" s="92" t="s">
        <v>20</v>
      </c>
      <c r="D209" s="141">
        <v>3765</v>
      </c>
      <c r="E209" s="11" t="s">
        <v>1040</v>
      </c>
      <c r="F209" s="9" t="s">
        <v>168</v>
      </c>
      <c r="G209" s="9" t="s">
        <v>1130</v>
      </c>
    </row>
    <row r="210" spans="1:7" x14ac:dyDescent="0.2">
      <c r="A210" s="9" t="s">
        <v>1078</v>
      </c>
      <c r="B210" s="9" t="s">
        <v>1079</v>
      </c>
      <c r="C210" s="92" t="s">
        <v>20</v>
      </c>
      <c r="D210" s="19">
        <v>0</v>
      </c>
      <c r="E210" s="9" t="s">
        <v>194</v>
      </c>
      <c r="F210" s="138" t="s">
        <v>1080</v>
      </c>
      <c r="G210" s="9" t="s">
        <v>1081</v>
      </c>
    </row>
    <row r="211" spans="1:7" x14ac:dyDescent="0.2">
      <c r="A211" s="9" t="s">
        <v>1078</v>
      </c>
      <c r="B211" s="9" t="s">
        <v>1079</v>
      </c>
      <c r="C211" s="92" t="s">
        <v>20</v>
      </c>
      <c r="D211" s="19">
        <v>493.22483445920028</v>
      </c>
      <c r="E211" s="9" t="s">
        <v>194</v>
      </c>
      <c r="F211" s="9" t="s">
        <v>195</v>
      </c>
      <c r="G211" s="9" t="s">
        <v>1131</v>
      </c>
    </row>
    <row r="212" spans="1:7" x14ac:dyDescent="0.2">
      <c r="A212" s="9" t="s">
        <v>1078</v>
      </c>
      <c r="B212" s="9" t="s">
        <v>1133</v>
      </c>
      <c r="C212" s="92" t="s">
        <v>20</v>
      </c>
      <c r="D212" s="15">
        <v>484.41738132276009</v>
      </c>
      <c r="E212" s="9" t="s">
        <v>194</v>
      </c>
      <c r="F212" s="9" t="s">
        <v>195</v>
      </c>
      <c r="G212" s="9" t="s">
        <v>1134</v>
      </c>
    </row>
    <row r="213" spans="1:7" x14ac:dyDescent="0.2">
      <c r="A213" s="9" t="s">
        <v>1078</v>
      </c>
      <c r="B213" s="9" t="s">
        <v>1135</v>
      </c>
      <c r="C213" s="92" t="s">
        <v>20</v>
      </c>
      <c r="D213" s="15">
        <v>440.37930928179981</v>
      </c>
      <c r="E213" s="9" t="s">
        <v>194</v>
      </c>
      <c r="F213" s="9" t="s">
        <v>195</v>
      </c>
      <c r="G213" s="9" t="s">
        <v>1136</v>
      </c>
    </row>
    <row r="214" spans="1:7" x14ac:dyDescent="0.2">
      <c r="A214" s="9" t="s">
        <v>1078</v>
      </c>
      <c r="B214" s="9" t="s">
        <v>192</v>
      </c>
      <c r="C214" s="92" t="s">
        <v>20</v>
      </c>
      <c r="D214" s="19">
        <v>0</v>
      </c>
      <c r="E214" s="9" t="s">
        <v>194</v>
      </c>
      <c r="F214" s="9" t="s">
        <v>195</v>
      </c>
      <c r="G214" s="9"/>
    </row>
    <row r="215" spans="1:7" x14ac:dyDescent="0.2">
      <c r="A215" s="9" t="s">
        <v>1078</v>
      </c>
      <c r="B215" s="9" t="s">
        <v>1082</v>
      </c>
      <c r="C215" s="92" t="s">
        <v>20</v>
      </c>
      <c r="D215" s="19">
        <v>200</v>
      </c>
      <c r="E215" s="9" t="s">
        <v>194</v>
      </c>
      <c r="F215" s="138" t="s">
        <v>1080</v>
      </c>
      <c r="G215" s="9" t="s">
        <v>1083</v>
      </c>
    </row>
    <row r="216" spans="1:7" x14ac:dyDescent="0.2">
      <c r="A216" s="9" t="s">
        <v>1078</v>
      </c>
      <c r="B216" s="9" t="s">
        <v>1084</v>
      </c>
      <c r="C216" s="92" t="s">
        <v>20</v>
      </c>
      <c r="D216" s="19">
        <v>705.76818490531809</v>
      </c>
      <c r="E216" s="9" t="s">
        <v>194</v>
      </c>
      <c r="F216" s="138" t="s">
        <v>1080</v>
      </c>
      <c r="G216" s="9" t="s">
        <v>1163</v>
      </c>
    </row>
    <row r="217" spans="1:7" x14ac:dyDescent="0.2">
      <c r="A217" s="9" t="s">
        <v>1078</v>
      </c>
      <c r="B217" s="9" t="s">
        <v>1084</v>
      </c>
      <c r="C217" s="92" t="s">
        <v>20</v>
      </c>
      <c r="D217" s="80">
        <v>264.22762588702</v>
      </c>
      <c r="E217" s="9" t="s">
        <v>194</v>
      </c>
      <c r="F217" s="9" t="s">
        <v>195</v>
      </c>
      <c r="G217" s="9" t="s">
        <v>1137</v>
      </c>
    </row>
    <row r="218" spans="1:7" x14ac:dyDescent="0.2">
      <c r="A218" s="9" t="s">
        <v>1078</v>
      </c>
      <c r="B218" s="9" t="s">
        <v>1139</v>
      </c>
      <c r="C218" s="92" t="s">
        <v>20</v>
      </c>
      <c r="D218" s="15">
        <v>264.22762588702</v>
      </c>
      <c r="E218" s="9" t="s">
        <v>194</v>
      </c>
      <c r="F218" s="9" t="s">
        <v>195</v>
      </c>
      <c r="G218" s="9" t="s">
        <v>1140</v>
      </c>
    </row>
    <row r="219" spans="1:7" x14ac:dyDescent="0.2">
      <c r="A219" s="9" t="s">
        <v>1078</v>
      </c>
      <c r="B219" s="9" t="s">
        <v>1141</v>
      </c>
      <c r="C219" s="92" t="s">
        <v>20</v>
      </c>
      <c r="D219" s="15">
        <v>264.22762588702</v>
      </c>
      <c r="E219" s="9" t="s">
        <v>194</v>
      </c>
      <c r="F219" s="9" t="s">
        <v>195</v>
      </c>
      <c r="G219" s="9" t="s">
        <v>1142</v>
      </c>
    </row>
    <row r="220" spans="1:7" x14ac:dyDescent="0.2">
      <c r="A220" s="9" t="s">
        <v>1078</v>
      </c>
      <c r="B220" s="9" t="s">
        <v>1143</v>
      </c>
      <c r="C220" s="92" t="s">
        <v>20</v>
      </c>
      <c r="D220" s="156">
        <v>317.07315106442002</v>
      </c>
      <c r="E220" s="9" t="s">
        <v>194</v>
      </c>
      <c r="F220" s="9" t="s">
        <v>195</v>
      </c>
      <c r="G220" s="9" t="s">
        <v>1144</v>
      </c>
    </row>
    <row r="221" spans="1:7" x14ac:dyDescent="0.2">
      <c r="A221" s="9" t="s">
        <v>1078</v>
      </c>
      <c r="B221" s="9" t="s">
        <v>1085</v>
      </c>
      <c r="C221" s="92" t="s">
        <v>20</v>
      </c>
      <c r="D221" s="13">
        <v>629.5271208191258</v>
      </c>
      <c r="E221" s="9" t="s">
        <v>194</v>
      </c>
      <c r="F221" s="138" t="s">
        <v>1080</v>
      </c>
      <c r="G221" s="9" t="s">
        <v>1086</v>
      </c>
    </row>
    <row r="222" spans="1:7" x14ac:dyDescent="0.2">
      <c r="A222" s="9" t="s">
        <v>1078</v>
      </c>
      <c r="B222" s="9" t="s">
        <v>1085</v>
      </c>
      <c r="C222" s="92" t="s">
        <v>20</v>
      </c>
      <c r="D222" s="13">
        <v>317.07315106441979</v>
      </c>
      <c r="E222" s="9" t="s">
        <v>194</v>
      </c>
      <c r="F222" s="9" t="s">
        <v>195</v>
      </c>
      <c r="G222" s="9" t="s">
        <v>1145</v>
      </c>
    </row>
    <row r="223" spans="1:7" x14ac:dyDescent="0.2">
      <c r="A223" s="9" t="s">
        <v>1078</v>
      </c>
      <c r="B223" s="9" t="s">
        <v>1147</v>
      </c>
      <c r="C223" s="92" t="s">
        <v>20</v>
      </c>
      <c r="D223" s="15">
        <v>317.07315106441979</v>
      </c>
      <c r="E223" s="9" t="s">
        <v>194</v>
      </c>
      <c r="F223" s="9" t="s">
        <v>195</v>
      </c>
      <c r="G223" s="9" t="s">
        <v>1148</v>
      </c>
    </row>
    <row r="224" spans="1:7" x14ac:dyDescent="0.2">
      <c r="A224" s="9" t="s">
        <v>1078</v>
      </c>
      <c r="B224" s="9" t="s">
        <v>1087</v>
      </c>
      <c r="C224" s="92" t="s">
        <v>20</v>
      </c>
      <c r="D224" s="19">
        <v>317.07315106441979</v>
      </c>
      <c r="E224" s="9" t="s">
        <v>194</v>
      </c>
      <c r="F224" s="9" t="s">
        <v>195</v>
      </c>
      <c r="G224" s="9" t="s">
        <v>1149</v>
      </c>
    </row>
    <row r="225" spans="1:7" x14ac:dyDescent="0.2">
      <c r="A225" s="9" t="s">
        <v>1078</v>
      </c>
      <c r="B225" s="9" t="s">
        <v>1087</v>
      </c>
      <c r="C225" s="92" t="s">
        <v>20</v>
      </c>
      <c r="D225" s="19">
        <v>627.8745815297226</v>
      </c>
      <c r="E225" s="9" t="s">
        <v>194</v>
      </c>
      <c r="F225" s="138" t="s">
        <v>1080</v>
      </c>
      <c r="G225" s="9" t="s">
        <v>1088</v>
      </c>
    </row>
    <row r="226" spans="1:7" x14ac:dyDescent="0.2">
      <c r="A226" s="9" t="s">
        <v>1078</v>
      </c>
      <c r="B226" s="9" t="s">
        <v>1150</v>
      </c>
      <c r="C226" s="92" t="s">
        <v>20</v>
      </c>
      <c r="D226" s="15">
        <v>317.07315106441979</v>
      </c>
      <c r="E226" s="9" t="s">
        <v>194</v>
      </c>
      <c r="F226" s="9" t="s">
        <v>195</v>
      </c>
      <c r="G226" s="9" t="s">
        <v>1151</v>
      </c>
    </row>
    <row r="227" spans="1:7" x14ac:dyDescent="0.2">
      <c r="A227" s="9" t="s">
        <v>1078</v>
      </c>
      <c r="B227" s="9" t="s">
        <v>1089</v>
      </c>
      <c r="C227" s="92" t="s">
        <v>20</v>
      </c>
      <c r="D227" s="15">
        <v>644.49554301337582</v>
      </c>
      <c r="E227" s="9" t="s">
        <v>194</v>
      </c>
      <c r="F227" s="138" t="s">
        <v>1080</v>
      </c>
      <c r="G227" s="9" t="s">
        <v>1090</v>
      </c>
    </row>
    <row r="228" spans="1:7" x14ac:dyDescent="0.2">
      <c r="A228" s="9" t="s">
        <v>1078</v>
      </c>
      <c r="B228" s="9" t="s">
        <v>1091</v>
      </c>
      <c r="C228" s="92" t="s">
        <v>20</v>
      </c>
      <c r="D228" s="19">
        <v>638.51863664567634</v>
      </c>
      <c r="E228" s="9" t="s">
        <v>194</v>
      </c>
      <c r="F228" s="138" t="s">
        <v>1080</v>
      </c>
      <c r="G228" s="9" t="s">
        <v>1092</v>
      </c>
    </row>
    <row r="229" spans="1:7" x14ac:dyDescent="0.2">
      <c r="A229" s="9" t="s">
        <v>1078</v>
      </c>
      <c r="B229" s="9" t="s">
        <v>1091</v>
      </c>
      <c r="C229" s="92" t="s">
        <v>20</v>
      </c>
      <c r="D229" s="19">
        <v>317.07315106441979</v>
      </c>
      <c r="E229" s="9" t="s">
        <v>194</v>
      </c>
      <c r="F229" s="9" t="s">
        <v>195</v>
      </c>
      <c r="G229" s="9" t="s">
        <v>1152</v>
      </c>
    </row>
    <row r="230" spans="1:7" x14ac:dyDescent="0.2">
      <c r="A230" s="9" t="s">
        <v>1095</v>
      </c>
      <c r="B230" s="9" t="s">
        <v>199</v>
      </c>
      <c r="C230" s="92" t="s">
        <v>20</v>
      </c>
      <c r="D230" s="15">
        <v>33673.5</v>
      </c>
      <c r="E230" s="9" t="s">
        <v>177</v>
      </c>
      <c r="F230" s="9" t="s">
        <v>208</v>
      </c>
      <c r="G230" s="9"/>
    </row>
    <row r="231" spans="1:7" x14ac:dyDescent="0.2">
      <c r="A231" s="9" t="s">
        <v>1095</v>
      </c>
      <c r="B231" s="9" t="s">
        <v>199</v>
      </c>
      <c r="C231" s="92" t="s">
        <v>20</v>
      </c>
      <c r="D231" s="15">
        <v>0.48104999999999998</v>
      </c>
      <c r="E231" s="9" t="s">
        <v>1164</v>
      </c>
      <c r="F231" s="9" t="s">
        <v>208</v>
      </c>
      <c r="G231" s="9" t="s">
        <v>1165</v>
      </c>
    </row>
    <row r="232" spans="1:7" x14ac:dyDescent="0.2">
      <c r="A232" s="9" t="s">
        <v>1095</v>
      </c>
      <c r="B232" s="9" t="s">
        <v>198</v>
      </c>
      <c r="C232" s="92" t="s">
        <v>20</v>
      </c>
      <c r="D232" s="15">
        <v>13884.5</v>
      </c>
      <c r="E232" s="9" t="s">
        <v>177</v>
      </c>
      <c r="F232" s="9" t="s">
        <v>208</v>
      </c>
      <c r="G232" s="9"/>
    </row>
    <row r="233" spans="1:7" x14ac:dyDescent="0.2">
      <c r="A233" s="9" t="s">
        <v>1095</v>
      </c>
      <c r="B233" s="9" t="s">
        <v>198</v>
      </c>
      <c r="C233" s="92" t="s">
        <v>20</v>
      </c>
      <c r="D233" s="15">
        <v>0.19835</v>
      </c>
      <c r="E233" s="9" t="s">
        <v>1164</v>
      </c>
      <c r="F233" s="9" t="s">
        <v>208</v>
      </c>
      <c r="G233" s="9" t="s">
        <v>1165</v>
      </c>
    </row>
    <row r="234" spans="1:7" x14ac:dyDescent="0.2">
      <c r="A234" s="9" t="s">
        <v>1096</v>
      </c>
      <c r="B234" s="9" t="s">
        <v>1039</v>
      </c>
      <c r="C234" s="92" t="s">
        <v>20</v>
      </c>
      <c r="D234" s="180">
        <v>2000</v>
      </c>
      <c r="E234" s="11" t="s">
        <v>1040</v>
      </c>
      <c r="F234" s="9" t="s">
        <v>1126</v>
      </c>
      <c r="G234" s="9"/>
    </row>
    <row r="235" spans="1:7" x14ac:dyDescent="0.2">
      <c r="A235" s="9" t="s">
        <v>1096</v>
      </c>
      <c r="B235" s="9" t="s">
        <v>1097</v>
      </c>
      <c r="C235" s="92" t="s">
        <v>20</v>
      </c>
      <c r="D235" s="180">
        <v>5000</v>
      </c>
      <c r="E235" s="11" t="s">
        <v>1040</v>
      </c>
      <c r="F235" s="9" t="s">
        <v>1098</v>
      </c>
      <c r="G235" s="9" t="s">
        <v>1099</v>
      </c>
    </row>
    <row r="236" spans="1:7" x14ac:dyDescent="0.2">
      <c r="A236" s="9" t="s">
        <v>1096</v>
      </c>
      <c r="B236" s="9" t="s">
        <v>1100</v>
      </c>
      <c r="C236" s="92" t="s">
        <v>20</v>
      </c>
      <c r="D236" s="180">
        <v>3000</v>
      </c>
      <c r="E236" s="11" t="s">
        <v>1040</v>
      </c>
      <c r="F236" s="9" t="s">
        <v>1098</v>
      </c>
      <c r="G236" s="9" t="s">
        <v>1101</v>
      </c>
    </row>
    <row r="237" spans="1:7" x14ac:dyDescent="0.2">
      <c r="A237" s="9" t="s">
        <v>1096</v>
      </c>
      <c r="B237" s="9" t="s">
        <v>1105</v>
      </c>
      <c r="C237" s="92" t="s">
        <v>20</v>
      </c>
      <c r="D237" s="180">
        <v>5794.8846153846152</v>
      </c>
      <c r="E237" s="11" t="s">
        <v>1040</v>
      </c>
      <c r="F237" s="9" t="s">
        <v>1069</v>
      </c>
      <c r="G237" s="9"/>
    </row>
    <row r="238" spans="1:7" x14ac:dyDescent="0.2">
      <c r="A238" s="9" t="s">
        <v>1096</v>
      </c>
      <c r="B238" s="9" t="s">
        <v>1106</v>
      </c>
      <c r="C238" s="92" t="s">
        <v>20</v>
      </c>
      <c r="D238" s="180">
        <v>1400</v>
      </c>
      <c r="E238" s="11" t="s">
        <v>1040</v>
      </c>
      <c r="F238" s="9" t="s">
        <v>1098</v>
      </c>
      <c r="G238" s="9" t="s">
        <v>1107</v>
      </c>
    </row>
    <row r="239" spans="1:7" x14ac:dyDescent="0.2">
      <c r="A239" s="9" t="s">
        <v>1096</v>
      </c>
      <c r="B239" s="9" t="s">
        <v>1108</v>
      </c>
      <c r="C239" s="92" t="s">
        <v>20</v>
      </c>
      <c r="D239" s="180">
        <v>950</v>
      </c>
      <c r="E239" s="11" t="s">
        <v>1040</v>
      </c>
      <c r="F239" s="9" t="s">
        <v>1098</v>
      </c>
      <c r="G239" s="9" t="s">
        <v>1109</v>
      </c>
    </row>
    <row r="240" spans="1:7" x14ac:dyDescent="0.2">
      <c r="A240" s="9" t="s">
        <v>1096</v>
      </c>
      <c r="B240" s="9" t="s">
        <v>1166</v>
      </c>
      <c r="C240" s="92" t="s">
        <v>20</v>
      </c>
      <c r="D240" s="180">
        <v>4082</v>
      </c>
      <c r="E240" s="11" t="s">
        <v>1040</v>
      </c>
      <c r="F240" s="9" t="s">
        <v>1129</v>
      </c>
      <c r="G240" s="9"/>
    </row>
    <row r="241" spans="1:7" x14ac:dyDescent="0.2">
      <c r="A241" s="9" t="s">
        <v>1096</v>
      </c>
      <c r="B241" s="9" t="s">
        <v>1110</v>
      </c>
      <c r="C241" s="92" t="s">
        <v>20</v>
      </c>
      <c r="D241" s="181">
        <v>8000</v>
      </c>
      <c r="E241" s="11" t="s">
        <v>1040</v>
      </c>
      <c r="F241" s="9" t="s">
        <v>1127</v>
      </c>
      <c r="G241" s="9"/>
    </row>
    <row r="242" spans="1:7" x14ac:dyDescent="0.2">
      <c r="A242" s="9" t="s">
        <v>1096</v>
      </c>
      <c r="B242" s="9" t="s">
        <v>1110</v>
      </c>
      <c r="C242" s="92" t="s">
        <v>20</v>
      </c>
      <c r="D242" s="180">
        <v>2681.4</v>
      </c>
      <c r="E242" s="11" t="s">
        <v>1040</v>
      </c>
      <c r="F242" s="9" t="s">
        <v>1048</v>
      </c>
      <c r="G242" s="9"/>
    </row>
    <row r="243" spans="1:7" x14ac:dyDescent="0.2">
      <c r="A243" s="9" t="s">
        <v>1096</v>
      </c>
      <c r="B243" s="9" t="s">
        <v>1110</v>
      </c>
      <c r="C243" s="92" t="s">
        <v>20</v>
      </c>
      <c r="D243" s="181">
        <v>9371</v>
      </c>
      <c r="E243" s="11" t="s">
        <v>1040</v>
      </c>
      <c r="F243" s="9" t="s">
        <v>168</v>
      </c>
      <c r="G243" s="9"/>
    </row>
    <row r="244" spans="1:7" x14ac:dyDescent="0.2">
      <c r="A244" s="9" t="s">
        <v>1096</v>
      </c>
      <c r="B244" s="9" t="s">
        <v>1112</v>
      </c>
      <c r="C244" s="92" t="s">
        <v>20</v>
      </c>
      <c r="D244" s="180">
        <v>2900</v>
      </c>
      <c r="E244" s="11" t="s">
        <v>1040</v>
      </c>
      <c r="F244" s="9" t="s">
        <v>1127</v>
      </c>
      <c r="G244" s="9"/>
    </row>
    <row r="245" spans="1:7" x14ac:dyDescent="0.2">
      <c r="A245" s="9" t="s">
        <v>1096</v>
      </c>
      <c r="B245" s="9" t="s">
        <v>1112</v>
      </c>
      <c r="C245" s="92" t="s">
        <v>20</v>
      </c>
      <c r="D245" s="180">
        <v>3840.900000000001</v>
      </c>
      <c r="E245" s="11" t="s">
        <v>1040</v>
      </c>
      <c r="F245" s="9" t="s">
        <v>1048</v>
      </c>
      <c r="G245" s="9"/>
    </row>
    <row r="246" spans="1:7" x14ac:dyDescent="0.2">
      <c r="A246" s="9" t="s">
        <v>1096</v>
      </c>
      <c r="B246" s="9" t="s">
        <v>1112</v>
      </c>
      <c r="C246" s="92" t="s">
        <v>20</v>
      </c>
      <c r="D246" s="180">
        <v>2497</v>
      </c>
      <c r="E246" s="11" t="s">
        <v>1040</v>
      </c>
      <c r="F246" s="9" t="s">
        <v>168</v>
      </c>
      <c r="G246" s="9"/>
    </row>
    <row r="247" spans="1:7" x14ac:dyDescent="0.2">
      <c r="A247" s="9" t="s">
        <v>1096</v>
      </c>
      <c r="B247" s="9" t="s">
        <v>1113</v>
      </c>
      <c r="C247" s="92" t="s">
        <v>20</v>
      </c>
      <c r="D247" s="180">
        <v>3320</v>
      </c>
      <c r="E247" s="11" t="s">
        <v>1040</v>
      </c>
      <c r="F247" s="9" t="s">
        <v>1114</v>
      </c>
      <c r="G247" s="9"/>
    </row>
    <row r="248" spans="1:7" ht="12" customHeight="1" x14ac:dyDescent="0.2">
      <c r="A248" s="9" t="s">
        <v>1096</v>
      </c>
      <c r="B248" s="9" t="s">
        <v>198</v>
      </c>
      <c r="C248" s="92" t="s">
        <v>20</v>
      </c>
      <c r="D248" s="180">
        <v>4700</v>
      </c>
      <c r="E248" s="11" t="s">
        <v>1040</v>
      </c>
      <c r="F248" s="9" t="s">
        <v>1129</v>
      </c>
      <c r="G248" s="9"/>
    </row>
    <row r="249" spans="1:7" x14ac:dyDescent="0.2">
      <c r="A249" s="9" t="s">
        <v>1116</v>
      </c>
      <c r="B249" s="9" t="s">
        <v>1117</v>
      </c>
      <c r="C249" s="92" t="s">
        <v>20</v>
      </c>
      <c r="D249" s="15">
        <v>1226.5</v>
      </c>
      <c r="E249" s="11" t="s">
        <v>1040</v>
      </c>
      <c r="F249" s="9" t="s">
        <v>1118</v>
      </c>
      <c r="G249" s="9" t="s">
        <v>1119</v>
      </c>
    </row>
    <row r="250" spans="1:7" x14ac:dyDescent="0.2">
      <c r="A250" s="9" t="s">
        <v>144</v>
      </c>
      <c r="B250" s="9" t="s">
        <v>1039</v>
      </c>
      <c r="C250" s="92" t="s">
        <v>20</v>
      </c>
      <c r="D250" s="16">
        <v>5000</v>
      </c>
      <c r="E250" s="11" t="s">
        <v>1040</v>
      </c>
      <c r="F250" s="9" t="s">
        <v>1128</v>
      </c>
      <c r="G250" s="9"/>
    </row>
    <row r="251" spans="1:7" x14ac:dyDescent="0.2">
      <c r="A251" s="9" t="s">
        <v>1056</v>
      </c>
      <c r="B251" s="9" t="s">
        <v>1057</v>
      </c>
      <c r="C251" s="92" t="s">
        <v>21</v>
      </c>
      <c r="D251" s="12">
        <f>1000*(62.8*2.3/100)</f>
        <v>1444.3999999999996</v>
      </c>
      <c r="E251" s="11" t="s">
        <v>1040</v>
      </c>
      <c r="F251" s="9" t="s">
        <v>1058</v>
      </c>
      <c r="G251" s="9"/>
    </row>
    <row r="252" spans="1:7" x14ac:dyDescent="0.2">
      <c r="A252" s="9" t="s">
        <v>1095</v>
      </c>
      <c r="B252" s="9" t="s">
        <v>199</v>
      </c>
      <c r="C252" s="92" t="s">
        <v>21</v>
      </c>
      <c r="D252" s="13">
        <v>0</v>
      </c>
      <c r="E252" s="9" t="s">
        <v>1164</v>
      </c>
      <c r="F252" s="9" t="s">
        <v>1132</v>
      </c>
      <c r="G252" s="9" t="s">
        <v>1167</v>
      </c>
    </row>
    <row r="253" spans="1:7" x14ac:dyDescent="0.2">
      <c r="A253" s="9" t="s">
        <v>1095</v>
      </c>
      <c r="B253" s="9" t="s">
        <v>199</v>
      </c>
      <c r="C253" s="92" t="s">
        <v>21</v>
      </c>
      <c r="D253" s="13">
        <v>0</v>
      </c>
      <c r="E253" s="9" t="s">
        <v>177</v>
      </c>
      <c r="F253" s="9" t="s">
        <v>209</v>
      </c>
      <c r="G253" s="9"/>
    </row>
    <row r="254" spans="1:7" x14ac:dyDescent="0.2">
      <c r="A254" s="9" t="s">
        <v>1095</v>
      </c>
      <c r="B254" s="9" t="s">
        <v>198</v>
      </c>
      <c r="C254" s="92" t="s">
        <v>21</v>
      </c>
      <c r="D254" s="19">
        <v>2E-3</v>
      </c>
      <c r="E254" s="9" t="s">
        <v>1164</v>
      </c>
      <c r="F254" s="9" t="s">
        <v>1132</v>
      </c>
      <c r="G254" s="9" t="s">
        <v>1165</v>
      </c>
    </row>
    <row r="255" spans="1:7" x14ac:dyDescent="0.2">
      <c r="A255" s="9" t="s">
        <v>1095</v>
      </c>
      <c r="B255" s="9" t="s">
        <v>198</v>
      </c>
      <c r="C255" s="92" t="s">
        <v>21</v>
      </c>
      <c r="D255" s="19">
        <v>5.1600000000000001E-5</v>
      </c>
      <c r="E255" s="9" t="s">
        <v>1164</v>
      </c>
      <c r="F255" s="9" t="s">
        <v>208</v>
      </c>
      <c r="G255" s="9" t="s">
        <v>1165</v>
      </c>
    </row>
    <row r="256" spans="1:7" x14ac:dyDescent="0.2">
      <c r="A256" s="9" t="s">
        <v>1095</v>
      </c>
      <c r="B256" s="9" t="s">
        <v>198</v>
      </c>
      <c r="C256" s="92" t="s">
        <v>21</v>
      </c>
      <c r="D256" s="159">
        <v>83</v>
      </c>
      <c r="E256" s="9" t="s">
        <v>177</v>
      </c>
      <c r="F256" s="9" t="s">
        <v>209</v>
      </c>
      <c r="G256" s="9"/>
    </row>
    <row r="257" spans="1:7" x14ac:dyDescent="0.2">
      <c r="A257" s="9" t="s">
        <v>1096</v>
      </c>
      <c r="B257" s="9" t="s">
        <v>1039</v>
      </c>
      <c r="C257" s="92" t="s">
        <v>21</v>
      </c>
      <c r="D257" s="179">
        <v>33</v>
      </c>
      <c r="E257" s="11" t="s">
        <v>1040</v>
      </c>
      <c r="F257" s="9" t="s">
        <v>1126</v>
      </c>
      <c r="G257" s="9"/>
    </row>
    <row r="258" spans="1:7" x14ac:dyDescent="0.2">
      <c r="A258" s="9" t="s">
        <v>1096</v>
      </c>
      <c r="B258" s="9" t="s">
        <v>1097</v>
      </c>
      <c r="C258" s="92" t="s">
        <v>21</v>
      </c>
      <c r="D258" s="180">
        <v>6</v>
      </c>
      <c r="E258" s="11" t="s">
        <v>1040</v>
      </c>
      <c r="F258" s="9" t="s">
        <v>1098</v>
      </c>
      <c r="G258" s="9" t="s">
        <v>1099</v>
      </c>
    </row>
    <row r="259" spans="1:7" x14ac:dyDescent="0.2">
      <c r="A259" s="9" t="s">
        <v>1096</v>
      </c>
      <c r="B259" s="9" t="s">
        <v>1100</v>
      </c>
      <c r="C259" s="92" t="s">
        <v>21</v>
      </c>
      <c r="D259" s="180">
        <v>17</v>
      </c>
      <c r="E259" s="11" t="s">
        <v>1040</v>
      </c>
      <c r="F259" s="9" t="s">
        <v>1098</v>
      </c>
      <c r="G259" s="9" t="s">
        <v>1101</v>
      </c>
    </row>
    <row r="260" spans="1:7" x14ac:dyDescent="0.2">
      <c r="A260" s="9" t="s">
        <v>1096</v>
      </c>
      <c r="B260" s="9" t="s">
        <v>1106</v>
      </c>
      <c r="C260" s="92" t="s">
        <v>21</v>
      </c>
      <c r="D260" s="180">
        <v>2</v>
      </c>
      <c r="E260" s="11" t="s">
        <v>1040</v>
      </c>
      <c r="F260" s="9" t="s">
        <v>1098</v>
      </c>
      <c r="G260" s="9" t="s">
        <v>1107</v>
      </c>
    </row>
    <row r="261" spans="1:7" ht="19" customHeight="1" x14ac:dyDescent="0.2">
      <c r="A261" s="9" t="s">
        <v>1096</v>
      </c>
      <c r="B261" s="9" t="s">
        <v>1108</v>
      </c>
      <c r="C261" s="92" t="s">
        <v>21</v>
      </c>
      <c r="D261" s="180">
        <v>6</v>
      </c>
      <c r="E261" s="11" t="s">
        <v>1040</v>
      </c>
      <c r="F261" s="9" t="s">
        <v>1098</v>
      </c>
      <c r="G261" s="9" t="s">
        <v>1109</v>
      </c>
    </row>
    <row r="262" spans="1:7" x14ac:dyDescent="0.2">
      <c r="A262" s="9" t="s">
        <v>1096</v>
      </c>
      <c r="B262" s="9" t="s">
        <v>1110</v>
      </c>
      <c r="C262" s="92" t="s">
        <v>21</v>
      </c>
      <c r="D262" s="180">
        <v>16</v>
      </c>
      <c r="E262" s="11" t="s">
        <v>1040</v>
      </c>
      <c r="F262" s="9" t="s">
        <v>168</v>
      </c>
      <c r="G262" s="9"/>
    </row>
    <row r="263" spans="1:7" x14ac:dyDescent="0.2">
      <c r="A263" s="9" t="s">
        <v>1096</v>
      </c>
      <c r="B263" s="9" t="s">
        <v>1168</v>
      </c>
      <c r="C263" s="92" t="s">
        <v>21</v>
      </c>
      <c r="D263" s="180">
        <v>12</v>
      </c>
      <c r="E263" s="11" t="s">
        <v>1040</v>
      </c>
      <c r="F263" s="9" t="s">
        <v>1169</v>
      </c>
      <c r="G263" s="9"/>
    </row>
    <row r="264" spans="1:7" x14ac:dyDescent="0.2">
      <c r="A264" s="9" t="s">
        <v>1096</v>
      </c>
      <c r="B264" s="9" t="s">
        <v>198</v>
      </c>
      <c r="C264" s="92" t="s">
        <v>21</v>
      </c>
      <c r="D264" s="180">
        <v>13</v>
      </c>
      <c r="E264" s="11" t="s">
        <v>1040</v>
      </c>
      <c r="F264" s="9" t="s">
        <v>1129</v>
      </c>
      <c r="G264" s="9"/>
    </row>
    <row r="265" spans="1:7" x14ac:dyDescent="0.2">
      <c r="A265" s="9" t="s">
        <v>1061</v>
      </c>
      <c r="B265" s="9" t="s">
        <v>1039</v>
      </c>
      <c r="C265" s="92" t="s">
        <v>1170</v>
      </c>
      <c r="D265" s="15">
        <v>692</v>
      </c>
      <c r="E265" s="11" t="s">
        <v>1040</v>
      </c>
      <c r="F265" s="9" t="s">
        <v>1062</v>
      </c>
      <c r="G265" s="9"/>
    </row>
    <row r="266" spans="1:7" x14ac:dyDescent="0.2">
      <c r="A266" s="9" t="s">
        <v>1066</v>
      </c>
      <c r="B266" s="11" t="s">
        <v>1155</v>
      </c>
      <c r="C266" s="92" t="s">
        <v>1170</v>
      </c>
      <c r="D266" s="141">
        <v>4</v>
      </c>
      <c r="E266" s="11" t="s">
        <v>1040</v>
      </c>
      <c r="F266" s="9" t="s">
        <v>1098</v>
      </c>
      <c r="G266" s="9"/>
    </row>
    <row r="267" spans="1:7" x14ac:dyDescent="0.2">
      <c r="A267" s="9" t="s">
        <v>1066</v>
      </c>
      <c r="B267" s="11" t="s">
        <v>1155</v>
      </c>
      <c r="C267" s="92" t="s">
        <v>1170</v>
      </c>
      <c r="D267" s="13" t="s">
        <v>1171</v>
      </c>
      <c r="E267" s="11" t="s">
        <v>1040</v>
      </c>
      <c r="F267" s="9" t="s">
        <v>1124</v>
      </c>
      <c r="G267" s="9" t="s">
        <v>1125</v>
      </c>
    </row>
    <row r="268" spans="1:7" x14ac:dyDescent="0.2">
      <c r="A268" s="9" t="s">
        <v>1066</v>
      </c>
      <c r="B268" s="11" t="s">
        <v>1155</v>
      </c>
      <c r="C268" s="92" t="s">
        <v>1170</v>
      </c>
      <c r="D268" s="141">
        <v>4</v>
      </c>
      <c r="E268" s="11" t="s">
        <v>1040</v>
      </c>
      <c r="F268" s="9" t="s">
        <v>1129</v>
      </c>
      <c r="G268" s="9"/>
    </row>
    <row r="269" spans="1:7" x14ac:dyDescent="0.2">
      <c r="A269" s="9" t="s">
        <v>1066</v>
      </c>
      <c r="B269" s="11" t="s">
        <v>1155</v>
      </c>
      <c r="C269" s="92" t="s">
        <v>1170</v>
      </c>
      <c r="D269" s="141">
        <v>9</v>
      </c>
      <c r="E269" s="11" t="s">
        <v>1040</v>
      </c>
      <c r="F269" s="9" t="s">
        <v>1126</v>
      </c>
      <c r="G269" s="9"/>
    </row>
    <row r="270" spans="1:7" x14ac:dyDescent="0.2">
      <c r="A270" s="9" t="s">
        <v>1066</v>
      </c>
      <c r="B270" s="11" t="s">
        <v>1155</v>
      </c>
      <c r="C270" s="92" t="s">
        <v>1170</v>
      </c>
      <c r="D270" s="147">
        <v>19</v>
      </c>
      <c r="E270" s="11" t="s">
        <v>1040</v>
      </c>
      <c r="F270" s="9" t="s">
        <v>168</v>
      </c>
      <c r="G270" s="9" t="s">
        <v>1111</v>
      </c>
    </row>
    <row r="271" spans="1:7" ht="64" customHeight="1" x14ac:dyDescent="0.2">
      <c r="A271" s="9" t="s">
        <v>1066</v>
      </c>
      <c r="B271" s="9" t="s">
        <v>1068</v>
      </c>
      <c r="C271" s="92" t="s">
        <v>1170</v>
      </c>
      <c r="D271" s="148">
        <v>9.6999999999999993</v>
      </c>
      <c r="E271" s="11" t="s">
        <v>1040</v>
      </c>
      <c r="F271" s="6" t="s">
        <v>1070</v>
      </c>
      <c r="G271" s="9"/>
    </row>
    <row r="272" spans="1:7" x14ac:dyDescent="0.2">
      <c r="A272" s="9" t="s">
        <v>1066</v>
      </c>
      <c r="B272" s="11" t="s">
        <v>1154</v>
      </c>
      <c r="C272" s="92" t="s">
        <v>1172</v>
      </c>
      <c r="D272" s="13">
        <v>48</v>
      </c>
      <c r="E272" s="11" t="s">
        <v>1040</v>
      </c>
      <c r="F272" s="9" t="s">
        <v>1121</v>
      </c>
      <c r="G272" s="9"/>
    </row>
    <row r="273" spans="1:7" x14ac:dyDescent="0.2">
      <c r="A273" s="9" t="s">
        <v>1066</v>
      </c>
      <c r="B273" s="9" t="s">
        <v>1154</v>
      </c>
      <c r="C273" s="92" t="s">
        <v>1172</v>
      </c>
      <c r="D273" s="151">
        <v>48</v>
      </c>
      <c r="E273" s="11" t="s">
        <v>1040</v>
      </c>
      <c r="F273" s="9" t="s">
        <v>1098</v>
      </c>
      <c r="G273" s="9"/>
    </row>
    <row r="274" spans="1:7" x14ac:dyDescent="0.2">
      <c r="A274" s="9" t="s">
        <v>1061</v>
      </c>
      <c r="B274" s="9" t="s">
        <v>1039</v>
      </c>
      <c r="C274" s="92" t="s">
        <v>24</v>
      </c>
      <c r="D274" s="15">
        <v>100000</v>
      </c>
      <c r="E274" s="11" t="s">
        <v>1040</v>
      </c>
      <c r="F274" s="9" t="s">
        <v>1062</v>
      </c>
      <c r="G274" s="9"/>
    </row>
    <row r="275" spans="1:7" x14ac:dyDescent="0.2">
      <c r="A275" s="9" t="s">
        <v>1066</v>
      </c>
      <c r="B275" s="9" t="s">
        <v>1039</v>
      </c>
      <c r="C275" s="92" t="s">
        <v>24</v>
      </c>
      <c r="D275" s="141">
        <v>46400</v>
      </c>
      <c r="E275" s="11" t="s">
        <v>1040</v>
      </c>
      <c r="F275" s="9" t="s">
        <v>1098</v>
      </c>
      <c r="G275" s="9"/>
    </row>
    <row r="276" spans="1:7" x14ac:dyDescent="0.2">
      <c r="A276" s="9" t="s">
        <v>1066</v>
      </c>
      <c r="B276" s="9" t="s">
        <v>1039</v>
      </c>
      <c r="C276" s="92" t="s">
        <v>24</v>
      </c>
      <c r="D276" s="141">
        <v>60014</v>
      </c>
      <c r="E276" s="11" t="s">
        <v>1040</v>
      </c>
      <c r="F276" s="9" t="s">
        <v>1067</v>
      </c>
      <c r="G276" s="9"/>
    </row>
    <row r="277" spans="1:7" x14ac:dyDescent="0.2">
      <c r="A277" s="9" t="s">
        <v>1066</v>
      </c>
      <c r="B277" s="9" t="s">
        <v>1154</v>
      </c>
      <c r="C277" s="92" t="s">
        <v>24</v>
      </c>
      <c r="D277" s="150">
        <v>46400</v>
      </c>
      <c r="E277" s="11" t="s">
        <v>1040</v>
      </c>
      <c r="F277" s="9" t="s">
        <v>1098</v>
      </c>
      <c r="G277" s="9"/>
    </row>
    <row r="278" spans="1:7" x14ac:dyDescent="0.2">
      <c r="A278" s="9" t="s">
        <v>1066</v>
      </c>
      <c r="B278" s="9" t="s">
        <v>1122</v>
      </c>
      <c r="C278" s="92" t="s">
        <v>24</v>
      </c>
      <c r="D278" s="148">
        <v>46400</v>
      </c>
      <c r="E278" s="11" t="s">
        <v>1040</v>
      </c>
      <c r="F278" s="9" t="s">
        <v>1098</v>
      </c>
      <c r="G278" s="9"/>
    </row>
    <row r="279" spans="1:7" x14ac:dyDescent="0.2">
      <c r="A279" s="9" t="s">
        <v>1066</v>
      </c>
      <c r="B279" s="11" t="s">
        <v>1155</v>
      </c>
      <c r="C279" s="92" t="s">
        <v>24</v>
      </c>
      <c r="D279" s="148">
        <v>46400</v>
      </c>
      <c r="E279" s="11" t="s">
        <v>1040</v>
      </c>
      <c r="F279" s="9" t="s">
        <v>1098</v>
      </c>
      <c r="G279" s="9"/>
    </row>
    <row r="280" spans="1:7" x14ac:dyDescent="0.2">
      <c r="A280" s="9" t="s">
        <v>1066</v>
      </c>
      <c r="B280" s="9" t="s">
        <v>1068</v>
      </c>
      <c r="C280" s="92" t="s">
        <v>24</v>
      </c>
      <c r="D280" s="148">
        <v>46400</v>
      </c>
      <c r="E280" s="11" t="s">
        <v>1040</v>
      </c>
      <c r="F280" s="9" t="s">
        <v>1098</v>
      </c>
      <c r="G280" s="9"/>
    </row>
    <row r="281" spans="1:7" x14ac:dyDescent="0.2">
      <c r="A281" s="9" t="s">
        <v>1096</v>
      </c>
      <c r="B281" s="9" t="s">
        <v>1097</v>
      </c>
      <c r="C281" s="92" t="s">
        <v>1173</v>
      </c>
      <c r="D281" s="180">
        <v>8100</v>
      </c>
      <c r="E281" s="11" t="s">
        <v>1040</v>
      </c>
      <c r="F281" s="9" t="s">
        <v>1098</v>
      </c>
      <c r="G281" s="9" t="s">
        <v>1099</v>
      </c>
    </row>
    <row r="282" spans="1:7" x14ac:dyDescent="0.2">
      <c r="A282" s="9" t="s">
        <v>1096</v>
      </c>
      <c r="B282" s="9" t="s">
        <v>1100</v>
      </c>
      <c r="C282" s="92" t="s">
        <v>1173</v>
      </c>
      <c r="D282" s="180">
        <v>8100</v>
      </c>
      <c r="E282" s="11" t="s">
        <v>1040</v>
      </c>
      <c r="F282" s="9" t="s">
        <v>1098</v>
      </c>
      <c r="G282" s="9" t="s">
        <v>1101</v>
      </c>
    </row>
    <row r="283" spans="1:7" x14ac:dyDescent="0.2">
      <c r="A283" s="9" t="s">
        <v>1096</v>
      </c>
      <c r="B283" s="9" t="s">
        <v>1102</v>
      </c>
      <c r="C283" s="92" t="s">
        <v>1173</v>
      </c>
      <c r="D283" s="180">
        <v>7549</v>
      </c>
      <c r="E283" s="11" t="s">
        <v>1040</v>
      </c>
      <c r="F283" s="36" t="s">
        <v>1103</v>
      </c>
      <c r="G283" s="9"/>
    </row>
    <row r="284" spans="1:7" x14ac:dyDescent="0.2">
      <c r="A284" s="9" t="s">
        <v>1096</v>
      </c>
      <c r="B284" s="9" t="s">
        <v>1104</v>
      </c>
      <c r="C284" s="92" t="s">
        <v>1173</v>
      </c>
      <c r="D284" s="180">
        <v>4013</v>
      </c>
      <c r="E284" s="11" t="s">
        <v>1040</v>
      </c>
      <c r="F284" s="36" t="s">
        <v>1103</v>
      </c>
      <c r="G284" s="9"/>
    </row>
    <row r="285" spans="1:7" x14ac:dyDescent="0.2">
      <c r="A285" s="9" t="s">
        <v>1096</v>
      </c>
      <c r="B285" s="9" t="s">
        <v>1106</v>
      </c>
      <c r="C285" s="92" t="s">
        <v>1173</v>
      </c>
      <c r="D285" s="180">
        <v>7700</v>
      </c>
      <c r="E285" s="11" t="s">
        <v>1040</v>
      </c>
      <c r="F285" s="9" t="s">
        <v>1098</v>
      </c>
      <c r="G285" s="9" t="s">
        <v>1107</v>
      </c>
    </row>
    <row r="286" spans="1:7" x14ac:dyDescent="0.2">
      <c r="A286" s="9" t="s">
        <v>1096</v>
      </c>
      <c r="B286" s="9" t="s">
        <v>1108</v>
      </c>
      <c r="C286" s="92" t="s">
        <v>1173</v>
      </c>
      <c r="D286" s="180">
        <v>8400</v>
      </c>
      <c r="E286" s="11" t="s">
        <v>1040</v>
      </c>
      <c r="F286" s="9" t="s">
        <v>1098</v>
      </c>
      <c r="G286" s="9" t="s">
        <v>1109</v>
      </c>
    </row>
    <row r="287" spans="1:7" x14ac:dyDescent="0.2">
      <c r="A287" s="9" t="s">
        <v>1096</v>
      </c>
      <c r="B287" s="9" t="s">
        <v>1113</v>
      </c>
      <c r="C287" s="92" t="s">
        <v>1173</v>
      </c>
      <c r="D287" s="180">
        <v>9580</v>
      </c>
      <c r="E287" s="11" t="s">
        <v>1040</v>
      </c>
      <c r="F287" s="9" t="s">
        <v>1114</v>
      </c>
      <c r="G287" s="9"/>
    </row>
    <row r="288" spans="1:7" x14ac:dyDescent="0.2">
      <c r="A288" s="9" t="s">
        <v>1096</v>
      </c>
      <c r="B288" s="9" t="s">
        <v>1115</v>
      </c>
      <c r="C288" s="92" t="s">
        <v>1173</v>
      </c>
      <c r="D288" s="180">
        <v>10255</v>
      </c>
      <c r="E288" s="11" t="s">
        <v>1040</v>
      </c>
      <c r="F288" s="36" t="s">
        <v>1103</v>
      </c>
      <c r="G288" s="9"/>
    </row>
    <row r="289" spans="1:7" x14ac:dyDescent="0.2">
      <c r="A289" s="9" t="s">
        <v>1078</v>
      </c>
      <c r="B289" s="9" t="s">
        <v>1079</v>
      </c>
      <c r="C289" s="92" t="s">
        <v>1174</v>
      </c>
      <c r="D289" s="15">
        <v>0</v>
      </c>
      <c r="E289" s="9" t="s">
        <v>194</v>
      </c>
      <c r="F289" s="138" t="s">
        <v>1080</v>
      </c>
      <c r="G289" s="9" t="s">
        <v>1081</v>
      </c>
    </row>
    <row r="290" spans="1:7" x14ac:dyDescent="0.2">
      <c r="A290" s="9" t="s">
        <v>1078</v>
      </c>
      <c r="B290" s="9" t="s">
        <v>1082</v>
      </c>
      <c r="C290" s="92" t="s">
        <v>1174</v>
      </c>
      <c r="D290" s="15">
        <v>170</v>
      </c>
      <c r="E290" s="9" t="s">
        <v>194</v>
      </c>
      <c r="F290" s="138" t="s">
        <v>1080</v>
      </c>
      <c r="G290" s="9" t="s">
        <v>1083</v>
      </c>
    </row>
    <row r="291" spans="1:7" x14ac:dyDescent="0.2">
      <c r="A291" s="9" t="s">
        <v>1078</v>
      </c>
      <c r="B291" s="9" t="s">
        <v>1084</v>
      </c>
      <c r="C291" s="92" t="s">
        <v>1174</v>
      </c>
      <c r="D291" s="15">
        <v>65.255522580515503</v>
      </c>
      <c r="E291" s="9" t="s">
        <v>194</v>
      </c>
      <c r="F291" s="138" t="s">
        <v>1080</v>
      </c>
      <c r="G291" s="9" t="s">
        <v>1163</v>
      </c>
    </row>
    <row r="292" spans="1:7" x14ac:dyDescent="0.2">
      <c r="A292" s="9" t="s">
        <v>1078</v>
      </c>
      <c r="B292" s="9" t="s">
        <v>1085</v>
      </c>
      <c r="C292" s="92" t="s">
        <v>1174</v>
      </c>
      <c r="D292" s="15">
        <v>62.887976772990257</v>
      </c>
      <c r="E292" s="9" t="s">
        <v>194</v>
      </c>
      <c r="F292" s="138" t="s">
        <v>1080</v>
      </c>
      <c r="G292" s="9" t="s">
        <v>1086</v>
      </c>
    </row>
    <row r="293" spans="1:7" x14ac:dyDescent="0.2">
      <c r="A293" s="9" t="s">
        <v>1078</v>
      </c>
      <c r="B293" s="9" t="s">
        <v>1087</v>
      </c>
      <c r="C293" s="92" t="s">
        <v>1174</v>
      </c>
      <c r="D293" s="15">
        <v>63.546147701953551</v>
      </c>
      <c r="E293" s="9" t="s">
        <v>194</v>
      </c>
      <c r="F293" s="138" t="s">
        <v>1080</v>
      </c>
      <c r="G293" s="9" t="s">
        <v>1088</v>
      </c>
    </row>
    <row r="294" spans="1:7" x14ac:dyDescent="0.2">
      <c r="A294" s="9" t="s">
        <v>1078</v>
      </c>
      <c r="B294" s="9" t="s">
        <v>1089</v>
      </c>
      <c r="C294" s="92" t="s">
        <v>1174</v>
      </c>
      <c r="D294" s="15">
        <v>67.190699367767124</v>
      </c>
      <c r="E294" s="9" t="s">
        <v>194</v>
      </c>
      <c r="F294" s="138" t="s">
        <v>1080</v>
      </c>
      <c r="G294" s="9" t="s">
        <v>1090</v>
      </c>
    </row>
    <row r="295" spans="1:7" x14ac:dyDescent="0.2">
      <c r="A295" s="9" t="s">
        <v>1078</v>
      </c>
      <c r="B295" s="9" t="s">
        <v>1091</v>
      </c>
      <c r="C295" s="92" t="s">
        <v>1174</v>
      </c>
      <c r="D295" s="15">
        <v>73.713441175076923</v>
      </c>
      <c r="E295" s="9" t="s">
        <v>194</v>
      </c>
      <c r="F295" s="138" t="s">
        <v>1080</v>
      </c>
      <c r="G295" s="9" t="s">
        <v>1092</v>
      </c>
    </row>
    <row r="296" spans="1:7" x14ac:dyDescent="0.2">
      <c r="A296" s="9" t="s">
        <v>1056</v>
      </c>
      <c r="B296" s="9" t="s">
        <v>1060</v>
      </c>
      <c r="C296" s="92" t="s">
        <v>25</v>
      </c>
      <c r="D296" s="12">
        <v>0.5</v>
      </c>
      <c r="E296" s="11" t="s">
        <v>1040</v>
      </c>
      <c r="F296" s="9" t="s">
        <v>1121</v>
      </c>
      <c r="G296" s="9"/>
    </row>
    <row r="297" spans="1:7" x14ac:dyDescent="0.2">
      <c r="A297" s="9" t="s">
        <v>1056</v>
      </c>
      <c r="B297" s="9" t="s">
        <v>1057</v>
      </c>
      <c r="C297" s="92" t="s">
        <v>25</v>
      </c>
      <c r="D297" s="12">
        <v>1</v>
      </c>
      <c r="E297" s="11" t="s">
        <v>1040</v>
      </c>
      <c r="F297" s="9" t="s">
        <v>1128</v>
      </c>
      <c r="G297" s="9"/>
    </row>
    <row r="298" spans="1:7" x14ac:dyDescent="0.2">
      <c r="A298" s="9" t="s">
        <v>1056</v>
      </c>
      <c r="B298" s="9" t="s">
        <v>1057</v>
      </c>
      <c r="C298" s="92" t="s">
        <v>25</v>
      </c>
      <c r="D298" s="12">
        <v>0.48</v>
      </c>
      <c r="E298" s="11" t="s">
        <v>1040</v>
      </c>
      <c r="F298" s="9" t="s">
        <v>1175</v>
      </c>
      <c r="G298" s="9"/>
    </row>
    <row r="299" spans="1:7" x14ac:dyDescent="0.2">
      <c r="A299" s="9" t="s">
        <v>1056</v>
      </c>
      <c r="B299" s="9" t="s">
        <v>1060</v>
      </c>
      <c r="C299" s="92" t="s">
        <v>26</v>
      </c>
      <c r="D299" s="12">
        <v>1.4</v>
      </c>
      <c r="E299" s="11" t="s">
        <v>1040</v>
      </c>
      <c r="F299" s="9" t="s">
        <v>1121</v>
      </c>
      <c r="G299" s="9"/>
    </row>
    <row r="300" spans="1:7" x14ac:dyDescent="0.2">
      <c r="A300" s="9" t="s">
        <v>1056</v>
      </c>
      <c r="B300" s="9" t="s">
        <v>1057</v>
      </c>
      <c r="C300" s="92" t="s">
        <v>26</v>
      </c>
      <c r="D300" s="12">
        <v>2</v>
      </c>
      <c r="E300" s="11" t="s">
        <v>1040</v>
      </c>
      <c r="F300" s="9" t="s">
        <v>1128</v>
      </c>
      <c r="G300" s="9"/>
    </row>
    <row r="301" spans="1:7" x14ac:dyDescent="0.2">
      <c r="A301" s="9" t="s">
        <v>1066</v>
      </c>
      <c r="B301" s="9" t="s">
        <v>1161</v>
      </c>
      <c r="C301" s="92" t="s">
        <v>26</v>
      </c>
      <c r="D301" s="150">
        <v>5.32</v>
      </c>
      <c r="E301" s="11" t="s">
        <v>1040</v>
      </c>
      <c r="F301" s="9" t="s">
        <v>1129</v>
      </c>
      <c r="G301" s="9"/>
    </row>
    <row r="302" spans="1:7" x14ac:dyDescent="0.2">
      <c r="A302" s="9" t="s">
        <v>1066</v>
      </c>
      <c r="B302" s="11" t="s">
        <v>1155</v>
      </c>
      <c r="C302" s="92" t="s">
        <v>26</v>
      </c>
      <c r="D302" s="141">
        <v>15</v>
      </c>
      <c r="E302" s="11" t="s">
        <v>1040</v>
      </c>
      <c r="F302" s="9" t="s">
        <v>1098</v>
      </c>
      <c r="G302" s="9"/>
    </row>
    <row r="303" spans="1:7" x14ac:dyDescent="0.2">
      <c r="A303" s="9" t="s">
        <v>1066</v>
      </c>
      <c r="B303" s="11" t="s">
        <v>1155</v>
      </c>
      <c r="C303" s="92" t="s">
        <v>26</v>
      </c>
      <c r="D303" s="153" t="s">
        <v>1176</v>
      </c>
      <c r="E303" s="11" t="s">
        <v>1040</v>
      </c>
      <c r="F303" s="9" t="s">
        <v>1124</v>
      </c>
      <c r="G303" s="9" t="s">
        <v>1125</v>
      </c>
    </row>
    <row r="304" spans="1:7" x14ac:dyDescent="0.2">
      <c r="A304" s="9" t="s">
        <v>1066</v>
      </c>
      <c r="B304" s="11" t="s">
        <v>1155</v>
      </c>
      <c r="C304" s="92" t="s">
        <v>26</v>
      </c>
      <c r="D304" s="141">
        <v>13</v>
      </c>
      <c r="E304" s="11" t="s">
        <v>1040</v>
      </c>
      <c r="F304" s="9" t="s">
        <v>1129</v>
      </c>
      <c r="G304" s="9"/>
    </row>
    <row r="305" spans="1:7" x14ac:dyDescent="0.2">
      <c r="A305" s="9" t="s">
        <v>1066</v>
      </c>
      <c r="B305" s="11" t="s">
        <v>1155</v>
      </c>
      <c r="C305" s="92" t="s">
        <v>26</v>
      </c>
      <c r="D305" s="141">
        <v>28</v>
      </c>
      <c r="E305" s="11" t="s">
        <v>1040</v>
      </c>
      <c r="F305" s="9" t="s">
        <v>1126</v>
      </c>
      <c r="G305" s="9"/>
    </row>
    <row r="306" spans="1:7" x14ac:dyDescent="0.2">
      <c r="A306" s="9" t="s">
        <v>1066</v>
      </c>
      <c r="B306" s="11" t="s">
        <v>1155</v>
      </c>
      <c r="C306" s="92" t="s">
        <v>26</v>
      </c>
      <c r="D306" s="141">
        <v>31</v>
      </c>
      <c r="E306" s="11" t="s">
        <v>1040</v>
      </c>
      <c r="F306" s="9" t="s">
        <v>168</v>
      </c>
      <c r="G306" s="9" t="s">
        <v>1111</v>
      </c>
    </row>
    <row r="307" spans="1:7" x14ac:dyDescent="0.2">
      <c r="A307" s="9" t="s">
        <v>1056</v>
      </c>
      <c r="B307" s="9" t="s">
        <v>1057</v>
      </c>
      <c r="C307" s="92" t="s">
        <v>26</v>
      </c>
      <c r="D307" s="12">
        <v>1.6</v>
      </c>
      <c r="E307" s="11" t="s">
        <v>1040</v>
      </c>
      <c r="F307" s="9" t="s">
        <v>1175</v>
      </c>
      <c r="G307" s="9"/>
    </row>
    <row r="308" spans="1:7" x14ac:dyDescent="0.2">
      <c r="A308" s="9" t="s">
        <v>137</v>
      </c>
      <c r="B308" s="9" t="s">
        <v>1039</v>
      </c>
      <c r="C308" s="92" t="s">
        <v>27</v>
      </c>
      <c r="D308" s="12">
        <v>52000</v>
      </c>
      <c r="E308" s="11" t="s">
        <v>1040</v>
      </c>
      <c r="F308" s="9" t="s">
        <v>1042</v>
      </c>
      <c r="G308" s="9"/>
    </row>
    <row r="309" spans="1:7" x14ac:dyDescent="0.2">
      <c r="A309" s="9" t="s">
        <v>137</v>
      </c>
      <c r="B309" s="9" t="s">
        <v>1039</v>
      </c>
      <c r="C309" s="92" t="s">
        <v>27</v>
      </c>
      <c r="D309" s="12">
        <f>1000*(33.9*99.1/100)</f>
        <v>33594.899999999994</v>
      </c>
      <c r="E309" s="11" t="s">
        <v>1040</v>
      </c>
      <c r="F309" s="9" t="s">
        <v>1043</v>
      </c>
      <c r="G309" s="9"/>
    </row>
    <row r="310" spans="1:7" x14ac:dyDescent="0.2">
      <c r="A310" s="9" t="s">
        <v>137</v>
      </c>
      <c r="B310" s="9" t="s">
        <v>1039</v>
      </c>
      <c r="C310" s="92" t="s">
        <v>27</v>
      </c>
      <c r="D310" s="17">
        <v>135047</v>
      </c>
      <c r="E310" s="11" t="s">
        <v>1040</v>
      </c>
      <c r="F310" s="9" t="s">
        <v>1177</v>
      </c>
      <c r="G310" s="9"/>
    </row>
    <row r="311" spans="1:7" x14ac:dyDescent="0.2">
      <c r="A311" s="9" t="s">
        <v>137</v>
      </c>
      <c r="B311" s="9" t="s">
        <v>1044</v>
      </c>
      <c r="C311" s="92" t="s">
        <v>27</v>
      </c>
      <c r="D311" s="12">
        <v>45152</v>
      </c>
      <c r="E311" s="11" t="s">
        <v>1040</v>
      </c>
      <c r="F311" s="9" t="s">
        <v>1045</v>
      </c>
      <c r="G311" s="9"/>
    </row>
    <row r="312" spans="1:7" x14ac:dyDescent="0.2">
      <c r="A312" s="9" t="s">
        <v>1046</v>
      </c>
      <c r="B312" s="11" t="s">
        <v>1047</v>
      </c>
      <c r="C312" s="92" t="s">
        <v>27</v>
      </c>
      <c r="D312" s="141">
        <v>75386.940300000002</v>
      </c>
      <c r="E312" s="11" t="s">
        <v>1040</v>
      </c>
      <c r="F312" s="9" t="s">
        <v>1048</v>
      </c>
      <c r="G312" s="9" t="s">
        <v>1178</v>
      </c>
    </row>
    <row r="313" spans="1:7" x14ac:dyDescent="0.2">
      <c r="A313" s="79" t="s">
        <v>1046</v>
      </c>
      <c r="B313" s="79" t="s">
        <v>1049</v>
      </c>
      <c r="C313" s="139" t="s">
        <v>27</v>
      </c>
      <c r="D313" s="188">
        <v>15205.68252</v>
      </c>
      <c r="E313" s="86" t="s">
        <v>1040</v>
      </c>
      <c r="F313" s="79" t="s">
        <v>1048</v>
      </c>
      <c r="G313" s="9" t="s">
        <v>1178</v>
      </c>
    </row>
    <row r="314" spans="1:7" x14ac:dyDescent="0.2">
      <c r="A314" s="9" t="s">
        <v>1046</v>
      </c>
      <c r="B314" s="11" t="s">
        <v>1039</v>
      </c>
      <c r="C314" s="92" t="s">
        <v>27</v>
      </c>
      <c r="D314" s="141">
        <v>51376.5</v>
      </c>
      <c r="E314" s="11" t="s">
        <v>1040</v>
      </c>
      <c r="F314" s="9" t="s">
        <v>168</v>
      </c>
      <c r="G314" s="9" t="s">
        <v>1179</v>
      </c>
    </row>
    <row r="315" spans="1:7" x14ac:dyDescent="0.2">
      <c r="A315" s="9" t="s">
        <v>1046</v>
      </c>
      <c r="B315" s="9" t="s">
        <v>1051</v>
      </c>
      <c r="C315" s="92" t="s">
        <v>27</v>
      </c>
      <c r="D315" s="15">
        <v>6341</v>
      </c>
      <c r="E315" s="11" t="s">
        <v>1040</v>
      </c>
      <c r="F315" s="9" t="s">
        <v>1052</v>
      </c>
      <c r="G315" s="9"/>
    </row>
    <row r="316" spans="1:7" x14ac:dyDescent="0.2">
      <c r="A316" s="9" t="s">
        <v>1046</v>
      </c>
      <c r="B316" s="9" t="s">
        <v>1053</v>
      </c>
      <c r="C316" s="92" t="s">
        <v>27</v>
      </c>
      <c r="D316" s="15">
        <v>78791</v>
      </c>
      <c r="E316" s="11" t="s">
        <v>1040</v>
      </c>
      <c r="F316" s="9" t="s">
        <v>1052</v>
      </c>
      <c r="G316" s="9"/>
    </row>
    <row r="317" spans="1:7" x14ac:dyDescent="0.2">
      <c r="A317" s="9" t="s">
        <v>138</v>
      </c>
      <c r="B317" s="9" t="s">
        <v>1039</v>
      </c>
      <c r="C317" s="92" t="s">
        <v>27</v>
      </c>
      <c r="D317" s="12">
        <v>579526.92000000004</v>
      </c>
      <c r="E317" s="11" t="s">
        <v>1040</v>
      </c>
      <c r="F317" s="9" t="s">
        <v>1041</v>
      </c>
      <c r="G317" s="9"/>
    </row>
    <row r="318" spans="1:7" x14ac:dyDescent="0.2">
      <c r="A318" s="9" t="s">
        <v>138</v>
      </c>
      <c r="B318" s="9" t="s">
        <v>1039</v>
      </c>
      <c r="C318" s="92" t="s">
        <v>27</v>
      </c>
      <c r="D318" s="141">
        <v>579526.92000000004</v>
      </c>
      <c r="E318" s="11" t="s">
        <v>1040</v>
      </c>
      <c r="F318" s="9" t="s">
        <v>1041</v>
      </c>
      <c r="G318" s="9" t="s">
        <v>1178</v>
      </c>
    </row>
    <row r="319" spans="1:7" x14ac:dyDescent="0.2">
      <c r="A319" s="9" t="s">
        <v>138</v>
      </c>
      <c r="B319" s="9" t="s">
        <v>1039</v>
      </c>
      <c r="C319" s="92" t="s">
        <v>27</v>
      </c>
      <c r="D319" s="12">
        <v>133513.33379999999</v>
      </c>
      <c r="E319" s="11" t="s">
        <v>1040</v>
      </c>
      <c r="F319" s="9" t="s">
        <v>1054</v>
      </c>
      <c r="G319" s="9"/>
    </row>
    <row r="320" spans="1:7" x14ac:dyDescent="0.2">
      <c r="A320" s="9" t="s">
        <v>138</v>
      </c>
      <c r="B320" s="9" t="s">
        <v>1039</v>
      </c>
      <c r="C320" s="92" t="s">
        <v>27</v>
      </c>
      <c r="D320" s="141">
        <v>133513.33379999999</v>
      </c>
      <c r="E320" s="11" t="s">
        <v>1040</v>
      </c>
      <c r="F320" s="9" t="s">
        <v>1054</v>
      </c>
      <c r="G320" s="9" t="s">
        <v>1178</v>
      </c>
    </row>
    <row r="321" spans="1:7" x14ac:dyDescent="0.2">
      <c r="A321" s="9" t="s">
        <v>138</v>
      </c>
      <c r="B321" s="9" t="s">
        <v>1039</v>
      </c>
      <c r="C321" s="92" t="s">
        <v>27</v>
      </c>
      <c r="D321" s="12">
        <v>800494.8</v>
      </c>
      <c r="E321" s="11" t="s">
        <v>1040</v>
      </c>
      <c r="F321" s="9" t="s">
        <v>1062</v>
      </c>
      <c r="G321" s="9"/>
    </row>
    <row r="322" spans="1:7" x14ac:dyDescent="0.2">
      <c r="A322" s="79" t="s">
        <v>138</v>
      </c>
      <c r="B322" s="9" t="s">
        <v>1039</v>
      </c>
      <c r="C322" s="139" t="s">
        <v>27</v>
      </c>
      <c r="D322" s="154">
        <v>800494.8</v>
      </c>
      <c r="E322" s="86" t="s">
        <v>1040</v>
      </c>
      <c r="F322" s="79" t="s">
        <v>1062</v>
      </c>
      <c r="G322" s="79" t="s">
        <v>1178</v>
      </c>
    </row>
    <row r="323" spans="1:7" x14ac:dyDescent="0.2">
      <c r="A323" s="9" t="s">
        <v>138</v>
      </c>
      <c r="B323" s="9" t="s">
        <v>1039</v>
      </c>
      <c r="C323" s="92" t="s">
        <v>27</v>
      </c>
      <c r="D323" s="12">
        <v>348381.6</v>
      </c>
      <c r="E323" s="11" t="s">
        <v>1040</v>
      </c>
      <c r="F323" s="9" t="s">
        <v>1042</v>
      </c>
      <c r="G323" s="9"/>
    </row>
    <row r="324" spans="1:7" x14ac:dyDescent="0.2">
      <c r="A324" s="9" t="s">
        <v>138</v>
      </c>
      <c r="B324" s="9" t="s">
        <v>1039</v>
      </c>
      <c r="C324" s="92" t="s">
        <v>27</v>
      </c>
      <c r="D324" s="141">
        <v>348381.6</v>
      </c>
      <c r="E324" s="11" t="s">
        <v>1040</v>
      </c>
      <c r="F324" s="9" t="s">
        <v>1042</v>
      </c>
      <c r="G324" s="9" t="s">
        <v>1178</v>
      </c>
    </row>
    <row r="325" spans="1:7" x14ac:dyDescent="0.2">
      <c r="A325" s="9" t="s">
        <v>138</v>
      </c>
      <c r="B325" s="9" t="s">
        <v>1039</v>
      </c>
      <c r="C325" s="92" t="s">
        <v>27</v>
      </c>
      <c r="D325" s="17">
        <v>2097520</v>
      </c>
      <c r="E325" s="11" t="s">
        <v>1040</v>
      </c>
      <c r="F325" s="9" t="s">
        <v>1052</v>
      </c>
      <c r="G325" s="9"/>
    </row>
    <row r="326" spans="1:7" x14ac:dyDescent="0.2">
      <c r="A326" s="9" t="s">
        <v>1055</v>
      </c>
      <c r="B326" s="11" t="s">
        <v>1039</v>
      </c>
      <c r="C326" s="92" t="s">
        <v>27</v>
      </c>
      <c r="D326" s="84">
        <v>175000</v>
      </c>
      <c r="E326" s="11" t="s">
        <v>1040</v>
      </c>
      <c r="F326" s="9" t="s">
        <v>1041</v>
      </c>
      <c r="G326" s="9"/>
    </row>
    <row r="327" spans="1:7" x14ac:dyDescent="0.2">
      <c r="A327" s="9" t="s">
        <v>1055</v>
      </c>
      <c r="B327" s="11" t="s">
        <v>1039</v>
      </c>
      <c r="C327" s="92" t="s">
        <v>27</v>
      </c>
      <c r="D327" s="84">
        <v>338665</v>
      </c>
      <c r="E327" s="11" t="s">
        <v>1040</v>
      </c>
      <c r="F327" s="9" t="s">
        <v>1052</v>
      </c>
      <c r="G327" s="9"/>
    </row>
    <row r="328" spans="1:7" x14ac:dyDescent="0.2">
      <c r="A328" s="9" t="s">
        <v>1056</v>
      </c>
      <c r="B328" s="9" t="s">
        <v>1057</v>
      </c>
      <c r="C328" s="92" t="s">
        <v>27</v>
      </c>
      <c r="D328" s="18">
        <v>502.4</v>
      </c>
      <c r="E328" s="11" t="s">
        <v>1040</v>
      </c>
      <c r="F328" s="9" t="s">
        <v>1180</v>
      </c>
      <c r="G328" s="9"/>
    </row>
    <row r="329" spans="1:7" x14ac:dyDescent="0.2">
      <c r="A329" s="9" t="s">
        <v>1056</v>
      </c>
      <c r="B329" s="11" t="s">
        <v>1059</v>
      </c>
      <c r="C329" s="92" t="s">
        <v>27</v>
      </c>
      <c r="D329" s="17">
        <v>72244</v>
      </c>
      <c r="E329" s="11" t="s">
        <v>1040</v>
      </c>
      <c r="F329" s="9" t="s">
        <v>1052</v>
      </c>
      <c r="G329" s="9"/>
    </row>
    <row r="330" spans="1:7" x14ac:dyDescent="0.2">
      <c r="A330" s="9" t="s">
        <v>1056</v>
      </c>
      <c r="B330" s="11" t="s">
        <v>1060</v>
      </c>
      <c r="C330" s="92" t="s">
        <v>27</v>
      </c>
      <c r="D330" s="17">
        <v>65888</v>
      </c>
      <c r="E330" s="11" t="s">
        <v>1040</v>
      </c>
      <c r="F330" s="9" t="s">
        <v>1052</v>
      </c>
      <c r="G330" s="9"/>
    </row>
    <row r="331" spans="1:7" x14ac:dyDescent="0.2">
      <c r="A331" s="9" t="s">
        <v>1056</v>
      </c>
      <c r="B331" s="9" t="s">
        <v>1057</v>
      </c>
      <c r="C331" s="92" t="s">
        <v>27</v>
      </c>
      <c r="D331" s="12">
        <v>476235.42</v>
      </c>
      <c r="E331" s="11" t="s">
        <v>1040</v>
      </c>
      <c r="F331" s="9" t="s">
        <v>1128</v>
      </c>
      <c r="G331" s="9"/>
    </row>
    <row r="332" spans="1:7" x14ac:dyDescent="0.2">
      <c r="A332" s="9" t="s">
        <v>1061</v>
      </c>
      <c r="B332" s="9" t="s">
        <v>1039</v>
      </c>
      <c r="C332" s="92" t="s">
        <v>27</v>
      </c>
      <c r="D332" s="13">
        <v>500000</v>
      </c>
      <c r="E332" s="11" t="s">
        <v>1040</v>
      </c>
      <c r="F332" s="9" t="s">
        <v>1062</v>
      </c>
      <c r="G332" s="9"/>
    </row>
    <row r="333" spans="1:7" x14ac:dyDescent="0.2">
      <c r="A333" s="9" t="s">
        <v>1061</v>
      </c>
      <c r="B333" s="9" t="s">
        <v>1065</v>
      </c>
      <c r="C333" s="92" t="s">
        <v>27</v>
      </c>
      <c r="D333" s="13">
        <v>650000</v>
      </c>
      <c r="E333" s="11" t="s">
        <v>1040</v>
      </c>
      <c r="F333" s="9" t="s">
        <v>1064</v>
      </c>
      <c r="G333" s="9"/>
    </row>
    <row r="334" spans="1:7" x14ac:dyDescent="0.2">
      <c r="A334" s="9" t="s">
        <v>1061</v>
      </c>
      <c r="B334" s="9" t="s">
        <v>1063</v>
      </c>
      <c r="C334" s="92" t="s">
        <v>27</v>
      </c>
      <c r="D334" s="13">
        <v>393000</v>
      </c>
      <c r="E334" s="11" t="s">
        <v>1040</v>
      </c>
      <c r="F334" s="9" t="s">
        <v>1064</v>
      </c>
      <c r="G334" s="9"/>
    </row>
    <row r="335" spans="1:7" x14ac:dyDescent="0.2">
      <c r="A335" s="9" t="s">
        <v>1061</v>
      </c>
      <c r="B335" s="9" t="s">
        <v>1065</v>
      </c>
      <c r="C335" s="92" t="s">
        <v>27</v>
      </c>
      <c r="D335" s="145">
        <v>570849.67379999999</v>
      </c>
      <c r="E335" s="11" t="s">
        <v>1040</v>
      </c>
      <c r="F335" s="9" t="s">
        <v>168</v>
      </c>
      <c r="G335" s="9" t="s">
        <v>1178</v>
      </c>
    </row>
    <row r="336" spans="1:7" x14ac:dyDescent="0.2">
      <c r="A336" s="9" t="s">
        <v>1061</v>
      </c>
      <c r="B336" s="9" t="s">
        <v>1063</v>
      </c>
      <c r="C336" s="92" t="s">
        <v>27</v>
      </c>
      <c r="D336" s="145">
        <v>384589.8</v>
      </c>
      <c r="E336" s="11" t="s">
        <v>1040</v>
      </c>
      <c r="F336" s="9" t="s">
        <v>168</v>
      </c>
      <c r="G336" s="9" t="s">
        <v>1178</v>
      </c>
    </row>
    <row r="337" spans="1:7" x14ac:dyDescent="0.2">
      <c r="A337" s="9" t="s">
        <v>1066</v>
      </c>
      <c r="B337" s="9" t="s">
        <v>1039</v>
      </c>
      <c r="C337" s="92" t="s">
        <v>27</v>
      </c>
      <c r="D337" s="141">
        <v>66446.94</v>
      </c>
      <c r="E337" s="11" t="s">
        <v>1040</v>
      </c>
      <c r="F337" s="9" t="s">
        <v>1098</v>
      </c>
      <c r="G337" s="9" t="s">
        <v>1178</v>
      </c>
    </row>
    <row r="338" spans="1:7" x14ac:dyDescent="0.2">
      <c r="A338" s="9" t="s">
        <v>1066</v>
      </c>
      <c r="B338" s="9" t="s">
        <v>1039</v>
      </c>
      <c r="C338" s="92" t="s">
        <v>27</v>
      </c>
      <c r="D338" s="141">
        <v>66466.512000000002</v>
      </c>
      <c r="E338" s="11" t="s">
        <v>1040</v>
      </c>
      <c r="F338" s="9" t="s">
        <v>1048</v>
      </c>
      <c r="G338" s="9" t="s">
        <v>1178</v>
      </c>
    </row>
    <row r="339" spans="1:7" x14ac:dyDescent="0.2">
      <c r="A339" s="9" t="s">
        <v>1066</v>
      </c>
      <c r="B339" s="9" t="s">
        <v>1154</v>
      </c>
      <c r="C339" s="92" t="s">
        <v>27</v>
      </c>
      <c r="D339" s="148">
        <v>66446.94</v>
      </c>
      <c r="E339" s="11" t="s">
        <v>1040</v>
      </c>
      <c r="F339" s="9" t="s">
        <v>1098</v>
      </c>
      <c r="G339" s="9" t="s">
        <v>1178</v>
      </c>
    </row>
    <row r="340" spans="1:7" x14ac:dyDescent="0.2">
      <c r="A340" s="9" t="s">
        <v>1066</v>
      </c>
      <c r="B340" s="9" t="s">
        <v>1122</v>
      </c>
      <c r="C340" s="92" t="s">
        <v>27</v>
      </c>
      <c r="D340" s="148">
        <v>66446.94</v>
      </c>
      <c r="E340" s="11" t="s">
        <v>1040</v>
      </c>
      <c r="F340" s="9" t="s">
        <v>1098</v>
      </c>
      <c r="G340" s="9" t="s">
        <v>1178</v>
      </c>
    </row>
    <row r="341" spans="1:7" x14ac:dyDescent="0.2">
      <c r="A341" s="9" t="s">
        <v>1066</v>
      </c>
      <c r="B341" s="11" t="s">
        <v>1155</v>
      </c>
      <c r="C341" s="92" t="s">
        <v>27</v>
      </c>
      <c r="D341" s="148">
        <v>66446.94</v>
      </c>
      <c r="E341" s="11" t="s">
        <v>1040</v>
      </c>
      <c r="F341" s="9" t="s">
        <v>1098</v>
      </c>
      <c r="G341" s="9" t="s">
        <v>1178</v>
      </c>
    </row>
    <row r="342" spans="1:7" x14ac:dyDescent="0.2">
      <c r="A342" s="9" t="s">
        <v>1066</v>
      </c>
      <c r="B342" s="9" t="s">
        <v>1068</v>
      </c>
      <c r="C342" s="92" t="s">
        <v>27</v>
      </c>
      <c r="D342" s="141">
        <v>66446.94</v>
      </c>
      <c r="E342" s="11" t="s">
        <v>1040</v>
      </c>
      <c r="F342" s="9" t="s">
        <v>1098</v>
      </c>
      <c r="G342" s="9" t="s">
        <v>1178</v>
      </c>
    </row>
    <row r="343" spans="1:7" ht="64" customHeight="1" x14ac:dyDescent="0.2">
      <c r="A343" s="9" t="s">
        <v>1066</v>
      </c>
      <c r="B343" s="9" t="s">
        <v>1068</v>
      </c>
      <c r="C343" s="92" t="s">
        <v>27</v>
      </c>
      <c r="D343" s="141">
        <v>90926.9</v>
      </c>
      <c r="E343" s="11" t="s">
        <v>1040</v>
      </c>
      <c r="F343" s="6" t="s">
        <v>1070</v>
      </c>
      <c r="G343" s="9"/>
    </row>
    <row r="344" spans="1:7" ht="64" customHeight="1" x14ac:dyDescent="0.2">
      <c r="A344" s="9" t="s">
        <v>1066</v>
      </c>
      <c r="B344" s="9" t="s">
        <v>1068</v>
      </c>
      <c r="C344" s="92" t="s">
        <v>27</v>
      </c>
      <c r="D344" s="141">
        <v>65137.181759999999</v>
      </c>
      <c r="E344" s="11" t="s">
        <v>1040</v>
      </c>
      <c r="F344" s="6" t="s">
        <v>1070</v>
      </c>
      <c r="G344" s="9" t="s">
        <v>1178</v>
      </c>
    </row>
    <row r="345" spans="1:7" x14ac:dyDescent="0.2">
      <c r="A345" s="9" t="s">
        <v>1066</v>
      </c>
      <c r="B345" s="9" t="s">
        <v>1077</v>
      </c>
      <c r="C345" s="92" t="s">
        <v>27</v>
      </c>
      <c r="D345" s="152">
        <v>1174320</v>
      </c>
      <c r="E345" s="11" t="s">
        <v>1040</v>
      </c>
      <c r="F345" s="9" t="s">
        <v>168</v>
      </c>
      <c r="G345" s="9" t="s">
        <v>1181</v>
      </c>
    </row>
    <row r="346" spans="1:7" x14ac:dyDescent="0.2">
      <c r="A346" s="9" t="s">
        <v>1093</v>
      </c>
      <c r="B346" s="9" t="s">
        <v>61</v>
      </c>
      <c r="C346" s="92" t="s">
        <v>27</v>
      </c>
      <c r="D346" s="157">
        <v>902171.34</v>
      </c>
      <c r="E346" s="11" t="s">
        <v>177</v>
      </c>
      <c r="F346" s="9" t="s">
        <v>1094</v>
      </c>
      <c r="G346" s="9"/>
    </row>
    <row r="347" spans="1:7" x14ac:dyDescent="0.2">
      <c r="A347" s="9" t="s">
        <v>1093</v>
      </c>
      <c r="B347" s="9" t="s">
        <v>1</v>
      </c>
      <c r="C347" s="92" t="s">
        <v>27</v>
      </c>
      <c r="D347" s="157">
        <v>902171.34</v>
      </c>
      <c r="E347" s="11" t="s">
        <v>177</v>
      </c>
      <c r="F347" s="9" t="s">
        <v>1094</v>
      </c>
      <c r="G347" s="9"/>
    </row>
    <row r="348" spans="1:7" x14ac:dyDescent="0.2">
      <c r="A348" s="9" t="s">
        <v>1093</v>
      </c>
      <c r="B348" s="9" t="s">
        <v>60</v>
      </c>
      <c r="C348" s="92" t="s">
        <v>27</v>
      </c>
      <c r="D348" s="157">
        <v>902171.34</v>
      </c>
      <c r="E348" s="11" t="s">
        <v>177</v>
      </c>
      <c r="F348" s="9" t="s">
        <v>1094</v>
      </c>
      <c r="G348" s="9"/>
    </row>
    <row r="349" spans="1:7" x14ac:dyDescent="0.2">
      <c r="A349" s="9" t="s">
        <v>1096</v>
      </c>
      <c r="B349" s="9" t="s">
        <v>1039</v>
      </c>
      <c r="C349" s="92" t="s">
        <v>27</v>
      </c>
      <c r="D349" s="181">
        <v>140000</v>
      </c>
      <c r="E349" s="11" t="s">
        <v>1040</v>
      </c>
      <c r="F349" s="9" t="s">
        <v>1126</v>
      </c>
      <c r="G349" s="9"/>
    </row>
    <row r="350" spans="1:7" x14ac:dyDescent="0.2">
      <c r="A350" s="9" t="s">
        <v>1096</v>
      </c>
      <c r="B350" s="9" t="s">
        <v>1097</v>
      </c>
      <c r="C350" s="92" t="s">
        <v>27</v>
      </c>
      <c r="D350" s="185">
        <v>20100</v>
      </c>
      <c r="E350" s="11" t="s">
        <v>1040</v>
      </c>
      <c r="F350" s="9" t="s">
        <v>1098</v>
      </c>
      <c r="G350" s="9" t="s">
        <v>1099</v>
      </c>
    </row>
    <row r="351" spans="1:7" x14ac:dyDescent="0.2">
      <c r="A351" s="9" t="s">
        <v>1096</v>
      </c>
      <c r="B351" s="9" t="s">
        <v>1097</v>
      </c>
      <c r="C351" s="92" t="s">
        <v>27</v>
      </c>
      <c r="D351" s="185">
        <v>129175.2</v>
      </c>
      <c r="E351" s="11" t="s">
        <v>1040</v>
      </c>
      <c r="F351" s="9" t="s">
        <v>1098</v>
      </c>
      <c r="G351" s="9" t="s">
        <v>1182</v>
      </c>
    </row>
    <row r="352" spans="1:7" x14ac:dyDescent="0.2">
      <c r="A352" s="9" t="s">
        <v>1096</v>
      </c>
      <c r="B352" s="9" t="s">
        <v>1100</v>
      </c>
      <c r="C352" s="92" t="s">
        <v>27</v>
      </c>
      <c r="D352" s="185">
        <v>20100</v>
      </c>
      <c r="E352" s="11" t="s">
        <v>1040</v>
      </c>
      <c r="F352" s="9" t="s">
        <v>1098</v>
      </c>
      <c r="G352" s="9" t="s">
        <v>1101</v>
      </c>
    </row>
    <row r="353" spans="1:7" x14ac:dyDescent="0.2">
      <c r="A353" s="9" t="s">
        <v>1096</v>
      </c>
      <c r="B353" s="9" t="s">
        <v>1100</v>
      </c>
      <c r="C353" s="92" t="s">
        <v>27</v>
      </c>
      <c r="D353" s="185">
        <v>116942.7</v>
      </c>
      <c r="E353" s="11" t="s">
        <v>1040</v>
      </c>
      <c r="F353" s="9" t="s">
        <v>1098</v>
      </c>
      <c r="G353" s="9" t="s">
        <v>1183</v>
      </c>
    </row>
    <row r="354" spans="1:7" x14ac:dyDescent="0.2">
      <c r="A354" s="9" t="s">
        <v>1096</v>
      </c>
      <c r="B354" s="9" t="s">
        <v>1102</v>
      </c>
      <c r="C354" s="92" t="s">
        <v>27</v>
      </c>
      <c r="D354" s="185">
        <v>138973</v>
      </c>
      <c r="E354" s="11" t="s">
        <v>1040</v>
      </c>
      <c r="F354" s="36" t="s">
        <v>1103</v>
      </c>
      <c r="G354" s="9"/>
    </row>
    <row r="355" spans="1:7" x14ac:dyDescent="0.2">
      <c r="A355" s="9" t="s">
        <v>1096</v>
      </c>
      <c r="B355" s="9" t="s">
        <v>1104</v>
      </c>
      <c r="C355" s="92" t="s">
        <v>27</v>
      </c>
      <c r="D355" s="185">
        <v>91897</v>
      </c>
      <c r="E355" s="11" t="s">
        <v>1040</v>
      </c>
      <c r="F355" s="36" t="s">
        <v>1103</v>
      </c>
      <c r="G355" s="9"/>
    </row>
    <row r="356" spans="1:7" x14ac:dyDescent="0.2">
      <c r="A356" s="9" t="s">
        <v>1096</v>
      </c>
      <c r="B356" s="9" t="s">
        <v>1105</v>
      </c>
      <c r="C356" s="92" t="s">
        <v>27</v>
      </c>
      <c r="D356" s="185">
        <v>104480.22900000001</v>
      </c>
      <c r="E356" s="11" t="s">
        <v>1040</v>
      </c>
      <c r="F356" s="9" t="s">
        <v>1069</v>
      </c>
      <c r="G356" s="9" t="s">
        <v>1178</v>
      </c>
    </row>
    <row r="357" spans="1:7" x14ac:dyDescent="0.2">
      <c r="A357" s="9" t="s">
        <v>1096</v>
      </c>
      <c r="B357" s="9" t="s">
        <v>1106</v>
      </c>
      <c r="C357" s="92" t="s">
        <v>27</v>
      </c>
      <c r="D357" s="185">
        <v>18000</v>
      </c>
      <c r="E357" s="11" t="s">
        <v>1040</v>
      </c>
      <c r="F357" s="9" t="s">
        <v>1098</v>
      </c>
      <c r="G357" s="9" t="s">
        <v>1107</v>
      </c>
    </row>
    <row r="358" spans="1:7" x14ac:dyDescent="0.2">
      <c r="A358" s="9" t="s">
        <v>1096</v>
      </c>
      <c r="B358" s="9" t="s">
        <v>1106</v>
      </c>
      <c r="C358" s="92" t="s">
        <v>27</v>
      </c>
      <c r="D358" s="180">
        <v>110581.8</v>
      </c>
      <c r="E358" s="11" t="s">
        <v>1040</v>
      </c>
      <c r="F358" s="9" t="s">
        <v>1098</v>
      </c>
      <c r="G358" s="9" t="s">
        <v>1184</v>
      </c>
    </row>
    <row r="359" spans="1:7" x14ac:dyDescent="0.2">
      <c r="A359" s="9" t="s">
        <v>1096</v>
      </c>
      <c r="B359" s="9" t="s">
        <v>1108</v>
      </c>
      <c r="C359" s="92" t="s">
        <v>27</v>
      </c>
      <c r="D359" s="185">
        <v>20800</v>
      </c>
      <c r="E359" s="11" t="s">
        <v>1040</v>
      </c>
      <c r="F359" s="9" t="s">
        <v>1098</v>
      </c>
      <c r="G359" s="9" t="s">
        <v>1109</v>
      </c>
    </row>
    <row r="360" spans="1:7" x14ac:dyDescent="0.2">
      <c r="A360" s="9" t="s">
        <v>1096</v>
      </c>
      <c r="B360" s="9" t="s">
        <v>1108</v>
      </c>
      <c r="C360" s="92" t="s">
        <v>27</v>
      </c>
      <c r="D360" s="185">
        <v>104710.2</v>
      </c>
      <c r="E360" s="11" t="s">
        <v>1040</v>
      </c>
      <c r="F360" s="9" t="s">
        <v>1098</v>
      </c>
      <c r="G360" s="9" t="s">
        <v>1185</v>
      </c>
    </row>
    <row r="361" spans="1:7" x14ac:dyDescent="0.2">
      <c r="A361" s="9" t="s">
        <v>1096</v>
      </c>
      <c r="B361" s="9" t="s">
        <v>1110</v>
      </c>
      <c r="C361" s="92" t="s">
        <v>27</v>
      </c>
      <c r="D361" s="182">
        <v>434274.98561999988</v>
      </c>
      <c r="E361" s="11" t="s">
        <v>1040</v>
      </c>
      <c r="F361" s="9" t="s">
        <v>1048</v>
      </c>
      <c r="G361" s="9" t="s">
        <v>1178</v>
      </c>
    </row>
    <row r="362" spans="1:7" x14ac:dyDescent="0.2">
      <c r="A362" s="9" t="s">
        <v>1096</v>
      </c>
      <c r="B362" s="9" t="s">
        <v>1110</v>
      </c>
      <c r="C362" s="92" t="s">
        <v>27</v>
      </c>
      <c r="D362" s="182">
        <v>326363.09999999998</v>
      </c>
      <c r="E362" s="11" t="s">
        <v>1040</v>
      </c>
      <c r="F362" s="9" t="s">
        <v>168</v>
      </c>
      <c r="G362" s="9" t="s">
        <v>1178</v>
      </c>
    </row>
    <row r="363" spans="1:7" x14ac:dyDescent="0.2">
      <c r="A363" s="9" t="s">
        <v>1096</v>
      </c>
      <c r="B363" s="9" t="s">
        <v>1112</v>
      </c>
      <c r="C363" s="92" t="s">
        <v>27</v>
      </c>
      <c r="D363" s="183">
        <v>118459.82358</v>
      </c>
      <c r="E363" s="11" t="s">
        <v>1040</v>
      </c>
      <c r="F363" s="9" t="s">
        <v>1048</v>
      </c>
      <c r="G363" s="9" t="s">
        <v>1178</v>
      </c>
    </row>
    <row r="364" spans="1:7" x14ac:dyDescent="0.2">
      <c r="A364" s="9" t="s">
        <v>1096</v>
      </c>
      <c r="B364" s="9" t="s">
        <v>1112</v>
      </c>
      <c r="C364" s="92" t="s">
        <v>27</v>
      </c>
      <c r="D364" s="183">
        <v>117417.321</v>
      </c>
      <c r="E364" s="11" t="s">
        <v>1040</v>
      </c>
      <c r="F364" s="9" t="s">
        <v>168</v>
      </c>
      <c r="G364" s="9" t="s">
        <v>1178</v>
      </c>
    </row>
    <row r="365" spans="1:7" x14ac:dyDescent="0.2">
      <c r="A365" s="9" t="s">
        <v>1096</v>
      </c>
      <c r="B365" s="9" t="s">
        <v>1113</v>
      </c>
      <c r="C365" s="92" t="s">
        <v>27</v>
      </c>
      <c r="D365" s="180">
        <v>122780</v>
      </c>
      <c r="E365" s="11" t="s">
        <v>1040</v>
      </c>
      <c r="F365" s="9" t="s">
        <v>1114</v>
      </c>
      <c r="G365" s="9"/>
    </row>
    <row r="366" spans="1:7" x14ac:dyDescent="0.2">
      <c r="A366" s="9" t="s">
        <v>144</v>
      </c>
      <c r="B366" s="9" t="s">
        <v>1039</v>
      </c>
      <c r="C366" s="92" t="s">
        <v>27</v>
      </c>
      <c r="D366" s="16">
        <v>45000</v>
      </c>
      <c r="E366" s="11" t="s">
        <v>1040</v>
      </c>
      <c r="F366" s="9" t="s">
        <v>1128</v>
      </c>
      <c r="G366" s="9"/>
    </row>
    <row r="367" spans="1:7" x14ac:dyDescent="0.2">
      <c r="A367" s="9" t="s">
        <v>137</v>
      </c>
      <c r="B367" s="9" t="s">
        <v>1039</v>
      </c>
      <c r="C367" s="92" t="s">
        <v>28</v>
      </c>
      <c r="D367" s="17">
        <v>104</v>
      </c>
      <c r="E367" s="11" t="s">
        <v>1040</v>
      </c>
      <c r="F367" s="9" t="s">
        <v>1041</v>
      </c>
      <c r="G367" s="9"/>
    </row>
    <row r="368" spans="1:7" x14ac:dyDescent="0.2">
      <c r="A368" s="9" t="s">
        <v>137</v>
      </c>
      <c r="B368" s="9" t="s">
        <v>1044</v>
      </c>
      <c r="C368" s="92" t="s">
        <v>28</v>
      </c>
      <c r="D368" s="18">
        <v>4</v>
      </c>
      <c r="E368" s="11" t="s">
        <v>1040</v>
      </c>
      <c r="F368" s="9" t="s">
        <v>1045</v>
      </c>
      <c r="G368" s="9"/>
    </row>
    <row r="369" spans="1:7" x14ac:dyDescent="0.2">
      <c r="A369" s="9" t="s">
        <v>1046</v>
      </c>
      <c r="B369" s="9" t="s">
        <v>1051</v>
      </c>
      <c r="C369" s="92" t="s">
        <v>28</v>
      </c>
      <c r="D369" s="15">
        <v>5</v>
      </c>
      <c r="E369" s="11" t="s">
        <v>1040</v>
      </c>
      <c r="F369" s="9" t="s">
        <v>1052</v>
      </c>
      <c r="G369" s="9"/>
    </row>
    <row r="370" spans="1:7" x14ac:dyDescent="0.2">
      <c r="A370" s="9" t="s">
        <v>1046</v>
      </c>
      <c r="B370" s="9" t="s">
        <v>1053</v>
      </c>
      <c r="C370" s="92" t="s">
        <v>28</v>
      </c>
      <c r="D370" s="15">
        <v>9</v>
      </c>
      <c r="E370" s="11" t="s">
        <v>1040</v>
      </c>
      <c r="F370" s="9" t="s">
        <v>1052</v>
      </c>
      <c r="G370" s="9"/>
    </row>
    <row r="371" spans="1:7" x14ac:dyDescent="0.2">
      <c r="A371" s="9" t="s">
        <v>138</v>
      </c>
      <c r="B371" s="9" t="s">
        <v>1039</v>
      </c>
      <c r="C371" s="92" t="s">
        <v>28</v>
      </c>
      <c r="D371" s="16">
        <v>416</v>
      </c>
      <c r="E371" s="11" t="s">
        <v>1040</v>
      </c>
      <c r="F371" s="9" t="s">
        <v>1052</v>
      </c>
      <c r="G371" s="9"/>
    </row>
    <row r="372" spans="1:7" x14ac:dyDescent="0.2">
      <c r="A372" s="9" t="s">
        <v>1055</v>
      </c>
      <c r="B372" s="11" t="s">
        <v>1039</v>
      </c>
      <c r="C372" s="92" t="s">
        <v>28</v>
      </c>
      <c r="D372" s="85">
        <v>300</v>
      </c>
      <c r="E372" s="11" t="s">
        <v>1040</v>
      </c>
      <c r="F372" s="9" t="s">
        <v>1041</v>
      </c>
      <c r="G372" s="9"/>
    </row>
    <row r="373" spans="1:7" x14ac:dyDescent="0.2">
      <c r="A373" s="9" t="s">
        <v>1055</v>
      </c>
      <c r="B373" s="11" t="s">
        <v>1039</v>
      </c>
      <c r="C373" s="92" t="s">
        <v>28</v>
      </c>
      <c r="D373" s="85">
        <v>59</v>
      </c>
      <c r="E373" s="11" t="s">
        <v>1040</v>
      </c>
      <c r="F373" s="9" t="s">
        <v>1052</v>
      </c>
      <c r="G373" s="9"/>
    </row>
    <row r="374" spans="1:7" x14ac:dyDescent="0.2">
      <c r="A374" s="9" t="s">
        <v>1056</v>
      </c>
      <c r="B374" s="9" t="s">
        <v>1057</v>
      </c>
      <c r="C374" s="92" t="s">
        <v>28</v>
      </c>
      <c r="D374" s="12">
        <v>491.69888000000009</v>
      </c>
      <c r="E374" s="11" t="s">
        <v>1040</v>
      </c>
      <c r="F374" s="9" t="s">
        <v>1058</v>
      </c>
      <c r="G374" s="9"/>
    </row>
    <row r="375" spans="1:7" x14ac:dyDescent="0.2">
      <c r="A375" s="9" t="s">
        <v>1056</v>
      </c>
      <c r="B375" s="9" t="s">
        <v>1057</v>
      </c>
      <c r="C375" s="92" t="s">
        <v>28</v>
      </c>
      <c r="D375" s="12">
        <v>4</v>
      </c>
      <c r="E375" s="11" t="s">
        <v>1040</v>
      </c>
      <c r="F375" s="9" t="s">
        <v>1128</v>
      </c>
      <c r="G375" s="9"/>
    </row>
    <row r="376" spans="1:7" x14ac:dyDescent="0.2">
      <c r="A376" s="9" t="s">
        <v>1056</v>
      </c>
      <c r="B376" s="11" t="s">
        <v>1059</v>
      </c>
      <c r="C376" s="92" t="s">
        <v>28</v>
      </c>
      <c r="D376" s="12">
        <v>20</v>
      </c>
      <c r="E376" s="11" t="s">
        <v>1040</v>
      </c>
      <c r="F376" s="9" t="s">
        <v>1052</v>
      </c>
      <c r="G376" s="9"/>
    </row>
    <row r="377" spans="1:7" x14ac:dyDescent="0.2">
      <c r="A377" s="9" t="s">
        <v>1056</v>
      </c>
      <c r="B377" s="11" t="s">
        <v>1060</v>
      </c>
      <c r="C377" s="92" t="s">
        <v>28</v>
      </c>
      <c r="D377" s="12">
        <v>11</v>
      </c>
      <c r="E377" s="11" t="s">
        <v>1040</v>
      </c>
      <c r="F377" s="9" t="s">
        <v>1052</v>
      </c>
      <c r="G377" s="9"/>
    </row>
    <row r="378" spans="1:7" x14ac:dyDescent="0.2">
      <c r="A378" s="9" t="s">
        <v>1066</v>
      </c>
      <c r="B378" s="9" t="s">
        <v>1122</v>
      </c>
      <c r="C378" s="92" t="s">
        <v>28</v>
      </c>
      <c r="D378" s="19">
        <v>8</v>
      </c>
      <c r="E378" s="11" t="s">
        <v>1040</v>
      </c>
      <c r="F378" s="9" t="s">
        <v>1160</v>
      </c>
      <c r="G378" s="9"/>
    </row>
    <row r="379" spans="1:7" x14ac:dyDescent="0.2">
      <c r="A379" s="9" t="s">
        <v>1066</v>
      </c>
      <c r="B379" s="9" t="s">
        <v>1122</v>
      </c>
      <c r="C379" s="92" t="s">
        <v>28</v>
      </c>
      <c r="D379" s="147">
        <v>8</v>
      </c>
      <c r="E379" s="11" t="s">
        <v>1040</v>
      </c>
      <c r="F379" s="9" t="s">
        <v>168</v>
      </c>
      <c r="G379" s="9" t="s">
        <v>1111</v>
      </c>
    </row>
    <row r="380" spans="1:7" x14ac:dyDescent="0.2">
      <c r="A380" s="9" t="s">
        <v>1066</v>
      </c>
      <c r="B380" s="9" t="s">
        <v>1068</v>
      </c>
      <c r="C380" s="92" t="s">
        <v>28</v>
      </c>
      <c r="D380" s="19">
        <v>6</v>
      </c>
      <c r="E380" s="11" t="s">
        <v>1040</v>
      </c>
      <c r="F380" s="9" t="s">
        <v>1160</v>
      </c>
      <c r="G380" s="9"/>
    </row>
    <row r="381" spans="1:7" x14ac:dyDescent="0.2">
      <c r="A381" s="9" t="s">
        <v>1066</v>
      </c>
      <c r="B381" s="9" t="s">
        <v>1068</v>
      </c>
      <c r="C381" s="92" t="s">
        <v>28</v>
      </c>
      <c r="D381" s="19" t="s">
        <v>1186</v>
      </c>
      <c r="E381" s="11" t="s">
        <v>1040</v>
      </c>
      <c r="F381" s="9" t="s">
        <v>1069</v>
      </c>
      <c r="G381" s="9"/>
    </row>
    <row r="382" spans="1:7" x14ac:dyDescent="0.2">
      <c r="A382" s="9" t="s">
        <v>1066</v>
      </c>
      <c r="B382" s="9" t="s">
        <v>1068</v>
      </c>
      <c r="C382" s="92" t="s">
        <v>28</v>
      </c>
      <c r="D382" s="147">
        <v>39</v>
      </c>
      <c r="E382" s="11" t="s">
        <v>1040</v>
      </c>
      <c r="F382" s="9" t="s">
        <v>168</v>
      </c>
      <c r="G382" s="9" t="s">
        <v>1111</v>
      </c>
    </row>
    <row r="383" spans="1:7" x14ac:dyDescent="0.2">
      <c r="A383" s="9" t="s">
        <v>1066</v>
      </c>
      <c r="B383" s="9" t="s">
        <v>1068</v>
      </c>
      <c r="C383" s="92" t="s">
        <v>28</v>
      </c>
      <c r="D383" s="19">
        <v>72</v>
      </c>
      <c r="E383" s="11" t="s">
        <v>1040</v>
      </c>
      <c r="F383" s="9" t="s">
        <v>1076</v>
      </c>
      <c r="G383" s="9"/>
    </row>
    <row r="384" spans="1:7" ht="64" customHeight="1" x14ac:dyDescent="0.2">
      <c r="A384" s="9" t="s">
        <v>1066</v>
      </c>
      <c r="B384" s="9" t="s">
        <v>1068</v>
      </c>
      <c r="C384" s="92" t="s">
        <v>28</v>
      </c>
      <c r="D384" s="152">
        <v>550.28</v>
      </c>
      <c r="E384" s="11" t="s">
        <v>1040</v>
      </c>
      <c r="F384" s="6" t="s">
        <v>1070</v>
      </c>
      <c r="G384" s="9"/>
    </row>
    <row r="385" spans="1:7" x14ac:dyDescent="0.2">
      <c r="A385" s="9" t="s">
        <v>1093</v>
      </c>
      <c r="B385" s="9" t="s">
        <v>61</v>
      </c>
      <c r="C385" s="92" t="s">
        <v>28</v>
      </c>
      <c r="D385" s="15">
        <v>310</v>
      </c>
      <c r="E385" s="11" t="s">
        <v>177</v>
      </c>
      <c r="F385" s="9" t="s">
        <v>178</v>
      </c>
      <c r="G385" s="9"/>
    </row>
    <row r="386" spans="1:7" x14ac:dyDescent="0.2">
      <c r="A386" s="9" t="s">
        <v>1093</v>
      </c>
      <c r="B386" s="9" t="s">
        <v>1</v>
      </c>
      <c r="C386" s="92" t="s">
        <v>28</v>
      </c>
      <c r="D386" s="15">
        <v>300</v>
      </c>
      <c r="E386" s="11" t="s">
        <v>177</v>
      </c>
      <c r="F386" s="9" t="s">
        <v>178</v>
      </c>
      <c r="G386" s="9"/>
    </row>
    <row r="387" spans="1:7" x14ac:dyDescent="0.2">
      <c r="A387" s="9" t="s">
        <v>1093</v>
      </c>
      <c r="B387" s="9" t="s">
        <v>60</v>
      </c>
      <c r="C387" s="92" t="s">
        <v>28</v>
      </c>
      <c r="D387" s="15">
        <v>320</v>
      </c>
      <c r="E387" s="11" t="s">
        <v>177</v>
      </c>
      <c r="F387" s="9" t="s">
        <v>178</v>
      </c>
      <c r="G387" s="9"/>
    </row>
    <row r="388" spans="1:7" x14ac:dyDescent="0.2">
      <c r="A388" s="9" t="s">
        <v>1096</v>
      </c>
      <c r="B388" s="9" t="s">
        <v>1110</v>
      </c>
      <c r="C388" s="92" t="s">
        <v>28</v>
      </c>
      <c r="D388" s="180" t="s">
        <v>1187</v>
      </c>
      <c r="E388" s="11" t="s">
        <v>1040</v>
      </c>
      <c r="F388" s="9" t="s">
        <v>1069</v>
      </c>
      <c r="G388" s="9"/>
    </row>
    <row r="389" spans="1:7" x14ac:dyDescent="0.2">
      <c r="A389" s="9" t="s">
        <v>1078</v>
      </c>
      <c r="B389" s="9" t="s">
        <v>1079</v>
      </c>
      <c r="C389" s="92" t="s">
        <v>29</v>
      </c>
      <c r="D389" s="13">
        <v>104.2917482653034</v>
      </c>
      <c r="E389" s="9" t="s">
        <v>194</v>
      </c>
      <c r="F389" s="138" t="s">
        <v>1080</v>
      </c>
      <c r="G389" s="9" t="s">
        <v>1081</v>
      </c>
    </row>
    <row r="390" spans="1:7" x14ac:dyDescent="0.2">
      <c r="A390" s="9" t="s">
        <v>1078</v>
      </c>
      <c r="B390" s="9" t="s">
        <v>1079</v>
      </c>
      <c r="C390" s="92" t="s">
        <v>29</v>
      </c>
      <c r="D390" s="19">
        <v>510.8399423217781</v>
      </c>
      <c r="E390" s="9" t="s">
        <v>194</v>
      </c>
      <c r="F390" s="9" t="s">
        <v>195</v>
      </c>
      <c r="G390" s="9" t="s">
        <v>1131</v>
      </c>
    </row>
    <row r="391" spans="1:7" x14ac:dyDescent="0.2">
      <c r="A391" s="9" t="s">
        <v>1078</v>
      </c>
      <c r="B391" s="9" t="s">
        <v>1079</v>
      </c>
      <c r="C391" s="92" t="s">
        <v>29</v>
      </c>
      <c r="D391" s="13">
        <v>170</v>
      </c>
      <c r="E391" s="9" t="s">
        <v>194</v>
      </c>
      <c r="F391" s="9" t="s">
        <v>1132</v>
      </c>
      <c r="G391" s="9"/>
    </row>
    <row r="392" spans="1:7" x14ac:dyDescent="0.2">
      <c r="A392" s="9" t="s">
        <v>1078</v>
      </c>
      <c r="B392" s="9" t="s">
        <v>1079</v>
      </c>
      <c r="C392" s="92" t="s">
        <v>29</v>
      </c>
      <c r="D392" s="13">
        <v>111.25</v>
      </c>
      <c r="E392" s="9" t="s">
        <v>194</v>
      </c>
      <c r="F392" s="9" t="s">
        <v>1138</v>
      </c>
      <c r="G392" s="9"/>
    </row>
    <row r="393" spans="1:7" x14ac:dyDescent="0.2">
      <c r="A393" s="9" t="s">
        <v>1078</v>
      </c>
      <c r="B393" s="9" t="s">
        <v>1133</v>
      </c>
      <c r="C393" s="92" t="s">
        <v>29</v>
      </c>
      <c r="D393" s="15">
        <v>519.64759704790811</v>
      </c>
      <c r="E393" s="9" t="s">
        <v>194</v>
      </c>
      <c r="F393" s="9" t="s">
        <v>195</v>
      </c>
      <c r="G393" s="9" t="s">
        <v>1134</v>
      </c>
    </row>
    <row r="394" spans="1:7" x14ac:dyDescent="0.2">
      <c r="A394" s="9" t="s">
        <v>1078</v>
      </c>
      <c r="B394" s="9" t="s">
        <v>1135</v>
      </c>
      <c r="C394" s="92" t="s">
        <v>29</v>
      </c>
      <c r="D394" s="19">
        <v>113</v>
      </c>
      <c r="E394" s="9" t="s">
        <v>194</v>
      </c>
      <c r="F394" s="9" t="s">
        <v>1132</v>
      </c>
      <c r="G394" s="9"/>
    </row>
    <row r="395" spans="1:7" x14ac:dyDescent="0.2">
      <c r="A395" s="9" t="s">
        <v>1078</v>
      </c>
      <c r="B395" s="9" t="s">
        <v>1135</v>
      </c>
      <c r="C395" s="92" t="s">
        <v>29</v>
      </c>
      <c r="D395" s="19">
        <v>598.9160864036869</v>
      </c>
      <c r="E395" s="9" t="s">
        <v>194</v>
      </c>
      <c r="F395" s="9" t="s">
        <v>195</v>
      </c>
      <c r="G395" s="9" t="s">
        <v>1136</v>
      </c>
    </row>
    <row r="396" spans="1:7" x14ac:dyDescent="0.2">
      <c r="A396" s="9" t="s">
        <v>1078</v>
      </c>
      <c r="B396" s="9" t="s">
        <v>192</v>
      </c>
      <c r="C396" s="92" t="s">
        <v>29</v>
      </c>
      <c r="D396" s="13">
        <v>0</v>
      </c>
      <c r="E396" s="9" t="s">
        <v>194</v>
      </c>
      <c r="F396" s="9" t="s">
        <v>195</v>
      </c>
      <c r="G396" s="9"/>
    </row>
    <row r="397" spans="1:7" x14ac:dyDescent="0.2">
      <c r="A397" s="9" t="s">
        <v>1078</v>
      </c>
      <c r="B397" s="9" t="s">
        <v>1082</v>
      </c>
      <c r="C397" s="92" t="s">
        <v>29</v>
      </c>
      <c r="D397" s="13">
        <v>0</v>
      </c>
      <c r="E397" s="9" t="s">
        <v>194</v>
      </c>
      <c r="F397" s="138" t="s">
        <v>1080</v>
      </c>
      <c r="G397" s="9" t="s">
        <v>1083</v>
      </c>
    </row>
    <row r="398" spans="1:7" x14ac:dyDescent="0.2">
      <c r="A398" s="9" t="s">
        <v>1078</v>
      </c>
      <c r="B398" s="9" t="s">
        <v>1084</v>
      </c>
      <c r="C398" s="92" t="s">
        <v>29</v>
      </c>
      <c r="D398" s="19">
        <v>21.587616334742069</v>
      </c>
      <c r="E398" s="9" t="s">
        <v>194</v>
      </c>
      <c r="F398" s="138" t="s">
        <v>1080</v>
      </c>
      <c r="G398" s="9" t="s">
        <v>1163</v>
      </c>
    </row>
    <row r="399" spans="1:7" x14ac:dyDescent="0.2">
      <c r="A399" s="9" t="s">
        <v>1078</v>
      </c>
      <c r="B399" s="9" t="s">
        <v>1084</v>
      </c>
      <c r="C399" s="92" t="s">
        <v>29</v>
      </c>
      <c r="D399" s="80">
        <v>572.49332381499198</v>
      </c>
      <c r="E399" s="9" t="s">
        <v>194</v>
      </c>
      <c r="F399" s="9" t="s">
        <v>195</v>
      </c>
      <c r="G399" s="9" t="s">
        <v>1137</v>
      </c>
    </row>
    <row r="400" spans="1:7" x14ac:dyDescent="0.2">
      <c r="A400" s="9" t="s">
        <v>1078</v>
      </c>
      <c r="B400" s="9" t="s">
        <v>1084</v>
      </c>
      <c r="C400" s="92" t="s">
        <v>29</v>
      </c>
      <c r="D400" s="13">
        <v>160</v>
      </c>
      <c r="E400" s="9" t="s">
        <v>194</v>
      </c>
      <c r="F400" s="9" t="s">
        <v>1132</v>
      </c>
      <c r="G400" s="9"/>
    </row>
    <row r="401" spans="1:7" x14ac:dyDescent="0.2">
      <c r="A401" s="9" t="s">
        <v>1078</v>
      </c>
      <c r="B401" s="9" t="s">
        <v>1084</v>
      </c>
      <c r="C401" s="92" t="s">
        <v>29</v>
      </c>
      <c r="D401" s="13">
        <v>198</v>
      </c>
      <c r="E401" s="9" t="s">
        <v>194</v>
      </c>
      <c r="F401" s="9" t="s">
        <v>1138</v>
      </c>
      <c r="G401" s="9"/>
    </row>
    <row r="402" spans="1:7" x14ac:dyDescent="0.2">
      <c r="A402" s="9" t="s">
        <v>1078</v>
      </c>
      <c r="B402" s="9" t="s">
        <v>1139</v>
      </c>
      <c r="C402" s="92" t="s">
        <v>29</v>
      </c>
      <c r="D402" s="156">
        <v>572.49332381499198</v>
      </c>
      <c r="E402" s="9" t="s">
        <v>194</v>
      </c>
      <c r="F402" s="9" t="s">
        <v>195</v>
      </c>
      <c r="G402" s="9" t="s">
        <v>1140</v>
      </c>
    </row>
    <row r="403" spans="1:7" x14ac:dyDescent="0.2">
      <c r="A403" s="9" t="s">
        <v>1078</v>
      </c>
      <c r="B403" s="9" t="s">
        <v>1141</v>
      </c>
      <c r="C403" s="92" t="s">
        <v>29</v>
      </c>
      <c r="D403" s="156">
        <v>572.49332381499198</v>
      </c>
      <c r="E403" s="9" t="s">
        <v>194</v>
      </c>
      <c r="F403" s="9" t="s">
        <v>195</v>
      </c>
      <c r="G403" s="9" t="s">
        <v>1142</v>
      </c>
    </row>
    <row r="404" spans="1:7" x14ac:dyDescent="0.2">
      <c r="A404" s="9" t="s">
        <v>1078</v>
      </c>
      <c r="B404" s="9" t="s">
        <v>1143</v>
      </c>
      <c r="C404" s="92" t="s">
        <v>29</v>
      </c>
      <c r="D404" s="19">
        <v>140</v>
      </c>
      <c r="E404" s="9" t="s">
        <v>194</v>
      </c>
      <c r="F404" s="9" t="s">
        <v>1132</v>
      </c>
      <c r="G404" s="9"/>
    </row>
    <row r="405" spans="1:7" x14ac:dyDescent="0.2">
      <c r="A405" s="9" t="s">
        <v>1078</v>
      </c>
      <c r="B405" s="9" t="s">
        <v>1143</v>
      </c>
      <c r="C405" s="92" t="s">
        <v>29</v>
      </c>
      <c r="D405" s="80">
        <v>607.72374112982209</v>
      </c>
      <c r="E405" s="9" t="s">
        <v>194</v>
      </c>
      <c r="F405" s="9" t="s">
        <v>195</v>
      </c>
      <c r="G405" s="9" t="s">
        <v>1144</v>
      </c>
    </row>
    <row r="406" spans="1:7" x14ac:dyDescent="0.2">
      <c r="A406" s="9" t="s">
        <v>1078</v>
      </c>
      <c r="B406" s="9" t="s">
        <v>1085</v>
      </c>
      <c r="C406" s="92" t="s">
        <v>29</v>
      </c>
      <c r="D406" s="19">
        <v>115.5607086076522</v>
      </c>
      <c r="E406" s="9" t="s">
        <v>194</v>
      </c>
      <c r="F406" s="138" t="s">
        <v>1080</v>
      </c>
      <c r="G406" s="9" t="s">
        <v>1086</v>
      </c>
    </row>
    <row r="407" spans="1:7" x14ac:dyDescent="0.2">
      <c r="A407" s="9" t="s">
        <v>1078</v>
      </c>
      <c r="B407" s="9" t="s">
        <v>1085</v>
      </c>
      <c r="C407" s="92" t="s">
        <v>29</v>
      </c>
      <c r="D407" s="19">
        <v>654.97377625205797</v>
      </c>
      <c r="E407" s="9" t="s">
        <v>194</v>
      </c>
      <c r="F407" s="9" t="s">
        <v>195</v>
      </c>
      <c r="G407" s="9" t="s">
        <v>1145</v>
      </c>
    </row>
    <row r="408" spans="1:7" x14ac:dyDescent="0.2">
      <c r="A408" s="9" t="s">
        <v>1078</v>
      </c>
      <c r="B408" s="9" t="s">
        <v>1146</v>
      </c>
      <c r="C408" s="92" t="s">
        <v>29</v>
      </c>
      <c r="D408" s="15">
        <v>152</v>
      </c>
      <c r="E408" s="9" t="s">
        <v>194</v>
      </c>
      <c r="F408" s="9" t="s">
        <v>1138</v>
      </c>
      <c r="G408" s="9"/>
    </row>
    <row r="409" spans="1:7" x14ac:dyDescent="0.2">
      <c r="A409" s="9" t="s">
        <v>1078</v>
      </c>
      <c r="B409" s="9" t="s">
        <v>1147</v>
      </c>
      <c r="C409" s="92" t="s">
        <v>29</v>
      </c>
      <c r="D409" s="15">
        <v>631.41349398681803</v>
      </c>
      <c r="E409" s="9" t="s">
        <v>194</v>
      </c>
      <c r="F409" s="9" t="s">
        <v>195</v>
      </c>
      <c r="G409" s="9" t="s">
        <v>1148</v>
      </c>
    </row>
    <row r="410" spans="1:7" x14ac:dyDescent="0.2">
      <c r="A410" s="9" t="s">
        <v>1078</v>
      </c>
      <c r="B410" s="9" t="s">
        <v>1087</v>
      </c>
      <c r="C410" s="92" t="s">
        <v>29</v>
      </c>
      <c r="D410" s="19">
        <v>654.97377625205797</v>
      </c>
      <c r="E410" s="9" t="s">
        <v>194</v>
      </c>
      <c r="F410" s="9" t="s">
        <v>195</v>
      </c>
      <c r="G410" s="9" t="s">
        <v>1149</v>
      </c>
    </row>
    <row r="411" spans="1:7" x14ac:dyDescent="0.2">
      <c r="A411" s="9" t="s">
        <v>1078</v>
      </c>
      <c r="B411" s="9" t="s">
        <v>1087</v>
      </c>
      <c r="C411" s="92" t="s">
        <v>29</v>
      </c>
      <c r="D411" s="19">
        <v>150</v>
      </c>
      <c r="E411" s="9" t="s">
        <v>194</v>
      </c>
      <c r="F411" s="9" t="s">
        <v>1138</v>
      </c>
      <c r="G411" s="9"/>
    </row>
    <row r="412" spans="1:7" x14ac:dyDescent="0.2">
      <c r="A412" s="9" t="s">
        <v>1078</v>
      </c>
      <c r="B412" s="9" t="s">
        <v>1087</v>
      </c>
      <c r="C412" s="92" t="s">
        <v>29</v>
      </c>
      <c r="D412" s="19">
        <v>402.01087758942839</v>
      </c>
      <c r="E412" s="9" t="s">
        <v>194</v>
      </c>
      <c r="F412" s="138" t="s">
        <v>1080</v>
      </c>
      <c r="G412" s="9" t="s">
        <v>1088</v>
      </c>
    </row>
    <row r="413" spans="1:7" x14ac:dyDescent="0.2">
      <c r="A413" s="9" t="s">
        <v>1078</v>
      </c>
      <c r="B413" s="9" t="s">
        <v>1150</v>
      </c>
      <c r="C413" s="92" t="s">
        <v>29</v>
      </c>
      <c r="D413" s="19">
        <v>136.80000000000001</v>
      </c>
      <c r="E413" s="9" t="s">
        <v>194</v>
      </c>
      <c r="F413" s="9" t="s">
        <v>1138</v>
      </c>
      <c r="G413" s="9"/>
    </row>
    <row r="414" spans="1:7" x14ac:dyDescent="0.2">
      <c r="A414" s="9" t="s">
        <v>1078</v>
      </c>
      <c r="B414" s="9" t="s">
        <v>1150</v>
      </c>
      <c r="C414" s="92" t="s">
        <v>29</v>
      </c>
      <c r="D414" s="19">
        <v>560.732862891266</v>
      </c>
      <c r="E414" s="9" t="s">
        <v>194</v>
      </c>
      <c r="F414" s="9" t="s">
        <v>195</v>
      </c>
      <c r="G414" s="9" t="s">
        <v>1151</v>
      </c>
    </row>
    <row r="415" spans="1:7" x14ac:dyDescent="0.2">
      <c r="A415" s="9" t="s">
        <v>1078</v>
      </c>
      <c r="B415" s="9" t="s">
        <v>1089</v>
      </c>
      <c r="C415" s="92" t="s">
        <v>29</v>
      </c>
      <c r="D415" s="15">
        <v>242.59202976302149</v>
      </c>
      <c r="E415" s="9" t="s">
        <v>194</v>
      </c>
      <c r="F415" s="138" t="s">
        <v>1080</v>
      </c>
      <c r="G415" s="9" t="s">
        <v>1090</v>
      </c>
    </row>
    <row r="416" spans="1:7" x14ac:dyDescent="0.2">
      <c r="A416" s="9" t="s">
        <v>1078</v>
      </c>
      <c r="B416" s="9" t="s">
        <v>1091</v>
      </c>
      <c r="C416" s="92" t="s">
        <v>29</v>
      </c>
      <c r="D416" s="19">
        <v>705.80953974930071</v>
      </c>
      <c r="E416" s="9" t="s">
        <v>194</v>
      </c>
      <c r="F416" s="138" t="s">
        <v>1080</v>
      </c>
      <c r="G416" s="9" t="s">
        <v>1092</v>
      </c>
    </row>
    <row r="417" spans="1:7" x14ac:dyDescent="0.2">
      <c r="A417" s="9" t="s">
        <v>1078</v>
      </c>
      <c r="B417" s="9" t="s">
        <v>1091</v>
      </c>
      <c r="C417" s="92" t="s">
        <v>29</v>
      </c>
      <c r="D417" s="19">
        <v>518.32448423393498</v>
      </c>
      <c r="E417" s="9" t="s">
        <v>194</v>
      </c>
      <c r="F417" s="9" t="s">
        <v>195</v>
      </c>
      <c r="G417" s="9" t="s">
        <v>1152</v>
      </c>
    </row>
    <row r="418" spans="1:7" x14ac:dyDescent="0.2">
      <c r="A418" s="9" t="s">
        <v>1078</v>
      </c>
      <c r="B418" s="9" t="s">
        <v>1153</v>
      </c>
      <c r="C418" s="92" t="s">
        <v>29</v>
      </c>
      <c r="D418" s="19">
        <v>124.6</v>
      </c>
      <c r="E418" s="9" t="s">
        <v>194</v>
      </c>
      <c r="F418" s="9" t="s">
        <v>1138</v>
      </c>
      <c r="G418" s="9"/>
    </row>
    <row r="419" spans="1:7" x14ac:dyDescent="0.2">
      <c r="A419" s="9" t="s">
        <v>1046</v>
      </c>
      <c r="B419" s="9" t="s">
        <v>1051</v>
      </c>
      <c r="C419" s="92" t="s">
        <v>30</v>
      </c>
      <c r="D419" s="15">
        <v>2</v>
      </c>
      <c r="E419" s="11" t="s">
        <v>1040</v>
      </c>
      <c r="F419" s="9" t="s">
        <v>1052</v>
      </c>
      <c r="G419" s="9"/>
    </row>
    <row r="420" spans="1:7" x14ac:dyDescent="0.2">
      <c r="A420" s="9" t="s">
        <v>138</v>
      </c>
      <c r="B420" s="9" t="s">
        <v>1039</v>
      </c>
      <c r="C420" s="92" t="s">
        <v>30</v>
      </c>
      <c r="D420" s="16">
        <v>208</v>
      </c>
      <c r="E420" s="11" t="s">
        <v>1040</v>
      </c>
      <c r="F420" s="9" t="s">
        <v>1052</v>
      </c>
      <c r="G420" s="9"/>
    </row>
    <row r="421" spans="1:7" x14ac:dyDescent="0.2">
      <c r="A421" s="9" t="s">
        <v>1055</v>
      </c>
      <c r="B421" s="11" t="s">
        <v>1039</v>
      </c>
      <c r="C421" s="92" t="s">
        <v>30</v>
      </c>
      <c r="D421" s="85">
        <v>100</v>
      </c>
      <c r="E421" s="11" t="s">
        <v>1040</v>
      </c>
      <c r="F421" s="9" t="s">
        <v>1041</v>
      </c>
      <c r="G421" s="9"/>
    </row>
    <row r="422" spans="1:7" x14ac:dyDescent="0.2">
      <c r="A422" s="9" t="s">
        <v>1055</v>
      </c>
      <c r="B422" s="11" t="s">
        <v>1039</v>
      </c>
      <c r="C422" s="92" t="s">
        <v>30</v>
      </c>
      <c r="D422" s="85">
        <v>37</v>
      </c>
      <c r="E422" s="11" t="s">
        <v>1040</v>
      </c>
      <c r="F422" s="9" t="s">
        <v>1052</v>
      </c>
      <c r="G422" s="9"/>
    </row>
    <row r="423" spans="1:7" x14ac:dyDescent="0.2">
      <c r="A423" s="9" t="s">
        <v>1056</v>
      </c>
      <c r="B423" s="11" t="s">
        <v>1059</v>
      </c>
      <c r="C423" s="92" t="s">
        <v>30</v>
      </c>
      <c r="D423" s="16">
        <v>9</v>
      </c>
      <c r="E423" s="11" t="s">
        <v>1040</v>
      </c>
      <c r="F423" s="9" t="s">
        <v>1052</v>
      </c>
      <c r="G423" s="9"/>
    </row>
    <row r="424" spans="1:7" x14ac:dyDescent="0.2">
      <c r="A424" s="9" t="s">
        <v>1056</v>
      </c>
      <c r="B424" s="11" t="s">
        <v>1060</v>
      </c>
      <c r="C424" s="92" t="s">
        <v>30</v>
      </c>
      <c r="D424" s="16">
        <v>6</v>
      </c>
      <c r="E424" s="11" t="s">
        <v>1040</v>
      </c>
      <c r="F424" s="9" t="s">
        <v>1052</v>
      </c>
      <c r="G424" s="9"/>
    </row>
    <row r="425" spans="1:7" x14ac:dyDescent="0.2">
      <c r="A425" s="9" t="s">
        <v>1061</v>
      </c>
      <c r="B425" s="9" t="s">
        <v>1039</v>
      </c>
      <c r="C425" s="92" t="s">
        <v>30</v>
      </c>
      <c r="D425" s="13">
        <v>4000</v>
      </c>
      <c r="E425" s="11" t="s">
        <v>1040</v>
      </c>
      <c r="F425" s="9" t="s">
        <v>1062</v>
      </c>
      <c r="G425" s="9"/>
    </row>
    <row r="426" spans="1:7" x14ac:dyDescent="0.2">
      <c r="A426" s="9" t="s">
        <v>1061</v>
      </c>
      <c r="B426" s="9" t="s">
        <v>1065</v>
      </c>
      <c r="C426" s="92" t="s">
        <v>30</v>
      </c>
      <c r="D426" s="13">
        <v>3000</v>
      </c>
      <c r="E426" s="11" t="s">
        <v>1040</v>
      </c>
      <c r="F426" s="9" t="s">
        <v>1064</v>
      </c>
      <c r="G426" s="9"/>
    </row>
    <row r="427" spans="1:7" x14ac:dyDescent="0.2">
      <c r="A427" s="9" t="s">
        <v>1061</v>
      </c>
      <c r="B427" s="9" t="s">
        <v>1063</v>
      </c>
      <c r="C427" s="92" t="s">
        <v>30</v>
      </c>
      <c r="D427" s="13">
        <v>2600</v>
      </c>
      <c r="E427" s="11" t="s">
        <v>1040</v>
      </c>
      <c r="F427" s="9" t="s">
        <v>1064</v>
      </c>
      <c r="G427" s="9"/>
    </row>
    <row r="428" spans="1:7" x14ac:dyDescent="0.2">
      <c r="A428" s="9" t="s">
        <v>1061</v>
      </c>
      <c r="B428" s="9" t="s">
        <v>1065</v>
      </c>
      <c r="C428" s="92" t="s">
        <v>30</v>
      </c>
      <c r="D428" s="13">
        <v>1400</v>
      </c>
      <c r="E428" s="11" t="s">
        <v>1040</v>
      </c>
      <c r="F428" s="9" t="s">
        <v>168</v>
      </c>
      <c r="G428" s="9"/>
    </row>
    <row r="429" spans="1:7" x14ac:dyDescent="0.2">
      <c r="A429" s="9" t="s">
        <v>1061</v>
      </c>
      <c r="B429" s="9" t="s">
        <v>1063</v>
      </c>
      <c r="C429" s="92" t="s">
        <v>30</v>
      </c>
      <c r="D429" s="13">
        <v>2600</v>
      </c>
      <c r="E429" s="11" t="s">
        <v>1040</v>
      </c>
      <c r="F429" s="9" t="s">
        <v>168</v>
      </c>
      <c r="G429" s="9"/>
    </row>
    <row r="430" spans="1:7" x14ac:dyDescent="0.2">
      <c r="A430" s="9" t="s">
        <v>137</v>
      </c>
      <c r="B430" s="9" t="s">
        <v>1044</v>
      </c>
      <c r="C430" s="92" t="s">
        <v>31</v>
      </c>
      <c r="D430" s="18">
        <v>544</v>
      </c>
      <c r="E430" s="11" t="s">
        <v>1040</v>
      </c>
      <c r="F430" s="9" t="s">
        <v>1045</v>
      </c>
      <c r="G430" s="9"/>
    </row>
    <row r="431" spans="1:7" x14ac:dyDescent="0.2">
      <c r="A431" s="9" t="s">
        <v>1046</v>
      </c>
      <c r="B431" s="11" t="s">
        <v>1047</v>
      </c>
      <c r="C431" s="92" t="s">
        <v>31</v>
      </c>
      <c r="D431" s="16">
        <v>4.63</v>
      </c>
      <c r="E431" s="11" t="s">
        <v>1040</v>
      </c>
      <c r="F431" s="9" t="s">
        <v>1127</v>
      </c>
      <c r="G431" s="9"/>
    </row>
    <row r="432" spans="1:7" x14ac:dyDescent="0.2">
      <c r="A432" s="9" t="s">
        <v>1046</v>
      </c>
      <c r="B432" s="9" t="s">
        <v>1051</v>
      </c>
      <c r="C432" s="92" t="s">
        <v>31</v>
      </c>
      <c r="D432" s="15">
        <v>27</v>
      </c>
      <c r="E432" s="11" t="s">
        <v>1040</v>
      </c>
      <c r="F432" s="9" t="s">
        <v>1052</v>
      </c>
      <c r="G432" s="9"/>
    </row>
    <row r="433" spans="1:7" x14ac:dyDescent="0.2">
      <c r="A433" s="9" t="s">
        <v>1046</v>
      </c>
      <c r="B433" s="9" t="s">
        <v>1053</v>
      </c>
      <c r="C433" s="92" t="s">
        <v>31</v>
      </c>
      <c r="D433" s="15">
        <v>359</v>
      </c>
      <c r="E433" s="11" t="s">
        <v>1040</v>
      </c>
      <c r="F433" s="9" t="s">
        <v>1052</v>
      </c>
      <c r="G433" s="9"/>
    </row>
    <row r="434" spans="1:7" x14ac:dyDescent="0.2">
      <c r="A434" s="9" t="s">
        <v>138</v>
      </c>
      <c r="B434" s="9" t="s">
        <v>1039</v>
      </c>
      <c r="C434" s="92" t="s">
        <v>31</v>
      </c>
      <c r="D434" s="12">
        <v>4325</v>
      </c>
      <c r="E434" s="11" t="s">
        <v>1040</v>
      </c>
      <c r="F434" s="9" t="s">
        <v>1062</v>
      </c>
      <c r="G434" s="9"/>
    </row>
    <row r="435" spans="1:7" x14ac:dyDescent="0.2">
      <c r="A435" s="9" t="s">
        <v>138</v>
      </c>
      <c r="B435" s="9" t="s">
        <v>1039</v>
      </c>
      <c r="C435" s="92" t="s">
        <v>31</v>
      </c>
      <c r="D435" s="12">
        <v>9455</v>
      </c>
      <c r="E435" s="11" t="s">
        <v>1040</v>
      </c>
      <c r="F435" s="9" t="s">
        <v>1052</v>
      </c>
      <c r="G435" s="9"/>
    </row>
    <row r="436" spans="1:7" x14ac:dyDescent="0.2">
      <c r="A436" s="9" t="s">
        <v>1055</v>
      </c>
      <c r="B436" s="11" t="s">
        <v>1039</v>
      </c>
      <c r="C436" s="92" t="s">
        <v>31</v>
      </c>
      <c r="D436" s="85">
        <v>200</v>
      </c>
      <c r="E436" s="11" t="s">
        <v>1040</v>
      </c>
      <c r="F436" s="9" t="s">
        <v>1041</v>
      </c>
      <c r="G436" s="9"/>
    </row>
    <row r="437" spans="1:7" x14ac:dyDescent="0.2">
      <c r="A437" s="9" t="s">
        <v>1055</v>
      </c>
      <c r="B437" s="11" t="s">
        <v>1039</v>
      </c>
      <c r="C437" s="92" t="s">
        <v>31</v>
      </c>
      <c r="D437" s="143">
        <v>3393</v>
      </c>
      <c r="E437" s="11" t="s">
        <v>1040</v>
      </c>
      <c r="F437" s="9" t="s">
        <v>1052</v>
      </c>
      <c r="G437" s="9"/>
    </row>
    <row r="438" spans="1:7" x14ac:dyDescent="0.2">
      <c r="A438" s="9" t="s">
        <v>1056</v>
      </c>
      <c r="B438" s="9" t="s">
        <v>1057</v>
      </c>
      <c r="C438" s="92" t="s">
        <v>31</v>
      </c>
      <c r="D438" s="12">
        <v>147.69</v>
      </c>
      <c r="E438" s="11" t="s">
        <v>1040</v>
      </c>
      <c r="F438" s="9" t="s">
        <v>1127</v>
      </c>
      <c r="G438" s="9"/>
    </row>
    <row r="439" spans="1:7" x14ac:dyDescent="0.2">
      <c r="A439" s="9" t="s">
        <v>1056</v>
      </c>
      <c r="B439" s="11" t="s">
        <v>1059</v>
      </c>
      <c r="C439" s="92" t="s">
        <v>31</v>
      </c>
      <c r="D439" s="12">
        <v>264</v>
      </c>
      <c r="E439" s="11" t="s">
        <v>1040</v>
      </c>
      <c r="F439" s="9" t="s">
        <v>1052</v>
      </c>
      <c r="G439" s="9"/>
    </row>
    <row r="440" spans="1:7" x14ac:dyDescent="0.2">
      <c r="A440" s="9" t="s">
        <v>1056</v>
      </c>
      <c r="B440" s="11" t="s">
        <v>1060</v>
      </c>
      <c r="C440" s="25" t="s">
        <v>31</v>
      </c>
      <c r="D440" s="12">
        <v>230</v>
      </c>
      <c r="E440" s="11" t="s">
        <v>1040</v>
      </c>
      <c r="F440" s="9" t="s">
        <v>1052</v>
      </c>
      <c r="G440" s="9"/>
    </row>
    <row r="441" spans="1:7" x14ac:dyDescent="0.2">
      <c r="A441" s="9" t="s">
        <v>1061</v>
      </c>
      <c r="B441" s="9" t="s">
        <v>1039</v>
      </c>
      <c r="C441" s="92" t="s">
        <v>31</v>
      </c>
      <c r="D441" s="20">
        <v>100</v>
      </c>
      <c r="E441" s="11" t="s">
        <v>1040</v>
      </c>
      <c r="F441" s="9" t="s">
        <v>1062</v>
      </c>
      <c r="G441" s="9"/>
    </row>
    <row r="442" spans="1:7" x14ac:dyDescent="0.2">
      <c r="A442" s="9" t="s">
        <v>1061</v>
      </c>
      <c r="B442" s="9" t="s">
        <v>1065</v>
      </c>
      <c r="C442" s="92" t="s">
        <v>31</v>
      </c>
      <c r="D442" s="19">
        <v>2000</v>
      </c>
      <c r="E442" s="11" t="s">
        <v>1040</v>
      </c>
      <c r="F442" s="9" t="s">
        <v>1064</v>
      </c>
      <c r="G442" s="9"/>
    </row>
    <row r="443" spans="1:7" x14ac:dyDescent="0.2">
      <c r="A443" s="9" t="s">
        <v>1061</v>
      </c>
      <c r="B443" s="9" t="s">
        <v>1063</v>
      </c>
      <c r="C443" s="92" t="s">
        <v>31</v>
      </c>
      <c r="D443" s="13">
        <v>5700</v>
      </c>
      <c r="E443" s="11" t="s">
        <v>1040</v>
      </c>
      <c r="F443" s="9" t="s">
        <v>1064</v>
      </c>
      <c r="G443" s="9"/>
    </row>
    <row r="444" spans="1:7" x14ac:dyDescent="0.2">
      <c r="A444" s="9" t="s">
        <v>1061</v>
      </c>
      <c r="B444" s="9" t="s">
        <v>1065</v>
      </c>
      <c r="C444" s="92" t="s">
        <v>31</v>
      </c>
      <c r="D444" s="19">
        <v>736</v>
      </c>
      <c r="E444" s="11" t="s">
        <v>1040</v>
      </c>
      <c r="F444" s="9" t="s">
        <v>168</v>
      </c>
      <c r="G444" s="9"/>
    </row>
    <row r="445" spans="1:7" x14ac:dyDescent="0.2">
      <c r="A445" s="9" t="s">
        <v>1061</v>
      </c>
      <c r="B445" s="9" t="s">
        <v>1063</v>
      </c>
      <c r="C445" s="92" t="s">
        <v>31</v>
      </c>
      <c r="D445" s="13">
        <v>5700</v>
      </c>
      <c r="E445" s="11" t="s">
        <v>1040</v>
      </c>
      <c r="F445" s="9" t="s">
        <v>168</v>
      </c>
      <c r="G445" s="9"/>
    </row>
    <row r="446" spans="1:7" x14ac:dyDescent="0.2">
      <c r="A446" s="9" t="s">
        <v>1078</v>
      </c>
      <c r="B446" s="9" t="s">
        <v>1079</v>
      </c>
      <c r="C446" s="92" t="s">
        <v>31</v>
      </c>
      <c r="D446" s="19">
        <v>1492.4507879970261</v>
      </c>
      <c r="E446" s="9" t="s">
        <v>194</v>
      </c>
      <c r="F446" s="138" t="s">
        <v>1080</v>
      </c>
      <c r="G446" s="9" t="s">
        <v>1081</v>
      </c>
    </row>
    <row r="447" spans="1:7" x14ac:dyDescent="0.2">
      <c r="A447" s="9" t="s">
        <v>1078</v>
      </c>
      <c r="B447" s="9" t="s">
        <v>1079</v>
      </c>
      <c r="C447" s="92" t="s">
        <v>31</v>
      </c>
      <c r="D447" s="19">
        <v>0</v>
      </c>
      <c r="E447" s="9" t="s">
        <v>194</v>
      </c>
      <c r="F447" s="9" t="s">
        <v>195</v>
      </c>
      <c r="G447" s="9" t="s">
        <v>1131</v>
      </c>
    </row>
    <row r="448" spans="1:7" x14ac:dyDescent="0.2">
      <c r="A448" s="9" t="s">
        <v>1078</v>
      </c>
      <c r="B448" s="9" t="s">
        <v>1133</v>
      </c>
      <c r="C448" s="92" t="s">
        <v>31</v>
      </c>
      <c r="D448" s="15">
        <v>317.07315106442002</v>
      </c>
      <c r="E448" s="9" t="s">
        <v>194</v>
      </c>
      <c r="F448" s="9" t="s">
        <v>195</v>
      </c>
      <c r="G448" s="9" t="s">
        <v>1134</v>
      </c>
    </row>
    <row r="449" spans="1:7" x14ac:dyDescent="0.2">
      <c r="A449" s="9" t="s">
        <v>1078</v>
      </c>
      <c r="B449" s="9" t="s">
        <v>1135</v>
      </c>
      <c r="C449" s="92" t="s">
        <v>31</v>
      </c>
      <c r="D449" s="15">
        <v>1277.1002589838199</v>
      </c>
      <c r="E449" s="9" t="s">
        <v>194</v>
      </c>
      <c r="F449" s="9" t="s">
        <v>195</v>
      </c>
      <c r="G449" s="9" t="s">
        <v>1136</v>
      </c>
    </row>
    <row r="450" spans="1:7" x14ac:dyDescent="0.2">
      <c r="A450" s="9" t="s">
        <v>1078</v>
      </c>
      <c r="B450" s="9" t="s">
        <v>192</v>
      </c>
      <c r="C450" s="92" t="s">
        <v>31</v>
      </c>
      <c r="D450" s="19">
        <v>554.87801436273696</v>
      </c>
      <c r="E450" s="9" t="s">
        <v>194</v>
      </c>
      <c r="F450" s="9" t="s">
        <v>195</v>
      </c>
      <c r="G450" s="9"/>
    </row>
    <row r="451" spans="1:7" x14ac:dyDescent="0.2">
      <c r="A451" s="9" t="s">
        <v>1078</v>
      </c>
      <c r="B451" s="9" t="s">
        <v>1082</v>
      </c>
      <c r="C451" s="92" t="s">
        <v>31</v>
      </c>
      <c r="D451" s="19">
        <v>113</v>
      </c>
      <c r="E451" s="9" t="s">
        <v>194</v>
      </c>
      <c r="F451" s="138" t="s">
        <v>1080</v>
      </c>
      <c r="G451" s="9" t="s">
        <v>1083</v>
      </c>
    </row>
    <row r="452" spans="1:7" x14ac:dyDescent="0.2">
      <c r="A452" s="9" t="s">
        <v>1078</v>
      </c>
      <c r="B452" s="9" t="s">
        <v>1084</v>
      </c>
      <c r="C452" s="92" t="s">
        <v>31</v>
      </c>
      <c r="D452" s="13">
        <v>59.419486872067843</v>
      </c>
      <c r="E452" s="9" t="s">
        <v>194</v>
      </c>
      <c r="F452" s="138" t="s">
        <v>1080</v>
      </c>
      <c r="G452" s="9" t="s">
        <v>1163</v>
      </c>
    </row>
    <row r="453" spans="1:7" x14ac:dyDescent="0.2">
      <c r="A453" s="9" t="s">
        <v>1078</v>
      </c>
      <c r="B453" s="9" t="s">
        <v>1084</v>
      </c>
      <c r="C453" s="92" t="s">
        <v>31</v>
      </c>
      <c r="D453" s="13">
        <v>0</v>
      </c>
      <c r="E453" s="9" t="s">
        <v>194</v>
      </c>
      <c r="F453" s="9" t="s">
        <v>195</v>
      </c>
      <c r="G453" s="9" t="s">
        <v>1137</v>
      </c>
    </row>
    <row r="454" spans="1:7" x14ac:dyDescent="0.2">
      <c r="A454" s="9" t="s">
        <v>1078</v>
      </c>
      <c r="B454" s="9" t="s">
        <v>1084</v>
      </c>
      <c r="C454" s="92" t="s">
        <v>31</v>
      </c>
      <c r="D454" s="13">
        <v>0</v>
      </c>
      <c r="E454" s="9" t="s">
        <v>194</v>
      </c>
      <c r="F454" s="9" t="s">
        <v>1138</v>
      </c>
      <c r="G454" s="9"/>
    </row>
    <row r="455" spans="1:7" x14ac:dyDescent="0.2">
      <c r="A455" s="9" t="s">
        <v>1078</v>
      </c>
      <c r="B455" s="9" t="s">
        <v>1139</v>
      </c>
      <c r="C455" s="92" t="s">
        <v>31</v>
      </c>
      <c r="D455" s="15">
        <v>0</v>
      </c>
      <c r="E455" s="9" t="s">
        <v>194</v>
      </c>
      <c r="F455" s="9" t="s">
        <v>195</v>
      </c>
      <c r="G455" s="9" t="s">
        <v>1140</v>
      </c>
    </row>
    <row r="456" spans="1:7" x14ac:dyDescent="0.2">
      <c r="A456" s="9" t="s">
        <v>1078</v>
      </c>
      <c r="B456" s="9" t="s">
        <v>1141</v>
      </c>
      <c r="C456" s="92" t="s">
        <v>31</v>
      </c>
      <c r="D456" s="15">
        <v>0</v>
      </c>
      <c r="E456" s="9" t="s">
        <v>194</v>
      </c>
      <c r="F456" s="9" t="s">
        <v>195</v>
      </c>
      <c r="G456" s="9" t="s">
        <v>1142</v>
      </c>
    </row>
    <row r="457" spans="1:7" x14ac:dyDescent="0.2">
      <c r="A457" s="9" t="s">
        <v>1078</v>
      </c>
      <c r="B457" s="9" t="s">
        <v>1143</v>
      </c>
      <c r="C457" s="92" t="s">
        <v>31</v>
      </c>
      <c r="D457" s="156">
        <v>158.53657553220989</v>
      </c>
      <c r="E457" s="9" t="s">
        <v>194</v>
      </c>
      <c r="F457" s="9" t="s">
        <v>195</v>
      </c>
      <c r="G457" s="9" t="s">
        <v>1144</v>
      </c>
    </row>
    <row r="458" spans="1:7" x14ac:dyDescent="0.2">
      <c r="A458" s="9" t="s">
        <v>1078</v>
      </c>
      <c r="B458" s="9" t="s">
        <v>1085</v>
      </c>
      <c r="C458" s="92" t="s">
        <v>31</v>
      </c>
      <c r="D458" s="19">
        <v>746.93571721580497</v>
      </c>
      <c r="E458" s="9" t="s">
        <v>194</v>
      </c>
      <c r="F458" s="138" t="s">
        <v>1080</v>
      </c>
      <c r="G458" s="9" t="s">
        <v>1086</v>
      </c>
    </row>
    <row r="459" spans="1:7" x14ac:dyDescent="0.2">
      <c r="A459" s="9" t="s">
        <v>1078</v>
      </c>
      <c r="B459" s="9" t="s">
        <v>1085</v>
      </c>
      <c r="C459" s="92" t="s">
        <v>31</v>
      </c>
      <c r="D459" s="19">
        <v>306.28280664744801</v>
      </c>
      <c r="E459" s="9" t="s">
        <v>194</v>
      </c>
      <c r="F459" s="9" t="s">
        <v>195</v>
      </c>
      <c r="G459" s="9" t="s">
        <v>1145</v>
      </c>
    </row>
    <row r="460" spans="1:7" x14ac:dyDescent="0.2">
      <c r="A460" s="9" t="s">
        <v>1078</v>
      </c>
      <c r="B460" s="9" t="s">
        <v>1146</v>
      </c>
      <c r="C460" s="92" t="s">
        <v>31</v>
      </c>
      <c r="D460" s="15">
        <v>370</v>
      </c>
      <c r="E460" s="9" t="s">
        <v>194</v>
      </c>
      <c r="F460" s="9" t="s">
        <v>1138</v>
      </c>
      <c r="G460" s="9"/>
    </row>
    <row r="461" spans="1:7" x14ac:dyDescent="0.2">
      <c r="A461" s="9" t="s">
        <v>1078</v>
      </c>
      <c r="B461" s="9" t="s">
        <v>1147</v>
      </c>
      <c r="C461" s="92" t="s">
        <v>31</v>
      </c>
      <c r="D461" s="15">
        <v>282.72252438220801</v>
      </c>
      <c r="E461" s="9" t="s">
        <v>194</v>
      </c>
      <c r="F461" s="9" t="s">
        <v>195</v>
      </c>
      <c r="G461" s="9" t="s">
        <v>1148</v>
      </c>
    </row>
    <row r="462" spans="1:7" x14ac:dyDescent="0.2">
      <c r="A462" s="9" t="s">
        <v>1078</v>
      </c>
      <c r="B462" s="9" t="s">
        <v>1087</v>
      </c>
      <c r="C462" s="92" t="s">
        <v>31</v>
      </c>
      <c r="D462" s="19">
        <v>193.19379689456511</v>
      </c>
      <c r="E462" s="9" t="s">
        <v>194</v>
      </c>
      <c r="F462" s="9" t="s">
        <v>195</v>
      </c>
      <c r="G462" s="9" t="s">
        <v>1149</v>
      </c>
    </row>
    <row r="463" spans="1:7" x14ac:dyDescent="0.2">
      <c r="A463" s="9" t="s">
        <v>1078</v>
      </c>
      <c r="B463" s="9" t="s">
        <v>1087</v>
      </c>
      <c r="C463" s="92" t="s">
        <v>31</v>
      </c>
      <c r="D463" s="19">
        <v>360</v>
      </c>
      <c r="E463" s="9" t="s">
        <v>194</v>
      </c>
      <c r="F463" s="9" t="s">
        <v>1138</v>
      </c>
      <c r="G463" s="9"/>
    </row>
    <row r="464" spans="1:7" x14ac:dyDescent="0.2">
      <c r="A464" s="9" t="s">
        <v>1078</v>
      </c>
      <c r="B464" s="9" t="s">
        <v>1087</v>
      </c>
      <c r="C464" s="92" t="s">
        <v>31</v>
      </c>
      <c r="D464" s="19">
        <v>785.54067459473549</v>
      </c>
      <c r="E464" s="9" t="s">
        <v>194</v>
      </c>
      <c r="F464" s="138" t="s">
        <v>1080</v>
      </c>
      <c r="G464" s="9" t="s">
        <v>1088</v>
      </c>
    </row>
    <row r="465" spans="1:7" x14ac:dyDescent="0.2">
      <c r="A465" s="9" t="s">
        <v>1078</v>
      </c>
      <c r="B465" s="9" t="s">
        <v>1150</v>
      </c>
      <c r="C465" s="92" t="s">
        <v>31</v>
      </c>
      <c r="D465" s="13">
        <v>200</v>
      </c>
      <c r="E465" s="9" t="s">
        <v>194</v>
      </c>
      <c r="F465" s="9" t="s">
        <v>1138</v>
      </c>
      <c r="G465" s="9"/>
    </row>
    <row r="466" spans="1:7" x14ac:dyDescent="0.2">
      <c r="A466" s="9" t="s">
        <v>1078</v>
      </c>
      <c r="B466" s="9" t="s">
        <v>1150</v>
      </c>
      <c r="C466" s="92" t="s">
        <v>31</v>
      </c>
      <c r="D466" s="13">
        <v>169.63351462932499</v>
      </c>
      <c r="E466" s="9" t="s">
        <v>194</v>
      </c>
      <c r="F466" s="9" t="s">
        <v>195</v>
      </c>
      <c r="G466" s="9" t="s">
        <v>1151</v>
      </c>
    </row>
    <row r="467" spans="1:7" x14ac:dyDescent="0.2">
      <c r="A467" s="9" t="s">
        <v>1078</v>
      </c>
      <c r="B467" s="9" t="s">
        <v>1089</v>
      </c>
      <c r="C467" s="92" t="s">
        <v>31</v>
      </c>
      <c r="D467" s="15">
        <v>681.03481020698666</v>
      </c>
      <c r="E467" s="9" t="s">
        <v>194</v>
      </c>
      <c r="F467" s="138" t="s">
        <v>1080</v>
      </c>
      <c r="G467" s="9" t="s">
        <v>1090</v>
      </c>
    </row>
    <row r="468" spans="1:7" x14ac:dyDescent="0.2">
      <c r="A468" s="9" t="s">
        <v>1078</v>
      </c>
      <c r="B468" s="9" t="s">
        <v>1091</v>
      </c>
      <c r="C468" s="92" t="s">
        <v>31</v>
      </c>
      <c r="D468" s="20">
        <v>1049.894320211371</v>
      </c>
      <c r="E468" s="9" t="s">
        <v>194</v>
      </c>
      <c r="F468" s="138" t="s">
        <v>1080</v>
      </c>
      <c r="G468" s="9" t="s">
        <v>1092</v>
      </c>
    </row>
    <row r="469" spans="1:7" x14ac:dyDescent="0.2">
      <c r="A469" s="9" t="s">
        <v>1078</v>
      </c>
      <c r="B469" s="9" t="s">
        <v>1091</v>
      </c>
      <c r="C469" s="92" t="s">
        <v>31</v>
      </c>
      <c r="D469" s="13">
        <v>80.10478714168201</v>
      </c>
      <c r="E469" s="9" t="s">
        <v>194</v>
      </c>
      <c r="F469" s="9" t="s">
        <v>195</v>
      </c>
      <c r="G469" s="9" t="s">
        <v>1152</v>
      </c>
    </row>
    <row r="470" spans="1:7" x14ac:dyDescent="0.2">
      <c r="A470" s="9" t="s">
        <v>1078</v>
      </c>
      <c r="B470" s="9" t="s">
        <v>1153</v>
      </c>
      <c r="C470" s="92" t="s">
        <v>31</v>
      </c>
      <c r="D470" s="13">
        <v>90</v>
      </c>
      <c r="E470" s="9" t="s">
        <v>194</v>
      </c>
      <c r="F470" s="9" t="s">
        <v>1138</v>
      </c>
      <c r="G470" s="9"/>
    </row>
    <row r="471" spans="1:7" x14ac:dyDescent="0.2">
      <c r="A471" s="9" t="s">
        <v>1096</v>
      </c>
      <c r="B471" s="9" t="s">
        <v>1097</v>
      </c>
      <c r="C471" s="92" t="s">
        <v>31</v>
      </c>
      <c r="D471" s="180">
        <v>790</v>
      </c>
      <c r="E471" s="11" t="s">
        <v>1040</v>
      </c>
      <c r="F471" s="9" t="s">
        <v>1098</v>
      </c>
      <c r="G471" s="9" t="s">
        <v>1099</v>
      </c>
    </row>
    <row r="472" spans="1:7" x14ac:dyDescent="0.2">
      <c r="A472" s="9" t="s">
        <v>1096</v>
      </c>
      <c r="B472" s="9" t="s">
        <v>1100</v>
      </c>
      <c r="C472" s="92" t="s">
        <v>31</v>
      </c>
      <c r="D472" s="180">
        <v>790</v>
      </c>
      <c r="E472" s="11" t="s">
        <v>1040</v>
      </c>
      <c r="F472" s="9" t="s">
        <v>1098</v>
      </c>
      <c r="G472" s="9" t="s">
        <v>1101</v>
      </c>
    </row>
    <row r="473" spans="1:7" x14ac:dyDescent="0.2">
      <c r="A473" s="9" t="s">
        <v>1096</v>
      </c>
      <c r="B473" s="9" t="s">
        <v>1106</v>
      </c>
      <c r="C473" s="92" t="s">
        <v>31</v>
      </c>
      <c r="D473" s="180">
        <v>780</v>
      </c>
      <c r="E473" s="11" t="s">
        <v>1040</v>
      </c>
      <c r="F473" s="9" t="s">
        <v>1098</v>
      </c>
      <c r="G473" s="9" t="s">
        <v>1107</v>
      </c>
    </row>
    <row r="474" spans="1:7" x14ac:dyDescent="0.2">
      <c r="A474" s="9" t="s">
        <v>1096</v>
      </c>
      <c r="B474" s="9" t="s">
        <v>1108</v>
      </c>
      <c r="C474" s="92" t="s">
        <v>31</v>
      </c>
      <c r="D474" s="180">
        <v>800</v>
      </c>
      <c r="E474" s="11" t="s">
        <v>1040</v>
      </c>
      <c r="F474" s="9" t="s">
        <v>1098</v>
      </c>
      <c r="G474" s="9" t="s">
        <v>1109</v>
      </c>
    </row>
    <row r="475" spans="1:7" x14ac:dyDescent="0.2">
      <c r="A475" s="9" t="s">
        <v>1096</v>
      </c>
      <c r="B475" s="9" t="s">
        <v>1110</v>
      </c>
      <c r="C475" s="92" t="s">
        <v>31</v>
      </c>
      <c r="D475" s="180">
        <v>790</v>
      </c>
      <c r="E475" s="11" t="s">
        <v>1040</v>
      </c>
      <c r="F475" s="9" t="s">
        <v>1127</v>
      </c>
      <c r="G475" s="9"/>
    </row>
    <row r="476" spans="1:7" x14ac:dyDescent="0.2">
      <c r="A476" s="9" t="s">
        <v>1096</v>
      </c>
      <c r="B476" s="9" t="s">
        <v>1110</v>
      </c>
      <c r="C476" s="92" t="s">
        <v>31</v>
      </c>
      <c r="D476" s="181">
        <v>57</v>
      </c>
      <c r="E476" s="11" t="s">
        <v>1040</v>
      </c>
      <c r="F476" s="9" t="s">
        <v>168</v>
      </c>
      <c r="G476" s="9"/>
    </row>
    <row r="477" spans="1:7" x14ac:dyDescent="0.2">
      <c r="A477" s="9" t="s">
        <v>1096</v>
      </c>
      <c r="B477" s="9" t="s">
        <v>1112</v>
      </c>
      <c r="C477" s="92" t="s">
        <v>31</v>
      </c>
      <c r="D477" s="180">
        <v>780</v>
      </c>
      <c r="E477" s="11" t="s">
        <v>1040</v>
      </c>
      <c r="F477" s="9" t="s">
        <v>1127</v>
      </c>
      <c r="G477" s="9"/>
    </row>
    <row r="478" spans="1:7" x14ac:dyDescent="0.2">
      <c r="A478" s="9" t="s">
        <v>1096</v>
      </c>
      <c r="B478" s="9" t="s">
        <v>1112</v>
      </c>
      <c r="C478" s="92" t="s">
        <v>31</v>
      </c>
      <c r="D478" s="181">
        <v>57</v>
      </c>
      <c r="E478" s="11" t="s">
        <v>1040</v>
      </c>
      <c r="F478" s="9" t="s">
        <v>168</v>
      </c>
      <c r="G478" s="9"/>
    </row>
    <row r="479" spans="1:7" x14ac:dyDescent="0.2">
      <c r="A479" s="9" t="s">
        <v>138</v>
      </c>
      <c r="B479" s="9" t="s">
        <v>1039</v>
      </c>
      <c r="C479" s="92" t="s">
        <v>32</v>
      </c>
      <c r="D479" s="16">
        <v>7209</v>
      </c>
      <c r="E479" s="11" t="s">
        <v>1040</v>
      </c>
      <c r="F479" s="9" t="s">
        <v>1062</v>
      </c>
      <c r="G479" s="9"/>
    </row>
    <row r="480" spans="1:7" x14ac:dyDescent="0.2">
      <c r="A480" s="9" t="s">
        <v>1055</v>
      </c>
      <c r="B480" s="11" t="s">
        <v>1039</v>
      </c>
      <c r="C480" s="92" t="s">
        <v>32</v>
      </c>
      <c r="D480" s="84">
        <v>250</v>
      </c>
      <c r="E480" s="11" t="s">
        <v>1040</v>
      </c>
      <c r="F480" s="9" t="s">
        <v>1041</v>
      </c>
      <c r="G480" s="9"/>
    </row>
    <row r="481" spans="1:7" x14ac:dyDescent="0.2">
      <c r="A481" s="9" t="s">
        <v>1055</v>
      </c>
      <c r="B481" s="9" t="s">
        <v>1157</v>
      </c>
      <c r="C481" s="92" t="s">
        <v>32</v>
      </c>
      <c r="D481" s="142">
        <v>330</v>
      </c>
      <c r="E481" s="11" t="s">
        <v>1040</v>
      </c>
      <c r="F481" s="9" t="s">
        <v>1121</v>
      </c>
      <c r="G481" s="9"/>
    </row>
    <row r="482" spans="1:7" x14ac:dyDescent="0.2">
      <c r="A482" s="9" t="s">
        <v>1056</v>
      </c>
      <c r="B482" s="11" t="s">
        <v>1158</v>
      </c>
      <c r="C482" s="92" t="s">
        <v>32</v>
      </c>
      <c r="D482" s="17">
        <v>50.7</v>
      </c>
      <c r="E482" s="11" t="s">
        <v>1040</v>
      </c>
      <c r="F482" s="9" t="s">
        <v>1121</v>
      </c>
      <c r="G482" s="9"/>
    </row>
    <row r="483" spans="1:7" x14ac:dyDescent="0.2">
      <c r="A483" s="9" t="s">
        <v>1056</v>
      </c>
      <c r="B483" s="9" t="s">
        <v>1159</v>
      </c>
      <c r="C483" s="92" t="s">
        <v>32</v>
      </c>
      <c r="D483" s="17">
        <v>18.3</v>
      </c>
      <c r="E483" s="11" t="s">
        <v>1040</v>
      </c>
      <c r="F483" s="9" t="s">
        <v>1121</v>
      </c>
      <c r="G483" s="9"/>
    </row>
    <row r="484" spans="1:7" x14ac:dyDescent="0.2">
      <c r="A484" s="9" t="s">
        <v>1056</v>
      </c>
      <c r="B484" s="9" t="s">
        <v>1060</v>
      </c>
      <c r="C484" s="92" t="s">
        <v>32</v>
      </c>
      <c r="D484" s="17">
        <v>2.5</v>
      </c>
      <c r="E484" s="11" t="s">
        <v>1040</v>
      </c>
      <c r="F484" s="9" t="s">
        <v>1121</v>
      </c>
      <c r="G484" s="9"/>
    </row>
    <row r="485" spans="1:7" x14ac:dyDescent="0.2">
      <c r="A485" s="9" t="s">
        <v>1056</v>
      </c>
      <c r="B485" s="9" t="s">
        <v>1057</v>
      </c>
      <c r="C485" s="92" t="s">
        <v>32</v>
      </c>
      <c r="D485" s="17">
        <v>70.8</v>
      </c>
      <c r="E485" s="11" t="s">
        <v>1040</v>
      </c>
      <c r="F485" s="9" t="s">
        <v>1127</v>
      </c>
      <c r="G485" s="9"/>
    </row>
    <row r="486" spans="1:7" x14ac:dyDescent="0.2">
      <c r="A486" s="9" t="s">
        <v>1056</v>
      </c>
      <c r="B486" s="9" t="s">
        <v>1057</v>
      </c>
      <c r="C486" s="92" t="s">
        <v>32</v>
      </c>
      <c r="D486" s="17">
        <v>71</v>
      </c>
      <c r="E486" s="11" t="s">
        <v>1040</v>
      </c>
      <c r="F486" s="9" t="s">
        <v>1128</v>
      </c>
      <c r="G486" s="9"/>
    </row>
    <row r="487" spans="1:7" x14ac:dyDescent="0.2">
      <c r="A487" s="9" t="s">
        <v>1056</v>
      </c>
      <c r="B487" s="9" t="s">
        <v>1057</v>
      </c>
      <c r="C487" s="92" t="s">
        <v>32</v>
      </c>
      <c r="D487" s="17">
        <v>70.8</v>
      </c>
      <c r="E487" s="11" t="s">
        <v>1040</v>
      </c>
      <c r="F487" s="9" t="s">
        <v>1175</v>
      </c>
      <c r="G487" s="9"/>
    </row>
    <row r="488" spans="1:7" x14ac:dyDescent="0.2">
      <c r="A488" s="9" t="s">
        <v>1061</v>
      </c>
      <c r="B488" s="9" t="s">
        <v>1039</v>
      </c>
      <c r="C488" s="92" t="s">
        <v>32</v>
      </c>
      <c r="D488" s="20">
        <v>3761</v>
      </c>
      <c r="E488" s="11" t="s">
        <v>1040</v>
      </c>
      <c r="F488" s="9" t="s">
        <v>1062</v>
      </c>
      <c r="G488" s="9"/>
    </row>
    <row r="489" spans="1:7" x14ac:dyDescent="0.2">
      <c r="A489" s="9" t="s">
        <v>1061</v>
      </c>
      <c r="B489" s="9" t="s">
        <v>1065</v>
      </c>
      <c r="C489" s="92" t="s">
        <v>32</v>
      </c>
      <c r="D489" s="13">
        <v>200</v>
      </c>
      <c r="E489" s="11" t="s">
        <v>1040</v>
      </c>
      <c r="F489" s="9" t="s">
        <v>1064</v>
      </c>
      <c r="G489" s="9"/>
    </row>
    <row r="490" spans="1:7" x14ac:dyDescent="0.2">
      <c r="A490" s="9" t="s">
        <v>1061</v>
      </c>
      <c r="B490" s="9" t="s">
        <v>1063</v>
      </c>
      <c r="C490" s="92" t="s">
        <v>32</v>
      </c>
      <c r="D490" s="13">
        <v>56</v>
      </c>
      <c r="E490" s="11" t="s">
        <v>1040</v>
      </c>
      <c r="F490" s="9" t="s">
        <v>1064</v>
      </c>
      <c r="G490" s="9"/>
    </row>
    <row r="491" spans="1:7" x14ac:dyDescent="0.2">
      <c r="A491" s="9" t="s">
        <v>1061</v>
      </c>
      <c r="B491" s="9" t="s">
        <v>1065</v>
      </c>
      <c r="C491" s="92" t="s">
        <v>32</v>
      </c>
      <c r="D491" s="13">
        <v>200</v>
      </c>
      <c r="E491" s="11" t="s">
        <v>1040</v>
      </c>
      <c r="F491" s="9" t="s">
        <v>168</v>
      </c>
      <c r="G491" s="9"/>
    </row>
    <row r="492" spans="1:7" x14ac:dyDescent="0.2">
      <c r="A492" s="9" t="s">
        <v>1061</v>
      </c>
      <c r="B492" s="9" t="s">
        <v>1063</v>
      </c>
      <c r="C492" s="92" t="s">
        <v>32</v>
      </c>
      <c r="D492" s="13">
        <v>56</v>
      </c>
      <c r="E492" s="11" t="s">
        <v>1040</v>
      </c>
      <c r="F492" s="9" t="s">
        <v>168</v>
      </c>
      <c r="G492" s="9"/>
    </row>
    <row r="493" spans="1:7" x14ac:dyDescent="0.2">
      <c r="A493" s="9" t="s">
        <v>1066</v>
      </c>
      <c r="B493" s="9" t="s">
        <v>1122</v>
      </c>
      <c r="C493" s="92" t="s">
        <v>32</v>
      </c>
      <c r="D493" s="141">
        <v>109</v>
      </c>
      <c r="E493" s="11" t="s">
        <v>1040</v>
      </c>
      <c r="F493" s="9" t="s">
        <v>168</v>
      </c>
      <c r="G493" s="9" t="s">
        <v>1111</v>
      </c>
    </row>
    <row r="494" spans="1:7" x14ac:dyDescent="0.2">
      <c r="A494" s="9" t="s">
        <v>1066</v>
      </c>
      <c r="B494" s="11" t="s">
        <v>1155</v>
      </c>
      <c r="C494" s="92" t="s">
        <v>32</v>
      </c>
      <c r="D494" s="148">
        <v>1</v>
      </c>
      <c r="E494" s="11" t="s">
        <v>1040</v>
      </c>
      <c r="F494" s="9" t="s">
        <v>168</v>
      </c>
      <c r="G494" s="9" t="s">
        <v>1111</v>
      </c>
    </row>
    <row r="495" spans="1:7" x14ac:dyDescent="0.2">
      <c r="A495" s="9" t="s">
        <v>1066</v>
      </c>
      <c r="B495" s="9" t="s">
        <v>1077</v>
      </c>
      <c r="C495" s="92" t="s">
        <v>32</v>
      </c>
      <c r="D495" s="141">
        <v>200</v>
      </c>
      <c r="E495" s="11" t="s">
        <v>1040</v>
      </c>
      <c r="F495" s="9" t="s">
        <v>168</v>
      </c>
      <c r="G495" s="9" t="s">
        <v>1130</v>
      </c>
    </row>
    <row r="496" spans="1:7" x14ac:dyDescent="0.2">
      <c r="A496" s="9" t="s">
        <v>1096</v>
      </c>
      <c r="B496" s="9" t="s">
        <v>1097</v>
      </c>
      <c r="C496" s="92" t="s">
        <v>32</v>
      </c>
      <c r="D496" s="180">
        <v>109</v>
      </c>
      <c r="E496" s="11" t="s">
        <v>1040</v>
      </c>
      <c r="F496" s="9" t="s">
        <v>1098</v>
      </c>
      <c r="G496" s="9" t="s">
        <v>1099</v>
      </c>
    </row>
    <row r="497" spans="1:7" x14ac:dyDescent="0.2">
      <c r="A497" s="9" t="s">
        <v>1096</v>
      </c>
      <c r="B497" s="9" t="s">
        <v>1100</v>
      </c>
      <c r="C497" s="92" t="s">
        <v>32</v>
      </c>
      <c r="D497" s="180">
        <v>109</v>
      </c>
      <c r="E497" s="11" t="s">
        <v>1040</v>
      </c>
      <c r="F497" s="9" t="s">
        <v>1098</v>
      </c>
      <c r="G497" s="9" t="s">
        <v>1101</v>
      </c>
    </row>
    <row r="498" spans="1:7" x14ac:dyDescent="0.2">
      <c r="A498" s="9" t="s">
        <v>1096</v>
      </c>
      <c r="B498" s="9" t="s">
        <v>1106</v>
      </c>
      <c r="C498" s="92" t="s">
        <v>32</v>
      </c>
      <c r="D498" s="180">
        <v>99</v>
      </c>
      <c r="E498" s="11" t="s">
        <v>1040</v>
      </c>
      <c r="F498" s="9" t="s">
        <v>1098</v>
      </c>
      <c r="G498" s="9" t="s">
        <v>1107</v>
      </c>
    </row>
    <row r="499" spans="1:7" x14ac:dyDescent="0.2">
      <c r="A499" s="9" t="s">
        <v>1096</v>
      </c>
      <c r="B499" s="9" t="s">
        <v>1108</v>
      </c>
      <c r="C499" s="92" t="s">
        <v>32</v>
      </c>
      <c r="D499" s="180">
        <v>119</v>
      </c>
      <c r="E499" s="11" t="s">
        <v>1040</v>
      </c>
      <c r="F499" s="9" t="s">
        <v>1098</v>
      </c>
      <c r="G499" s="9" t="s">
        <v>1109</v>
      </c>
    </row>
    <row r="500" spans="1:7" x14ac:dyDescent="0.2">
      <c r="A500" s="9" t="s">
        <v>1096</v>
      </c>
      <c r="B500" s="9" t="s">
        <v>1110</v>
      </c>
      <c r="C500" s="92" t="s">
        <v>32</v>
      </c>
      <c r="D500" s="180">
        <v>109</v>
      </c>
      <c r="E500" s="11" t="s">
        <v>1040</v>
      </c>
      <c r="F500" s="9" t="s">
        <v>1127</v>
      </c>
      <c r="G500" s="9"/>
    </row>
    <row r="501" spans="1:7" x14ac:dyDescent="0.2">
      <c r="A501" s="9" t="s">
        <v>1096</v>
      </c>
      <c r="B501" s="9" t="s">
        <v>1110</v>
      </c>
      <c r="C501" s="92" t="s">
        <v>32</v>
      </c>
      <c r="D501" s="181">
        <v>335</v>
      </c>
      <c r="E501" s="11" t="s">
        <v>1040</v>
      </c>
      <c r="F501" s="9" t="s">
        <v>168</v>
      </c>
      <c r="G501" s="9"/>
    </row>
    <row r="502" spans="1:7" x14ac:dyDescent="0.2">
      <c r="A502" s="9" t="s">
        <v>1096</v>
      </c>
      <c r="B502" s="9" t="s">
        <v>1112</v>
      </c>
      <c r="C502" s="92" t="s">
        <v>32</v>
      </c>
      <c r="D502" s="180">
        <v>99</v>
      </c>
      <c r="E502" s="11" t="s">
        <v>1040</v>
      </c>
      <c r="F502" s="9" t="s">
        <v>1127</v>
      </c>
      <c r="G502" s="9"/>
    </row>
    <row r="503" spans="1:7" x14ac:dyDescent="0.2">
      <c r="A503" s="9" t="s">
        <v>1096</v>
      </c>
      <c r="B503" s="9" t="s">
        <v>1112</v>
      </c>
      <c r="C503" s="92" t="s">
        <v>32</v>
      </c>
      <c r="D503" s="181">
        <v>335</v>
      </c>
      <c r="E503" s="11" t="s">
        <v>1040</v>
      </c>
      <c r="F503" s="9" t="s">
        <v>168</v>
      </c>
      <c r="G503" s="9"/>
    </row>
    <row r="504" spans="1:7" x14ac:dyDescent="0.2">
      <c r="A504" s="9" t="s">
        <v>144</v>
      </c>
      <c r="B504" s="9" t="s">
        <v>1039</v>
      </c>
      <c r="C504" s="92" t="s">
        <v>32</v>
      </c>
      <c r="D504" s="16">
        <v>50</v>
      </c>
      <c r="E504" s="11" t="s">
        <v>1040</v>
      </c>
      <c r="F504" s="9" t="s">
        <v>1128</v>
      </c>
      <c r="G504" s="9"/>
    </row>
    <row r="505" spans="1:7" x14ac:dyDescent="0.2">
      <c r="A505" s="9" t="s">
        <v>1095</v>
      </c>
      <c r="B505" s="9" t="s">
        <v>199</v>
      </c>
      <c r="C505" s="92" t="s">
        <v>33</v>
      </c>
      <c r="D505" s="13">
        <v>0</v>
      </c>
      <c r="E505" s="9" t="s">
        <v>1164</v>
      </c>
      <c r="F505" s="9" t="s">
        <v>1132</v>
      </c>
      <c r="G505" s="9" t="s">
        <v>1167</v>
      </c>
    </row>
    <row r="506" spans="1:7" x14ac:dyDescent="0.2">
      <c r="A506" s="9" t="s">
        <v>1095</v>
      </c>
      <c r="B506" s="9" t="s">
        <v>199</v>
      </c>
      <c r="C506" s="92" t="s">
        <v>33</v>
      </c>
      <c r="D506" s="13">
        <v>0</v>
      </c>
      <c r="E506" s="9" t="s">
        <v>177</v>
      </c>
      <c r="F506" s="9" t="s">
        <v>209</v>
      </c>
      <c r="G506" s="9"/>
    </row>
    <row r="507" spans="1:7" x14ac:dyDescent="0.2">
      <c r="A507" s="9" t="s">
        <v>1095</v>
      </c>
      <c r="B507" s="9" t="s">
        <v>198</v>
      </c>
      <c r="C507" s="92" t="s">
        <v>33</v>
      </c>
      <c r="D507" s="19">
        <v>0.01</v>
      </c>
      <c r="E507" s="9" t="s">
        <v>1164</v>
      </c>
      <c r="F507" s="9" t="s">
        <v>1132</v>
      </c>
      <c r="G507" s="9" t="s">
        <v>1165</v>
      </c>
    </row>
    <row r="508" spans="1:7" x14ac:dyDescent="0.2">
      <c r="A508" s="9" t="s">
        <v>1095</v>
      </c>
      <c r="B508" s="9" t="s">
        <v>198</v>
      </c>
      <c r="C508" s="92" t="s">
        <v>33</v>
      </c>
      <c r="D508" s="13">
        <v>3.8E-3</v>
      </c>
      <c r="E508" s="9" t="s">
        <v>1164</v>
      </c>
      <c r="F508" s="9" t="s">
        <v>208</v>
      </c>
      <c r="G508" s="9" t="s">
        <v>1165</v>
      </c>
    </row>
    <row r="509" spans="1:7" x14ac:dyDescent="0.2">
      <c r="A509" s="9" t="s">
        <v>1095</v>
      </c>
      <c r="B509" s="9" t="s">
        <v>198</v>
      </c>
      <c r="C509" s="92" t="s">
        <v>33</v>
      </c>
      <c r="D509" s="145">
        <v>695</v>
      </c>
      <c r="E509" s="9" t="s">
        <v>177</v>
      </c>
      <c r="F509" s="9" t="s">
        <v>209</v>
      </c>
      <c r="G509" s="9"/>
    </row>
    <row r="510" spans="1:7" x14ac:dyDescent="0.2">
      <c r="A510" s="9" t="s">
        <v>1096</v>
      </c>
      <c r="B510" s="9" t="s">
        <v>1039</v>
      </c>
      <c r="C510" s="92" t="s">
        <v>33</v>
      </c>
      <c r="D510" s="180">
        <v>186</v>
      </c>
      <c r="E510" s="11" t="s">
        <v>1040</v>
      </c>
      <c r="F510" s="9" t="s">
        <v>1126</v>
      </c>
      <c r="G510" s="9"/>
    </row>
    <row r="511" spans="1:7" x14ac:dyDescent="0.2">
      <c r="A511" s="9" t="s">
        <v>1096</v>
      </c>
      <c r="B511" s="9" t="s">
        <v>1097</v>
      </c>
      <c r="C511" s="92" t="s">
        <v>33</v>
      </c>
      <c r="D511" s="186">
        <v>28</v>
      </c>
      <c r="E511" s="11" t="s">
        <v>1040</v>
      </c>
      <c r="F511" s="9" t="s">
        <v>1098</v>
      </c>
      <c r="G511" s="9" t="s">
        <v>1099</v>
      </c>
    </row>
    <row r="512" spans="1:7" x14ac:dyDescent="0.2">
      <c r="A512" s="9" t="s">
        <v>1096</v>
      </c>
      <c r="B512" s="9" t="s">
        <v>1100</v>
      </c>
      <c r="C512" s="92" t="s">
        <v>33</v>
      </c>
      <c r="D512" s="180">
        <v>180</v>
      </c>
      <c r="E512" s="11" t="s">
        <v>1040</v>
      </c>
      <c r="F512" s="9" t="s">
        <v>1098</v>
      </c>
      <c r="G512" s="9" t="s">
        <v>1101</v>
      </c>
    </row>
    <row r="513" spans="1:7" x14ac:dyDescent="0.2">
      <c r="A513" s="9" t="s">
        <v>1096</v>
      </c>
      <c r="B513" s="9" t="s">
        <v>1105</v>
      </c>
      <c r="C513" s="92" t="s">
        <v>33</v>
      </c>
      <c r="D513" s="180">
        <v>169.16666666666671</v>
      </c>
      <c r="E513" s="11" t="s">
        <v>1040</v>
      </c>
      <c r="F513" s="9" t="s">
        <v>1069</v>
      </c>
      <c r="G513" s="9"/>
    </row>
    <row r="514" spans="1:7" x14ac:dyDescent="0.2">
      <c r="A514" s="9" t="s">
        <v>1096</v>
      </c>
      <c r="B514" s="9" t="s">
        <v>1106</v>
      </c>
      <c r="C514" s="92" t="s">
        <v>33</v>
      </c>
      <c r="D514" s="186">
        <v>12</v>
      </c>
      <c r="E514" s="11" t="s">
        <v>1040</v>
      </c>
      <c r="F514" s="9" t="s">
        <v>1098</v>
      </c>
      <c r="G514" s="9" t="s">
        <v>1107</v>
      </c>
    </row>
    <row r="515" spans="1:7" x14ac:dyDescent="0.2">
      <c r="A515" s="9" t="s">
        <v>1096</v>
      </c>
      <c r="B515" s="9" t="s">
        <v>1108</v>
      </c>
      <c r="C515" s="92" t="s">
        <v>33</v>
      </c>
      <c r="D515" s="186">
        <v>51</v>
      </c>
      <c r="E515" s="11" t="s">
        <v>1040</v>
      </c>
      <c r="F515" s="9" t="s">
        <v>1098</v>
      </c>
      <c r="G515" s="9" t="s">
        <v>1109</v>
      </c>
    </row>
    <row r="516" spans="1:7" x14ac:dyDescent="0.2">
      <c r="A516" s="9" t="s">
        <v>1096</v>
      </c>
      <c r="B516" s="9" t="s">
        <v>1110</v>
      </c>
      <c r="C516" s="92" t="s">
        <v>33</v>
      </c>
      <c r="D516" s="180">
        <v>148</v>
      </c>
      <c r="E516" s="11" t="s">
        <v>1040</v>
      </c>
      <c r="F516" s="9" t="s">
        <v>168</v>
      </c>
      <c r="G516" s="9"/>
    </row>
    <row r="517" spans="1:7" x14ac:dyDescent="0.2">
      <c r="A517" s="9" t="s">
        <v>1096</v>
      </c>
      <c r="B517" s="9" t="s">
        <v>1168</v>
      </c>
      <c r="C517" s="92" t="s">
        <v>33</v>
      </c>
      <c r="D517" s="180">
        <v>186</v>
      </c>
      <c r="E517" s="11" t="s">
        <v>1040</v>
      </c>
      <c r="F517" s="9" t="s">
        <v>1169</v>
      </c>
      <c r="G517" s="9"/>
    </row>
    <row r="518" spans="1:7" x14ac:dyDescent="0.2">
      <c r="A518" s="9" t="s">
        <v>1096</v>
      </c>
      <c r="B518" s="9" t="s">
        <v>198</v>
      </c>
      <c r="C518" s="92" t="s">
        <v>33</v>
      </c>
      <c r="D518" s="180">
        <v>200</v>
      </c>
      <c r="E518" s="11" t="s">
        <v>1040</v>
      </c>
      <c r="F518" s="9" t="s">
        <v>1129</v>
      </c>
      <c r="G518" s="9"/>
    </row>
    <row r="519" spans="1:7" x14ac:dyDescent="0.2">
      <c r="A519" s="9" t="s">
        <v>137</v>
      </c>
      <c r="B519" s="9" t="s">
        <v>1039</v>
      </c>
      <c r="C519" s="92" t="s">
        <v>34</v>
      </c>
      <c r="D519" s="18">
        <v>20</v>
      </c>
      <c r="E519" s="11" t="s">
        <v>1040</v>
      </c>
      <c r="F519" s="9" t="s">
        <v>1041</v>
      </c>
      <c r="G519" s="9"/>
    </row>
    <row r="520" spans="1:7" x14ac:dyDescent="0.2">
      <c r="A520" s="9" t="s">
        <v>137</v>
      </c>
      <c r="B520" s="9" t="s">
        <v>1044</v>
      </c>
      <c r="C520" s="92" t="s">
        <v>34</v>
      </c>
      <c r="D520" s="18">
        <v>1597</v>
      </c>
      <c r="E520" s="11" t="s">
        <v>1040</v>
      </c>
      <c r="F520" s="9" t="s">
        <v>1045</v>
      </c>
      <c r="G520" s="9"/>
    </row>
    <row r="521" spans="1:7" x14ac:dyDescent="0.2">
      <c r="A521" s="9" t="s">
        <v>1046</v>
      </c>
      <c r="B521" s="11" t="s">
        <v>1047</v>
      </c>
      <c r="C521" s="92" t="s">
        <v>34</v>
      </c>
      <c r="D521" s="16">
        <v>721.04</v>
      </c>
      <c r="E521" s="11" t="s">
        <v>1040</v>
      </c>
      <c r="F521" s="9" t="s">
        <v>1127</v>
      </c>
      <c r="G521" s="9"/>
    </row>
    <row r="522" spans="1:7" x14ac:dyDescent="0.2">
      <c r="A522" s="9" t="s">
        <v>1046</v>
      </c>
      <c r="B522" s="9" t="s">
        <v>1051</v>
      </c>
      <c r="C522" s="92" t="s">
        <v>34</v>
      </c>
      <c r="D522" s="13">
        <v>15.75</v>
      </c>
      <c r="E522" s="11" t="s">
        <v>1040</v>
      </c>
      <c r="F522" s="9" t="s">
        <v>1127</v>
      </c>
      <c r="G522" s="9"/>
    </row>
    <row r="523" spans="1:7" x14ac:dyDescent="0.2">
      <c r="A523" s="9" t="s">
        <v>1046</v>
      </c>
      <c r="B523" s="9" t="s">
        <v>1051</v>
      </c>
      <c r="C523" s="92" t="s">
        <v>34</v>
      </c>
      <c r="D523" s="13">
        <v>49</v>
      </c>
      <c r="E523" s="11" t="s">
        <v>1040</v>
      </c>
      <c r="F523" s="9" t="s">
        <v>1052</v>
      </c>
      <c r="G523" s="9"/>
    </row>
    <row r="524" spans="1:7" x14ac:dyDescent="0.2">
      <c r="A524" s="9" t="s">
        <v>1046</v>
      </c>
      <c r="B524" s="9" t="s">
        <v>1053</v>
      </c>
      <c r="C524" s="92" t="s">
        <v>34</v>
      </c>
      <c r="D524" s="15">
        <v>676</v>
      </c>
      <c r="E524" s="11" t="s">
        <v>1040</v>
      </c>
      <c r="F524" s="9" t="s">
        <v>1052</v>
      </c>
      <c r="G524" s="9"/>
    </row>
    <row r="525" spans="1:7" x14ac:dyDescent="0.2">
      <c r="A525" s="9" t="s">
        <v>138</v>
      </c>
      <c r="B525" s="9" t="s">
        <v>1039</v>
      </c>
      <c r="C525" s="92" t="s">
        <v>34</v>
      </c>
      <c r="D525" s="17">
        <v>120155</v>
      </c>
      <c r="E525" s="11" t="s">
        <v>1040</v>
      </c>
      <c r="F525" s="9" t="s">
        <v>1062</v>
      </c>
      <c r="G525" s="9"/>
    </row>
    <row r="526" spans="1:7" x14ac:dyDescent="0.2">
      <c r="A526" s="9" t="s">
        <v>138</v>
      </c>
      <c r="B526" s="9" t="s">
        <v>1039</v>
      </c>
      <c r="C526" s="92" t="s">
        <v>34</v>
      </c>
      <c r="D526" s="17">
        <v>12023</v>
      </c>
      <c r="E526" s="11" t="s">
        <v>1040</v>
      </c>
      <c r="F526" s="9" t="s">
        <v>1052</v>
      </c>
      <c r="G526" s="9"/>
    </row>
    <row r="527" spans="1:7" x14ac:dyDescent="0.2">
      <c r="A527" s="9" t="s">
        <v>1055</v>
      </c>
      <c r="B527" s="11" t="s">
        <v>1039</v>
      </c>
      <c r="C527" s="92" t="s">
        <v>34</v>
      </c>
      <c r="D527" s="81">
        <v>7587</v>
      </c>
      <c r="E527" s="11" t="s">
        <v>1040</v>
      </c>
      <c r="F527" s="9" t="s">
        <v>1052</v>
      </c>
      <c r="G527" s="9"/>
    </row>
    <row r="528" spans="1:7" x14ac:dyDescent="0.2">
      <c r="A528" s="9" t="s">
        <v>1056</v>
      </c>
      <c r="B528" s="11" t="s">
        <v>1158</v>
      </c>
      <c r="C528" s="92" t="s">
        <v>34</v>
      </c>
      <c r="D528" s="17">
        <v>50.7</v>
      </c>
      <c r="E528" s="11" t="s">
        <v>1040</v>
      </c>
      <c r="F528" s="9" t="s">
        <v>1121</v>
      </c>
      <c r="G528" s="9"/>
    </row>
    <row r="529" spans="1:7" x14ac:dyDescent="0.2">
      <c r="A529" s="9" t="s">
        <v>1056</v>
      </c>
      <c r="B529" s="9" t="s">
        <v>1159</v>
      </c>
      <c r="C529" s="92" t="s">
        <v>34</v>
      </c>
      <c r="D529" s="17">
        <v>33.700000000000003</v>
      </c>
      <c r="E529" s="11" t="s">
        <v>1040</v>
      </c>
      <c r="F529" s="9" t="s">
        <v>1121</v>
      </c>
      <c r="G529" s="9"/>
    </row>
    <row r="530" spans="1:7" x14ac:dyDescent="0.2">
      <c r="A530" s="9" t="s">
        <v>1056</v>
      </c>
      <c r="B530" s="9" t="s">
        <v>1060</v>
      </c>
      <c r="C530" s="92" t="s">
        <v>34</v>
      </c>
      <c r="D530" s="17">
        <v>12.4</v>
      </c>
      <c r="E530" s="11" t="s">
        <v>1040</v>
      </c>
      <c r="F530" s="9" t="s">
        <v>1121</v>
      </c>
      <c r="G530" s="9"/>
    </row>
    <row r="531" spans="1:7" x14ac:dyDescent="0.2">
      <c r="A531" s="9" t="s">
        <v>1056</v>
      </c>
      <c r="B531" s="9" t="s">
        <v>1057</v>
      </c>
      <c r="C531" s="92" t="s">
        <v>34</v>
      </c>
      <c r="D531" s="17">
        <v>300</v>
      </c>
      <c r="E531" s="11" t="s">
        <v>1040</v>
      </c>
      <c r="F531" s="9" t="s">
        <v>1160</v>
      </c>
      <c r="G531" s="9"/>
    </row>
    <row r="532" spans="1:7" x14ac:dyDescent="0.2">
      <c r="A532" s="9" t="s">
        <v>1056</v>
      </c>
      <c r="B532" s="9" t="s">
        <v>1057</v>
      </c>
      <c r="C532" s="92" t="s">
        <v>34</v>
      </c>
      <c r="D532" s="12">
        <v>1297.4000000000001</v>
      </c>
      <c r="E532" s="11" t="s">
        <v>1040</v>
      </c>
      <c r="F532" s="9" t="s">
        <v>1127</v>
      </c>
      <c r="G532" s="9"/>
    </row>
    <row r="533" spans="1:7" x14ac:dyDescent="0.2">
      <c r="A533" s="9" t="s">
        <v>1056</v>
      </c>
      <c r="B533" s="9" t="s">
        <v>1057</v>
      </c>
      <c r="C533" s="92" t="s">
        <v>34</v>
      </c>
      <c r="D533" s="17">
        <v>256</v>
      </c>
      <c r="E533" s="11" t="s">
        <v>1040</v>
      </c>
      <c r="F533" s="9" t="s">
        <v>1128</v>
      </c>
      <c r="G533" s="9"/>
    </row>
    <row r="534" spans="1:7" x14ac:dyDescent="0.2">
      <c r="A534" s="9" t="s">
        <v>1056</v>
      </c>
      <c r="B534" s="11" t="s">
        <v>1059</v>
      </c>
      <c r="C534" s="92" t="s">
        <v>34</v>
      </c>
      <c r="D534" s="12">
        <v>3217</v>
      </c>
      <c r="E534" s="11" t="s">
        <v>1040</v>
      </c>
      <c r="F534" s="9" t="s">
        <v>1052</v>
      </c>
      <c r="G534" s="9"/>
    </row>
    <row r="535" spans="1:7" x14ac:dyDescent="0.2">
      <c r="A535" s="9" t="s">
        <v>1056</v>
      </c>
      <c r="B535" s="11" t="s">
        <v>1060</v>
      </c>
      <c r="C535" s="92" t="s">
        <v>34</v>
      </c>
      <c r="D535" s="12">
        <v>3355</v>
      </c>
      <c r="E535" s="11" t="s">
        <v>1040</v>
      </c>
      <c r="F535" s="9" t="s">
        <v>1052</v>
      </c>
      <c r="G535" s="9"/>
    </row>
    <row r="536" spans="1:7" x14ac:dyDescent="0.2">
      <c r="A536" s="9" t="s">
        <v>1061</v>
      </c>
      <c r="B536" s="9" t="s">
        <v>1065</v>
      </c>
      <c r="C536" s="92" t="s">
        <v>34</v>
      </c>
      <c r="D536" s="13">
        <v>940</v>
      </c>
      <c r="E536" s="11" t="s">
        <v>1040</v>
      </c>
      <c r="F536" s="9" t="s">
        <v>1129</v>
      </c>
      <c r="G536" s="9"/>
    </row>
    <row r="537" spans="1:7" x14ac:dyDescent="0.2">
      <c r="A537" s="9" t="s">
        <v>1061</v>
      </c>
      <c r="B537" s="9" t="s">
        <v>1063</v>
      </c>
      <c r="C537" s="92" t="s">
        <v>34</v>
      </c>
      <c r="D537" s="13">
        <v>1800</v>
      </c>
      <c r="E537" s="11" t="s">
        <v>1040</v>
      </c>
      <c r="F537" s="9" t="s">
        <v>1129</v>
      </c>
      <c r="G537" s="9"/>
    </row>
    <row r="538" spans="1:7" x14ac:dyDescent="0.2">
      <c r="A538" s="9" t="s">
        <v>1061</v>
      </c>
      <c r="B538" s="9" t="s">
        <v>1039</v>
      </c>
      <c r="C538" s="92" t="s">
        <v>34</v>
      </c>
      <c r="D538" s="20">
        <v>1</v>
      </c>
      <c r="E538" s="11" t="s">
        <v>1040</v>
      </c>
      <c r="F538" s="9" t="s">
        <v>1062</v>
      </c>
      <c r="G538" s="9"/>
    </row>
    <row r="539" spans="1:7" x14ac:dyDescent="0.2">
      <c r="A539" s="9" t="s">
        <v>1061</v>
      </c>
      <c r="B539" s="9" t="s">
        <v>1065</v>
      </c>
      <c r="C539" s="92" t="s">
        <v>34</v>
      </c>
      <c r="D539" s="13">
        <v>940</v>
      </c>
      <c r="E539" s="11" t="s">
        <v>1040</v>
      </c>
      <c r="F539" s="9" t="s">
        <v>1064</v>
      </c>
      <c r="G539" s="9"/>
    </row>
    <row r="540" spans="1:7" x14ac:dyDescent="0.2">
      <c r="A540" s="9" t="s">
        <v>1061</v>
      </c>
      <c r="B540" s="9" t="s">
        <v>1063</v>
      </c>
      <c r="C540" s="92" t="s">
        <v>34</v>
      </c>
      <c r="D540" s="13">
        <v>1800</v>
      </c>
      <c r="E540" s="11" t="s">
        <v>1040</v>
      </c>
      <c r="F540" s="9" t="s">
        <v>1064</v>
      </c>
      <c r="G540" s="9"/>
    </row>
    <row r="541" spans="1:7" x14ac:dyDescent="0.2">
      <c r="A541" s="9" t="s">
        <v>1061</v>
      </c>
      <c r="B541" s="9" t="s">
        <v>1065</v>
      </c>
      <c r="C541" s="92" t="s">
        <v>34</v>
      </c>
      <c r="D541" s="13">
        <v>471</v>
      </c>
      <c r="E541" s="11" t="s">
        <v>1040</v>
      </c>
      <c r="F541" s="9" t="s">
        <v>168</v>
      </c>
      <c r="G541" s="9"/>
    </row>
    <row r="542" spans="1:7" x14ac:dyDescent="0.2">
      <c r="A542" s="9" t="s">
        <v>1061</v>
      </c>
      <c r="B542" s="9" t="s">
        <v>1063</v>
      </c>
      <c r="C542" s="92" t="s">
        <v>34</v>
      </c>
      <c r="D542" s="13">
        <v>1800</v>
      </c>
      <c r="E542" s="11" t="s">
        <v>1040</v>
      </c>
      <c r="F542" s="9" t="s">
        <v>168</v>
      </c>
      <c r="G542" s="9"/>
    </row>
    <row r="543" spans="1:7" x14ac:dyDescent="0.2">
      <c r="A543" s="9" t="s">
        <v>1066</v>
      </c>
      <c r="B543" s="9" t="s">
        <v>1039</v>
      </c>
      <c r="C543" s="92" t="s">
        <v>34</v>
      </c>
      <c r="D543" s="141">
        <v>1</v>
      </c>
      <c r="E543" s="11" t="s">
        <v>1040</v>
      </c>
      <c r="F543" s="9" t="s">
        <v>1067</v>
      </c>
      <c r="G543" s="9"/>
    </row>
    <row r="544" spans="1:7" x14ac:dyDescent="0.2">
      <c r="A544" s="9" t="s">
        <v>1066</v>
      </c>
      <c r="B544" s="9" t="s">
        <v>1122</v>
      </c>
      <c r="C544" s="92" t="s">
        <v>34</v>
      </c>
      <c r="D544" s="148">
        <v>16</v>
      </c>
      <c r="E544" s="11" t="s">
        <v>1040</v>
      </c>
      <c r="F544" s="9" t="s">
        <v>168</v>
      </c>
      <c r="G544" s="9" t="s">
        <v>1111</v>
      </c>
    </row>
    <row r="545" spans="1:7" x14ac:dyDescent="0.2">
      <c r="A545" s="9" t="s">
        <v>1066</v>
      </c>
      <c r="B545" s="9" t="s">
        <v>1068</v>
      </c>
      <c r="C545" s="92" t="s">
        <v>34</v>
      </c>
      <c r="D545" s="147" t="s">
        <v>1188</v>
      </c>
      <c r="E545" s="11" t="s">
        <v>1040</v>
      </c>
      <c r="F545" s="9" t="s">
        <v>1069</v>
      </c>
      <c r="G545" s="9"/>
    </row>
    <row r="546" spans="1:7" x14ac:dyDescent="0.2">
      <c r="A546" s="9" t="s">
        <v>1066</v>
      </c>
      <c r="B546" s="9" t="s">
        <v>1068</v>
      </c>
      <c r="C546" s="92" t="s">
        <v>34</v>
      </c>
      <c r="D546" s="147">
        <v>1</v>
      </c>
      <c r="E546" s="11" t="s">
        <v>1040</v>
      </c>
      <c r="F546" s="9" t="s">
        <v>168</v>
      </c>
      <c r="G546" s="9" t="s">
        <v>1111</v>
      </c>
    </row>
    <row r="547" spans="1:7" ht="64" customHeight="1" x14ac:dyDescent="0.2">
      <c r="A547" s="9" t="s">
        <v>1066</v>
      </c>
      <c r="B547" s="9" t="s">
        <v>1068</v>
      </c>
      <c r="C547" s="92" t="s">
        <v>34</v>
      </c>
      <c r="D547" s="152">
        <v>1043.48</v>
      </c>
      <c r="E547" s="11" t="s">
        <v>1040</v>
      </c>
      <c r="F547" s="6" t="s">
        <v>1070</v>
      </c>
      <c r="G547" s="9"/>
    </row>
    <row r="548" spans="1:7" x14ac:dyDescent="0.2">
      <c r="A548" s="9" t="s">
        <v>1066</v>
      </c>
      <c r="B548" s="9" t="s">
        <v>1077</v>
      </c>
      <c r="C548" s="92" t="s">
        <v>34</v>
      </c>
      <c r="D548" s="152">
        <v>1800</v>
      </c>
      <c r="E548" s="11" t="s">
        <v>1040</v>
      </c>
      <c r="F548" s="9" t="s">
        <v>168</v>
      </c>
      <c r="G548" s="9" t="s">
        <v>1130</v>
      </c>
    </row>
    <row r="549" spans="1:7" x14ac:dyDescent="0.2">
      <c r="A549" s="9" t="s">
        <v>1078</v>
      </c>
      <c r="B549" s="9" t="s">
        <v>1079</v>
      </c>
      <c r="C549" s="92" t="s">
        <v>34</v>
      </c>
      <c r="D549" s="19">
        <v>140</v>
      </c>
      <c r="E549" s="9" t="s">
        <v>194</v>
      </c>
      <c r="F549" s="138" t="s">
        <v>1080</v>
      </c>
      <c r="G549" s="9" t="s">
        <v>1081</v>
      </c>
    </row>
    <row r="550" spans="1:7" x14ac:dyDescent="0.2">
      <c r="A550" s="9" t="s">
        <v>1078</v>
      </c>
      <c r="B550" s="9" t="s">
        <v>1079</v>
      </c>
      <c r="C550" s="92" t="s">
        <v>34</v>
      </c>
      <c r="D550" s="19">
        <v>0</v>
      </c>
      <c r="E550" s="9" t="s">
        <v>194</v>
      </c>
      <c r="F550" s="9" t="s">
        <v>195</v>
      </c>
      <c r="G550" s="9" t="s">
        <v>1131</v>
      </c>
    </row>
    <row r="551" spans="1:7" x14ac:dyDescent="0.2">
      <c r="A551" s="9" t="s">
        <v>1078</v>
      </c>
      <c r="B551" s="9" t="s">
        <v>1133</v>
      </c>
      <c r="C551" s="92" t="s">
        <v>34</v>
      </c>
      <c r="D551" s="15">
        <v>0</v>
      </c>
      <c r="E551" s="9" t="s">
        <v>194</v>
      </c>
      <c r="F551" s="9" t="s">
        <v>195</v>
      </c>
      <c r="G551" s="9" t="s">
        <v>1134</v>
      </c>
    </row>
    <row r="552" spans="1:7" x14ac:dyDescent="0.2">
      <c r="A552" s="9" t="s">
        <v>1078</v>
      </c>
      <c r="B552" s="9" t="s">
        <v>1135</v>
      </c>
      <c r="C552" s="92" t="s">
        <v>34</v>
      </c>
      <c r="D552" s="15">
        <v>0</v>
      </c>
      <c r="E552" s="9" t="s">
        <v>194</v>
      </c>
      <c r="F552" s="9" t="s">
        <v>195</v>
      </c>
      <c r="G552" s="9" t="s">
        <v>1136</v>
      </c>
    </row>
    <row r="553" spans="1:7" x14ac:dyDescent="0.2">
      <c r="A553" s="9" t="s">
        <v>1078</v>
      </c>
      <c r="B553" s="9" t="s">
        <v>192</v>
      </c>
      <c r="C553" s="92" t="s">
        <v>34</v>
      </c>
      <c r="D553" s="13">
        <v>334.688460516676</v>
      </c>
      <c r="E553" s="9" t="s">
        <v>194</v>
      </c>
      <c r="F553" s="9" t="s">
        <v>195</v>
      </c>
      <c r="G553" s="9"/>
    </row>
    <row r="554" spans="1:7" x14ac:dyDescent="0.2">
      <c r="A554" s="9" t="s">
        <v>1078</v>
      </c>
      <c r="B554" s="9" t="s">
        <v>1082</v>
      </c>
      <c r="C554" s="92" t="s">
        <v>34</v>
      </c>
      <c r="D554" s="13">
        <v>500</v>
      </c>
      <c r="E554" s="9" t="s">
        <v>194</v>
      </c>
      <c r="F554" s="138" t="s">
        <v>1080</v>
      </c>
      <c r="G554" s="9" t="s">
        <v>1083</v>
      </c>
    </row>
    <row r="555" spans="1:7" x14ac:dyDescent="0.2">
      <c r="A555" s="9" t="s">
        <v>1078</v>
      </c>
      <c r="B555" s="9" t="s">
        <v>1084</v>
      </c>
      <c r="C555" s="92" t="s">
        <v>34</v>
      </c>
      <c r="D555" s="13">
        <v>949.80032610598278</v>
      </c>
      <c r="E555" s="9" t="s">
        <v>194</v>
      </c>
      <c r="F555" s="138" t="s">
        <v>1080</v>
      </c>
      <c r="G555" s="9" t="s">
        <v>1163</v>
      </c>
    </row>
    <row r="556" spans="1:7" x14ac:dyDescent="0.2">
      <c r="A556" s="9" t="s">
        <v>1078</v>
      </c>
      <c r="B556" s="9" t="s">
        <v>1084</v>
      </c>
      <c r="C556" s="92" t="s">
        <v>34</v>
      </c>
      <c r="D556" s="155">
        <v>704.60713675850002</v>
      </c>
      <c r="E556" s="9" t="s">
        <v>194</v>
      </c>
      <c r="F556" s="9" t="s">
        <v>195</v>
      </c>
      <c r="G556" s="9" t="s">
        <v>1137</v>
      </c>
    </row>
    <row r="557" spans="1:7" x14ac:dyDescent="0.2">
      <c r="A557" s="9" t="s">
        <v>1078</v>
      </c>
      <c r="B557" s="9" t="s">
        <v>1084</v>
      </c>
      <c r="C557" s="92" t="s">
        <v>34</v>
      </c>
      <c r="D557" s="13">
        <v>720</v>
      </c>
      <c r="E557" s="9" t="s">
        <v>194</v>
      </c>
      <c r="F557" s="9" t="s">
        <v>1138</v>
      </c>
      <c r="G557" s="9"/>
    </row>
    <row r="558" spans="1:7" x14ac:dyDescent="0.2">
      <c r="A558" s="9" t="s">
        <v>1078</v>
      </c>
      <c r="B558" s="9" t="s">
        <v>1139</v>
      </c>
      <c r="C558" s="92" t="s">
        <v>34</v>
      </c>
      <c r="D558" s="15">
        <v>673.82208834431788</v>
      </c>
      <c r="E558" s="9" t="s">
        <v>194</v>
      </c>
      <c r="F558" s="9" t="s">
        <v>195</v>
      </c>
      <c r="G558" s="9" t="s">
        <v>1140</v>
      </c>
    </row>
    <row r="559" spans="1:7" x14ac:dyDescent="0.2">
      <c r="A559" s="9" t="s">
        <v>1078</v>
      </c>
      <c r="B559" s="9" t="s">
        <v>1141</v>
      </c>
      <c r="C559" s="92" t="s">
        <v>34</v>
      </c>
      <c r="D559" s="15">
        <v>735.07856339373586</v>
      </c>
      <c r="E559" s="9" t="s">
        <v>194</v>
      </c>
      <c r="F559" s="9" t="s">
        <v>195</v>
      </c>
      <c r="G559" s="9" t="s">
        <v>1142</v>
      </c>
    </row>
    <row r="560" spans="1:7" x14ac:dyDescent="0.2">
      <c r="A560" s="9" t="s">
        <v>1078</v>
      </c>
      <c r="B560" s="9" t="s">
        <v>1143</v>
      </c>
      <c r="C560" s="92" t="s">
        <v>34</v>
      </c>
      <c r="D560" s="156">
        <v>563.68566908885987</v>
      </c>
      <c r="E560" s="9" t="s">
        <v>194</v>
      </c>
      <c r="F560" s="9" t="s">
        <v>195</v>
      </c>
      <c r="G560" s="9" t="s">
        <v>1144</v>
      </c>
    </row>
    <row r="561" spans="1:7" x14ac:dyDescent="0.2">
      <c r="A561" s="9" t="s">
        <v>1078</v>
      </c>
      <c r="B561" s="9" t="s">
        <v>1085</v>
      </c>
      <c r="C561" s="92" t="s">
        <v>34</v>
      </c>
      <c r="D561" s="20">
        <v>1771.4311184369101</v>
      </c>
      <c r="E561" s="9" t="s">
        <v>194</v>
      </c>
      <c r="F561" s="138" t="s">
        <v>1080</v>
      </c>
      <c r="G561" s="9" t="s">
        <v>1086</v>
      </c>
    </row>
    <row r="562" spans="1:7" x14ac:dyDescent="0.2">
      <c r="A562" s="9" t="s">
        <v>1078</v>
      </c>
      <c r="B562" s="9" t="s">
        <v>1085</v>
      </c>
      <c r="C562" s="92" t="s">
        <v>34</v>
      </c>
      <c r="D562" s="20">
        <v>339.26702925864407</v>
      </c>
      <c r="E562" s="9" t="s">
        <v>194</v>
      </c>
      <c r="F562" s="9" t="s">
        <v>195</v>
      </c>
      <c r="G562" s="9" t="s">
        <v>1145</v>
      </c>
    </row>
    <row r="563" spans="1:7" x14ac:dyDescent="0.2">
      <c r="A563" s="9" t="s">
        <v>1078</v>
      </c>
      <c r="B563" s="9" t="s">
        <v>1146</v>
      </c>
      <c r="C563" s="92" t="s">
        <v>34</v>
      </c>
      <c r="D563" s="15">
        <v>390</v>
      </c>
      <c r="E563" s="9" t="s">
        <v>194</v>
      </c>
      <c r="F563" s="9" t="s">
        <v>1138</v>
      </c>
      <c r="G563" s="9"/>
    </row>
    <row r="564" spans="1:7" x14ac:dyDescent="0.2">
      <c r="A564" s="9" t="s">
        <v>1078</v>
      </c>
      <c r="B564" s="9" t="s">
        <v>1147</v>
      </c>
      <c r="C564" s="92" t="s">
        <v>34</v>
      </c>
      <c r="D564" s="15">
        <v>400.52372000823402</v>
      </c>
      <c r="E564" s="9" t="s">
        <v>194</v>
      </c>
      <c r="F564" s="9" t="s">
        <v>195</v>
      </c>
      <c r="G564" s="9" t="s">
        <v>1148</v>
      </c>
    </row>
    <row r="565" spans="1:7" x14ac:dyDescent="0.2">
      <c r="A565" s="9" t="s">
        <v>1078</v>
      </c>
      <c r="B565" s="9" t="s">
        <v>1087</v>
      </c>
      <c r="C565" s="92" t="s">
        <v>34</v>
      </c>
      <c r="D565" s="13">
        <v>513.61251406094698</v>
      </c>
      <c r="E565" s="9" t="s">
        <v>194</v>
      </c>
      <c r="F565" s="9" t="s">
        <v>195</v>
      </c>
      <c r="G565" s="9" t="s">
        <v>1149</v>
      </c>
    </row>
    <row r="566" spans="1:7" x14ac:dyDescent="0.2">
      <c r="A566" s="9" t="s">
        <v>1078</v>
      </c>
      <c r="B566" s="9" t="s">
        <v>1087</v>
      </c>
      <c r="C566" s="92" t="s">
        <v>34</v>
      </c>
      <c r="D566" s="13">
        <v>494</v>
      </c>
      <c r="E566" s="9" t="s">
        <v>194</v>
      </c>
      <c r="F566" s="9" t="s">
        <v>1138</v>
      </c>
      <c r="G566" s="9"/>
    </row>
    <row r="567" spans="1:7" x14ac:dyDescent="0.2">
      <c r="A567" s="9" t="s">
        <v>1078</v>
      </c>
      <c r="B567" s="9" t="s">
        <v>1087</v>
      </c>
      <c r="C567" s="92" t="s">
        <v>34</v>
      </c>
      <c r="D567" s="20">
        <v>1820.831209744819</v>
      </c>
      <c r="E567" s="9" t="s">
        <v>194</v>
      </c>
      <c r="F567" s="138" t="s">
        <v>1080</v>
      </c>
      <c r="G567" s="9" t="s">
        <v>1088</v>
      </c>
    </row>
    <row r="568" spans="1:7" x14ac:dyDescent="0.2">
      <c r="A568" s="9" t="s">
        <v>1078</v>
      </c>
      <c r="B568" s="9" t="s">
        <v>1150</v>
      </c>
      <c r="C568" s="92" t="s">
        <v>34</v>
      </c>
      <c r="D568" s="13">
        <v>620</v>
      </c>
      <c r="E568" s="9" t="s">
        <v>194</v>
      </c>
      <c r="F568" s="9" t="s">
        <v>1138</v>
      </c>
      <c r="G568" s="9"/>
    </row>
    <row r="569" spans="1:7" x14ac:dyDescent="0.2">
      <c r="A569" s="9" t="s">
        <v>1078</v>
      </c>
      <c r="B569" s="9" t="s">
        <v>1150</v>
      </c>
      <c r="C569" s="92" t="s">
        <v>34</v>
      </c>
      <c r="D569" s="13">
        <v>527.74885598022911</v>
      </c>
      <c r="E569" s="9" t="s">
        <v>194</v>
      </c>
      <c r="F569" s="9" t="s">
        <v>195</v>
      </c>
      <c r="G569" s="9" t="s">
        <v>1151</v>
      </c>
    </row>
    <row r="570" spans="1:7" x14ac:dyDescent="0.2">
      <c r="A570" s="9" t="s">
        <v>1078</v>
      </c>
      <c r="B570" s="9" t="s">
        <v>1089</v>
      </c>
      <c r="C570" s="92" t="s">
        <v>34</v>
      </c>
      <c r="D570" s="15">
        <v>2150.2929289079998</v>
      </c>
      <c r="E570" s="9" t="s">
        <v>194</v>
      </c>
      <c r="F570" s="138" t="s">
        <v>1080</v>
      </c>
      <c r="G570" s="9" t="s">
        <v>1090</v>
      </c>
    </row>
    <row r="571" spans="1:7" x14ac:dyDescent="0.2">
      <c r="A571" s="9" t="s">
        <v>1078</v>
      </c>
      <c r="B571" s="9" t="s">
        <v>1091</v>
      </c>
      <c r="C571" s="92" t="s">
        <v>34</v>
      </c>
      <c r="D571" s="19">
        <v>1821.197085558824</v>
      </c>
      <c r="E571" s="9" t="s">
        <v>194</v>
      </c>
      <c r="F571" s="138" t="s">
        <v>1080</v>
      </c>
      <c r="G571" s="9" t="s">
        <v>1092</v>
      </c>
    </row>
    <row r="572" spans="1:7" x14ac:dyDescent="0.2">
      <c r="A572" s="9" t="s">
        <v>1078</v>
      </c>
      <c r="B572" s="9" t="s">
        <v>1091</v>
      </c>
      <c r="C572" s="92" t="s">
        <v>34</v>
      </c>
      <c r="D572" s="19">
        <v>654.97388410213307</v>
      </c>
      <c r="E572" s="9" t="s">
        <v>194</v>
      </c>
      <c r="F572" s="9" t="s">
        <v>195</v>
      </c>
      <c r="G572" s="9" t="s">
        <v>1152</v>
      </c>
    </row>
    <row r="573" spans="1:7" x14ac:dyDescent="0.2">
      <c r="A573" s="9" t="s">
        <v>1078</v>
      </c>
      <c r="B573" s="9" t="s">
        <v>1153</v>
      </c>
      <c r="C573" s="92" t="s">
        <v>34</v>
      </c>
      <c r="D573" s="19">
        <v>750</v>
      </c>
      <c r="E573" s="9" t="s">
        <v>194</v>
      </c>
      <c r="F573" s="9" t="s">
        <v>1138</v>
      </c>
      <c r="G573" s="9"/>
    </row>
    <row r="574" spans="1:7" x14ac:dyDescent="0.2">
      <c r="A574" s="9" t="s">
        <v>1096</v>
      </c>
      <c r="B574" s="9" t="s">
        <v>1097</v>
      </c>
      <c r="C574" s="92" t="s">
        <v>34</v>
      </c>
      <c r="D574" s="180">
        <v>340</v>
      </c>
      <c r="E574" s="11" t="s">
        <v>1040</v>
      </c>
      <c r="F574" s="9" t="s">
        <v>1098</v>
      </c>
      <c r="G574" s="9" t="s">
        <v>1099</v>
      </c>
    </row>
    <row r="575" spans="1:7" x14ac:dyDescent="0.2">
      <c r="A575" s="9" t="s">
        <v>1096</v>
      </c>
      <c r="B575" s="9" t="s">
        <v>1100</v>
      </c>
      <c r="C575" s="92" t="s">
        <v>34</v>
      </c>
      <c r="D575" s="180">
        <v>240</v>
      </c>
      <c r="E575" s="11" t="s">
        <v>1040</v>
      </c>
      <c r="F575" s="9" t="s">
        <v>1098</v>
      </c>
      <c r="G575" s="9" t="s">
        <v>1101</v>
      </c>
    </row>
    <row r="576" spans="1:7" x14ac:dyDescent="0.2">
      <c r="A576" s="9" t="s">
        <v>1096</v>
      </c>
      <c r="B576" s="9" t="s">
        <v>1105</v>
      </c>
      <c r="C576" s="92" t="s">
        <v>34</v>
      </c>
      <c r="D576" s="180">
        <v>200</v>
      </c>
      <c r="E576" s="11" t="s">
        <v>1040</v>
      </c>
      <c r="F576" s="9" t="s">
        <v>1069</v>
      </c>
      <c r="G576" s="9"/>
    </row>
    <row r="577" spans="1:7" x14ac:dyDescent="0.2">
      <c r="A577" s="9" t="s">
        <v>1096</v>
      </c>
      <c r="B577" s="9" t="s">
        <v>1106</v>
      </c>
      <c r="C577" s="92" t="s">
        <v>34</v>
      </c>
      <c r="D577" s="180">
        <v>430</v>
      </c>
      <c r="E577" s="11" t="s">
        <v>1040</v>
      </c>
      <c r="F577" s="9" t="s">
        <v>1098</v>
      </c>
      <c r="G577" s="9" t="s">
        <v>1107</v>
      </c>
    </row>
    <row r="578" spans="1:7" x14ac:dyDescent="0.2">
      <c r="A578" s="9" t="s">
        <v>1096</v>
      </c>
      <c r="B578" s="9" t="s">
        <v>1108</v>
      </c>
      <c r="C578" s="92" t="s">
        <v>34</v>
      </c>
      <c r="D578" s="180">
        <v>440</v>
      </c>
      <c r="E578" s="11" t="s">
        <v>1040</v>
      </c>
      <c r="F578" s="9" t="s">
        <v>1098</v>
      </c>
      <c r="G578" s="9" t="s">
        <v>1109</v>
      </c>
    </row>
    <row r="579" spans="1:7" x14ac:dyDescent="0.2">
      <c r="A579" s="9" t="s">
        <v>1096</v>
      </c>
      <c r="B579" s="9" t="s">
        <v>1166</v>
      </c>
      <c r="C579" s="92" t="s">
        <v>34</v>
      </c>
      <c r="D579" s="180">
        <v>377</v>
      </c>
      <c r="E579" s="11" t="s">
        <v>1040</v>
      </c>
      <c r="F579" s="9" t="s">
        <v>1129</v>
      </c>
      <c r="G579" s="9"/>
    </row>
    <row r="580" spans="1:7" x14ac:dyDescent="0.2">
      <c r="A580" s="9" t="s">
        <v>1096</v>
      </c>
      <c r="B580" s="9" t="s">
        <v>1110</v>
      </c>
      <c r="C580" s="92" t="s">
        <v>34</v>
      </c>
      <c r="D580" s="180">
        <v>240</v>
      </c>
      <c r="E580" s="11" t="s">
        <v>1040</v>
      </c>
      <c r="F580" s="9" t="s">
        <v>1127</v>
      </c>
      <c r="G580" s="9"/>
    </row>
    <row r="581" spans="1:7" x14ac:dyDescent="0.2">
      <c r="A581" s="9" t="s">
        <v>1096</v>
      </c>
      <c r="B581" s="9" t="s">
        <v>1110</v>
      </c>
      <c r="C581" s="92" t="s">
        <v>34</v>
      </c>
      <c r="D581" s="180">
        <v>427</v>
      </c>
      <c r="E581" s="11" t="s">
        <v>1040</v>
      </c>
      <c r="F581" s="9" t="s">
        <v>168</v>
      </c>
      <c r="G581" s="9"/>
    </row>
    <row r="582" spans="1:7" x14ac:dyDescent="0.2">
      <c r="A582" s="9" t="s">
        <v>1096</v>
      </c>
      <c r="B582" s="9" t="s">
        <v>1112</v>
      </c>
      <c r="C582" s="92" t="s">
        <v>34</v>
      </c>
      <c r="D582" s="180">
        <v>403.5</v>
      </c>
      <c r="E582" s="11" t="s">
        <v>1040</v>
      </c>
      <c r="F582" s="9" t="s">
        <v>1127</v>
      </c>
      <c r="G582" s="9"/>
    </row>
    <row r="583" spans="1:7" x14ac:dyDescent="0.2">
      <c r="A583" s="9" t="s">
        <v>1096</v>
      </c>
      <c r="B583" s="9" t="s">
        <v>1112</v>
      </c>
      <c r="C583" s="92" t="s">
        <v>34</v>
      </c>
      <c r="D583" s="180">
        <v>427</v>
      </c>
      <c r="E583" s="11" t="s">
        <v>1040</v>
      </c>
      <c r="F583" s="9" t="s">
        <v>168</v>
      </c>
      <c r="G583" s="9"/>
    </row>
    <row r="584" spans="1:7" x14ac:dyDescent="0.2">
      <c r="A584" s="9" t="s">
        <v>1096</v>
      </c>
      <c r="B584" s="9" t="s">
        <v>198</v>
      </c>
      <c r="C584" s="92" t="s">
        <v>34</v>
      </c>
      <c r="D584" s="180">
        <v>377</v>
      </c>
      <c r="E584" s="11" t="s">
        <v>1040</v>
      </c>
      <c r="F584" s="9" t="s">
        <v>1129</v>
      </c>
      <c r="G584" s="9"/>
    </row>
    <row r="585" spans="1:7" x14ac:dyDescent="0.2">
      <c r="A585" s="9" t="s">
        <v>1116</v>
      </c>
      <c r="B585" s="9" t="s">
        <v>1117</v>
      </c>
      <c r="C585" s="92" t="s">
        <v>34</v>
      </c>
      <c r="D585" s="15">
        <v>686.375</v>
      </c>
      <c r="E585" s="11" t="s">
        <v>1040</v>
      </c>
      <c r="F585" s="9" t="s">
        <v>1118</v>
      </c>
      <c r="G585" s="9" t="s">
        <v>1119</v>
      </c>
    </row>
    <row r="586" spans="1:7" x14ac:dyDescent="0.2">
      <c r="A586" s="9" t="s">
        <v>144</v>
      </c>
      <c r="B586" s="9" t="s">
        <v>1039</v>
      </c>
      <c r="C586" s="92" t="s">
        <v>34</v>
      </c>
      <c r="D586" s="16">
        <v>220</v>
      </c>
      <c r="E586" s="11" t="s">
        <v>1040</v>
      </c>
      <c r="F586" s="9" t="s">
        <v>1128</v>
      </c>
      <c r="G586" s="9"/>
    </row>
    <row r="587" spans="1:7" x14ac:dyDescent="0.2">
      <c r="A587" s="9" t="s">
        <v>138</v>
      </c>
      <c r="B587" s="9" t="s">
        <v>1039</v>
      </c>
      <c r="C587" s="92" t="s">
        <v>35</v>
      </c>
      <c r="D587" s="16">
        <v>128</v>
      </c>
      <c r="E587" s="11" t="s">
        <v>1040</v>
      </c>
      <c r="F587" s="9" t="s">
        <v>1062</v>
      </c>
      <c r="G587" s="9"/>
    </row>
    <row r="588" spans="1:7" x14ac:dyDescent="0.2">
      <c r="A588" s="9" t="s">
        <v>1056</v>
      </c>
      <c r="B588" s="11" t="s">
        <v>1158</v>
      </c>
      <c r="C588" s="92" t="s">
        <v>35</v>
      </c>
      <c r="D588" s="12">
        <v>0.01</v>
      </c>
      <c r="E588" s="11" t="s">
        <v>1040</v>
      </c>
      <c r="F588" s="9" t="s">
        <v>1121</v>
      </c>
      <c r="G588" s="9"/>
    </row>
    <row r="589" spans="1:7" x14ac:dyDescent="0.2">
      <c r="A589" s="9" t="s">
        <v>1056</v>
      </c>
      <c r="B589" s="9" t="s">
        <v>1060</v>
      </c>
      <c r="C589" s="92" t="s">
        <v>35</v>
      </c>
      <c r="D589" s="12">
        <v>0.3</v>
      </c>
      <c r="E589" s="11" t="s">
        <v>1040</v>
      </c>
      <c r="F589" s="9" t="s">
        <v>1121</v>
      </c>
      <c r="G589" s="9"/>
    </row>
    <row r="590" spans="1:7" x14ac:dyDescent="0.2">
      <c r="A590" s="9" t="s">
        <v>1056</v>
      </c>
      <c r="B590" s="9" t="s">
        <v>1057</v>
      </c>
      <c r="C590" s="92" t="s">
        <v>35</v>
      </c>
      <c r="D590" s="12">
        <v>2</v>
      </c>
      <c r="E590" s="11" t="s">
        <v>1040</v>
      </c>
      <c r="F590" s="9" t="s">
        <v>1128</v>
      </c>
      <c r="G590" s="9"/>
    </row>
    <row r="591" spans="1:7" x14ac:dyDescent="0.2">
      <c r="A591" s="9" t="s">
        <v>1061</v>
      </c>
      <c r="B591" s="9" t="s">
        <v>1039</v>
      </c>
      <c r="C591" s="92" t="s">
        <v>35</v>
      </c>
      <c r="D591" s="13">
        <v>2183</v>
      </c>
      <c r="E591" s="11" t="s">
        <v>1040</v>
      </c>
      <c r="F591" s="9" t="s">
        <v>1127</v>
      </c>
      <c r="G591" s="9"/>
    </row>
    <row r="592" spans="1:7" x14ac:dyDescent="0.2">
      <c r="A592" s="9" t="s">
        <v>1061</v>
      </c>
      <c r="B592" s="9" t="s">
        <v>1039</v>
      </c>
      <c r="C592" s="92" t="s">
        <v>35</v>
      </c>
      <c r="D592" s="13">
        <v>1145</v>
      </c>
      <c r="E592" s="11" t="s">
        <v>1040</v>
      </c>
      <c r="F592" s="9" t="s">
        <v>1062</v>
      </c>
      <c r="G592" s="9"/>
    </row>
    <row r="593" spans="1:7" x14ac:dyDescent="0.2">
      <c r="A593" s="9" t="s">
        <v>1061</v>
      </c>
      <c r="B593" s="9" t="s">
        <v>1063</v>
      </c>
      <c r="C593" s="92" t="s">
        <v>35</v>
      </c>
      <c r="D593" s="19">
        <v>140</v>
      </c>
      <c r="E593" s="11" t="s">
        <v>1040</v>
      </c>
      <c r="F593" s="9" t="s">
        <v>168</v>
      </c>
      <c r="G593" s="9"/>
    </row>
    <row r="594" spans="1:7" x14ac:dyDescent="0.2">
      <c r="A594" s="9" t="s">
        <v>138</v>
      </c>
      <c r="B594" s="9" t="s">
        <v>1039</v>
      </c>
      <c r="C594" s="92" t="s">
        <v>36</v>
      </c>
      <c r="D594" s="15">
        <v>732</v>
      </c>
      <c r="E594" s="11" t="s">
        <v>1040</v>
      </c>
      <c r="F594" s="9" t="s">
        <v>1054</v>
      </c>
      <c r="G594" s="9"/>
    </row>
    <row r="595" spans="1:7" x14ac:dyDescent="0.2">
      <c r="A595" s="9" t="s">
        <v>1061</v>
      </c>
      <c r="B595" s="9" t="s">
        <v>1039</v>
      </c>
      <c r="C595" s="92" t="s">
        <v>36</v>
      </c>
      <c r="D595" s="15">
        <v>100</v>
      </c>
      <c r="E595" s="11" t="s">
        <v>1040</v>
      </c>
      <c r="F595" s="9" t="s">
        <v>1062</v>
      </c>
      <c r="G595" s="9"/>
    </row>
    <row r="596" spans="1:7" x14ac:dyDescent="0.2">
      <c r="A596" s="9" t="s">
        <v>1066</v>
      </c>
      <c r="B596" s="9" t="s">
        <v>1039</v>
      </c>
      <c r="C596" s="92" t="s">
        <v>36</v>
      </c>
      <c r="D596" s="141">
        <v>8600</v>
      </c>
      <c r="E596" s="11" t="s">
        <v>1040</v>
      </c>
      <c r="F596" s="9" t="s">
        <v>1098</v>
      </c>
      <c r="G596" s="9"/>
    </row>
    <row r="597" spans="1:7" x14ac:dyDescent="0.2">
      <c r="A597" s="9" t="s">
        <v>1066</v>
      </c>
      <c r="B597" s="9" t="s">
        <v>1039</v>
      </c>
      <c r="C597" s="92" t="s">
        <v>36</v>
      </c>
      <c r="D597" s="141">
        <v>7897</v>
      </c>
      <c r="E597" s="11" t="s">
        <v>1040</v>
      </c>
      <c r="F597" s="9" t="s">
        <v>1067</v>
      </c>
      <c r="G597" s="9"/>
    </row>
    <row r="598" spans="1:7" x14ac:dyDescent="0.2">
      <c r="A598" s="9" t="s">
        <v>1066</v>
      </c>
      <c r="B598" s="9" t="s">
        <v>1154</v>
      </c>
      <c r="C598" s="92" t="s">
        <v>36</v>
      </c>
      <c r="D598" s="150">
        <v>8600</v>
      </c>
      <c r="E598" s="11" t="s">
        <v>1040</v>
      </c>
      <c r="F598" s="9" t="s">
        <v>1098</v>
      </c>
      <c r="G598" s="9"/>
    </row>
    <row r="599" spans="1:7" x14ac:dyDescent="0.2">
      <c r="A599" s="9" t="s">
        <v>1066</v>
      </c>
      <c r="B599" s="9" t="s">
        <v>1122</v>
      </c>
      <c r="C599" s="92" t="s">
        <v>36</v>
      </c>
      <c r="D599" s="148">
        <v>8600</v>
      </c>
      <c r="E599" s="11" t="s">
        <v>1040</v>
      </c>
      <c r="F599" s="9" t="s">
        <v>1098</v>
      </c>
      <c r="G599" s="9"/>
    </row>
    <row r="600" spans="1:7" x14ac:dyDescent="0.2">
      <c r="A600" s="9" t="s">
        <v>1066</v>
      </c>
      <c r="B600" s="11" t="s">
        <v>1155</v>
      </c>
      <c r="C600" s="92" t="s">
        <v>36</v>
      </c>
      <c r="D600" s="148">
        <v>8600</v>
      </c>
      <c r="E600" s="11" t="s">
        <v>1040</v>
      </c>
      <c r="F600" s="9" t="s">
        <v>1098</v>
      </c>
      <c r="G600" s="9"/>
    </row>
    <row r="601" spans="1:7" x14ac:dyDescent="0.2">
      <c r="A601" s="9" t="s">
        <v>1066</v>
      </c>
      <c r="B601" s="9" t="s">
        <v>1068</v>
      </c>
      <c r="C601" s="92" t="s">
        <v>36</v>
      </c>
      <c r="D601" s="141">
        <v>8600</v>
      </c>
      <c r="E601" s="11" t="s">
        <v>1040</v>
      </c>
      <c r="F601" s="9" t="s">
        <v>1098</v>
      </c>
      <c r="G601" s="9"/>
    </row>
    <row r="602" spans="1:7" x14ac:dyDescent="0.2">
      <c r="A602" s="9" t="s">
        <v>1096</v>
      </c>
      <c r="B602" s="9" t="s">
        <v>1097</v>
      </c>
      <c r="C602" s="92" t="s">
        <v>36</v>
      </c>
      <c r="D602" s="180">
        <v>4600</v>
      </c>
      <c r="E602" s="11" t="s">
        <v>1040</v>
      </c>
      <c r="F602" s="9" t="s">
        <v>1098</v>
      </c>
      <c r="G602" s="9" t="s">
        <v>1099</v>
      </c>
    </row>
    <row r="603" spans="1:7" x14ac:dyDescent="0.2">
      <c r="A603" s="9" t="s">
        <v>1096</v>
      </c>
      <c r="B603" s="9" t="s">
        <v>1100</v>
      </c>
      <c r="C603" s="92" t="s">
        <v>36</v>
      </c>
      <c r="D603" s="180">
        <v>4600</v>
      </c>
      <c r="E603" s="11" t="s">
        <v>1040</v>
      </c>
      <c r="F603" s="9" t="s">
        <v>1098</v>
      </c>
      <c r="G603" s="9" t="s">
        <v>1101</v>
      </c>
    </row>
    <row r="604" spans="1:7" x14ac:dyDescent="0.2">
      <c r="A604" s="9" t="s">
        <v>1096</v>
      </c>
      <c r="B604" s="9" t="s">
        <v>1102</v>
      </c>
      <c r="C604" s="92" t="s">
        <v>36</v>
      </c>
      <c r="D604" s="185">
        <v>0</v>
      </c>
      <c r="E604" s="11" t="s">
        <v>1040</v>
      </c>
      <c r="F604" s="36" t="s">
        <v>1103</v>
      </c>
      <c r="G604" s="9"/>
    </row>
    <row r="605" spans="1:7" x14ac:dyDescent="0.2">
      <c r="A605" s="9" t="s">
        <v>1096</v>
      </c>
      <c r="B605" s="9" t="s">
        <v>1104</v>
      </c>
      <c r="C605" s="92" t="s">
        <v>36</v>
      </c>
      <c r="D605" s="185">
        <v>233</v>
      </c>
      <c r="E605" s="11" t="s">
        <v>1040</v>
      </c>
      <c r="F605" s="36" t="s">
        <v>1103</v>
      </c>
      <c r="G605" s="9"/>
    </row>
    <row r="606" spans="1:7" x14ac:dyDescent="0.2">
      <c r="A606" s="9" t="s">
        <v>1096</v>
      </c>
      <c r="B606" s="9" t="s">
        <v>1106</v>
      </c>
      <c r="C606" s="92" t="s">
        <v>36</v>
      </c>
      <c r="D606" s="180">
        <v>4600</v>
      </c>
      <c r="E606" s="11" t="s">
        <v>1040</v>
      </c>
      <c r="F606" s="9" t="s">
        <v>1098</v>
      </c>
      <c r="G606" s="9" t="s">
        <v>1107</v>
      </c>
    </row>
    <row r="607" spans="1:7" x14ac:dyDescent="0.2">
      <c r="A607" s="9" t="s">
        <v>1096</v>
      </c>
      <c r="B607" s="9" t="s">
        <v>1108</v>
      </c>
      <c r="C607" s="92" t="s">
        <v>36</v>
      </c>
      <c r="D607" s="180">
        <v>4600</v>
      </c>
      <c r="E607" s="11" t="s">
        <v>1040</v>
      </c>
      <c r="F607" s="9" t="s">
        <v>1098</v>
      </c>
      <c r="G607" s="9" t="s">
        <v>1109</v>
      </c>
    </row>
    <row r="608" spans="1:7" x14ac:dyDescent="0.2">
      <c r="A608" s="9" t="s">
        <v>1096</v>
      </c>
      <c r="B608" s="9" t="s">
        <v>1115</v>
      </c>
      <c r="C608" s="92" t="s">
        <v>36</v>
      </c>
      <c r="D608" s="180">
        <v>1818</v>
      </c>
      <c r="E608" s="11" t="s">
        <v>1040</v>
      </c>
      <c r="F608" s="36" t="s">
        <v>1103</v>
      </c>
      <c r="G608" s="9"/>
    </row>
    <row r="609" spans="1:7" x14ac:dyDescent="0.2">
      <c r="A609" s="9" t="s">
        <v>1095</v>
      </c>
      <c r="B609" s="9" t="s">
        <v>199</v>
      </c>
      <c r="C609" s="92" t="s">
        <v>37</v>
      </c>
      <c r="D609" s="15">
        <v>0</v>
      </c>
      <c r="E609" s="9" t="s">
        <v>177</v>
      </c>
      <c r="F609" s="9" t="s">
        <v>209</v>
      </c>
      <c r="G609" s="9"/>
    </row>
    <row r="610" spans="1:7" x14ac:dyDescent="0.2">
      <c r="A610" s="9" t="s">
        <v>1095</v>
      </c>
      <c r="B610" s="9" t="s">
        <v>198</v>
      </c>
      <c r="C610" s="92" t="s">
        <v>37</v>
      </c>
      <c r="D610" s="15">
        <v>1</v>
      </c>
      <c r="E610" s="9" t="s">
        <v>177</v>
      </c>
      <c r="F610" s="9" t="s">
        <v>209</v>
      </c>
      <c r="G610" s="9"/>
    </row>
    <row r="611" spans="1:7" x14ac:dyDescent="0.2">
      <c r="A611" s="9" t="s">
        <v>1096</v>
      </c>
      <c r="B611" s="9" t="s">
        <v>1097</v>
      </c>
      <c r="C611" s="92" t="s">
        <v>37</v>
      </c>
      <c r="D611" s="180">
        <v>9</v>
      </c>
      <c r="E611" s="11" t="s">
        <v>1040</v>
      </c>
      <c r="F611" s="9" t="s">
        <v>1098</v>
      </c>
      <c r="G611" s="9" t="s">
        <v>1099</v>
      </c>
    </row>
    <row r="612" spans="1:7" x14ac:dyDescent="0.2">
      <c r="A612" s="9" t="s">
        <v>1096</v>
      </c>
      <c r="B612" s="9" t="s">
        <v>1100</v>
      </c>
      <c r="C612" s="92" t="s">
        <v>37</v>
      </c>
      <c r="D612" s="180">
        <v>35</v>
      </c>
      <c r="E612" s="11" t="s">
        <v>1040</v>
      </c>
      <c r="F612" s="9" t="s">
        <v>1098</v>
      </c>
      <c r="G612" s="9" t="s">
        <v>1101</v>
      </c>
    </row>
    <row r="613" spans="1:7" x14ac:dyDescent="0.2">
      <c r="A613" s="9" t="s">
        <v>1096</v>
      </c>
      <c r="B613" s="9" t="s">
        <v>1105</v>
      </c>
      <c r="C613" s="92" t="s">
        <v>37</v>
      </c>
      <c r="D613" s="180">
        <v>32.666666666666657</v>
      </c>
      <c r="E613" s="11" t="s">
        <v>1040</v>
      </c>
      <c r="F613" s="9" t="s">
        <v>1069</v>
      </c>
      <c r="G613" s="9"/>
    </row>
    <row r="614" spans="1:7" x14ac:dyDescent="0.2">
      <c r="A614" s="9" t="s">
        <v>1096</v>
      </c>
      <c r="B614" s="9" t="s">
        <v>1106</v>
      </c>
      <c r="C614" s="92" t="s">
        <v>37</v>
      </c>
      <c r="D614" s="180">
        <v>0</v>
      </c>
      <c r="E614" s="11" t="s">
        <v>1040</v>
      </c>
      <c r="F614" s="9" t="s">
        <v>1098</v>
      </c>
      <c r="G614" s="9" t="s">
        <v>1107</v>
      </c>
    </row>
    <row r="615" spans="1:7" x14ac:dyDescent="0.2">
      <c r="A615" s="9" t="s">
        <v>1096</v>
      </c>
      <c r="B615" s="9" t="s">
        <v>1108</v>
      </c>
      <c r="C615" s="92" t="s">
        <v>37</v>
      </c>
      <c r="D615" s="186">
        <v>4</v>
      </c>
      <c r="E615" s="11" t="s">
        <v>1040</v>
      </c>
      <c r="F615" s="9" t="s">
        <v>1098</v>
      </c>
      <c r="G615" s="9" t="s">
        <v>1109</v>
      </c>
    </row>
    <row r="616" spans="1:7" x14ac:dyDescent="0.2">
      <c r="A616" s="9" t="s">
        <v>1096</v>
      </c>
      <c r="B616" s="9" t="s">
        <v>1110</v>
      </c>
      <c r="C616" s="92" t="s">
        <v>37</v>
      </c>
      <c r="D616" s="180">
        <v>33</v>
      </c>
      <c r="E616" s="11" t="s">
        <v>1040</v>
      </c>
      <c r="F616" s="9" t="s">
        <v>168</v>
      </c>
      <c r="G616" s="9"/>
    </row>
    <row r="617" spans="1:7" x14ac:dyDescent="0.2">
      <c r="A617" s="9" t="s">
        <v>1096</v>
      </c>
      <c r="B617" s="9" t="s">
        <v>1112</v>
      </c>
      <c r="C617" s="92" t="s">
        <v>37</v>
      </c>
      <c r="D617" s="180">
        <v>3</v>
      </c>
      <c r="E617" s="11" t="s">
        <v>1040</v>
      </c>
      <c r="F617" s="9" t="s">
        <v>168</v>
      </c>
      <c r="G617" s="9"/>
    </row>
    <row r="618" spans="1:7" x14ac:dyDescent="0.2">
      <c r="A618" s="9" t="s">
        <v>1096</v>
      </c>
      <c r="B618" s="9" t="s">
        <v>1039</v>
      </c>
      <c r="C618" s="92" t="s">
        <v>1189</v>
      </c>
      <c r="D618" s="180">
        <v>219</v>
      </c>
      <c r="E618" s="11" t="s">
        <v>1040</v>
      </c>
      <c r="F618" s="9" t="s">
        <v>1126</v>
      </c>
      <c r="G618" s="9"/>
    </row>
    <row r="619" spans="1:7" x14ac:dyDescent="0.2">
      <c r="A619" s="9" t="s">
        <v>1096</v>
      </c>
      <c r="B619" s="9" t="s">
        <v>1097</v>
      </c>
      <c r="C619" s="92" t="s">
        <v>1189</v>
      </c>
      <c r="D619" s="180">
        <v>44</v>
      </c>
      <c r="E619" s="11" t="s">
        <v>1040</v>
      </c>
      <c r="F619" s="9" t="s">
        <v>1098</v>
      </c>
      <c r="G619" s="9" t="s">
        <v>1099</v>
      </c>
    </row>
    <row r="620" spans="1:7" x14ac:dyDescent="0.2">
      <c r="A620" s="9" t="s">
        <v>1096</v>
      </c>
      <c r="B620" s="9" t="s">
        <v>1100</v>
      </c>
      <c r="C620" s="92" t="s">
        <v>1189</v>
      </c>
      <c r="D620" s="180">
        <v>239</v>
      </c>
      <c r="E620" s="11" t="s">
        <v>1040</v>
      </c>
      <c r="F620" s="9" t="s">
        <v>1098</v>
      </c>
      <c r="G620" s="9" t="s">
        <v>1101</v>
      </c>
    </row>
    <row r="621" spans="1:7" x14ac:dyDescent="0.2">
      <c r="A621" s="9" t="s">
        <v>1096</v>
      </c>
      <c r="B621" s="9" t="s">
        <v>1106</v>
      </c>
      <c r="C621" s="92" t="s">
        <v>1189</v>
      </c>
      <c r="D621" s="180">
        <v>14</v>
      </c>
      <c r="E621" s="11" t="s">
        <v>1040</v>
      </c>
      <c r="F621" s="9" t="s">
        <v>1098</v>
      </c>
      <c r="G621" s="9" t="s">
        <v>1107</v>
      </c>
    </row>
    <row r="622" spans="1:7" x14ac:dyDescent="0.2">
      <c r="A622" s="9" t="s">
        <v>1096</v>
      </c>
      <c r="B622" s="9" t="s">
        <v>1108</v>
      </c>
      <c r="C622" s="92" t="s">
        <v>1189</v>
      </c>
      <c r="D622" s="186">
        <v>62</v>
      </c>
      <c r="E622" s="11" t="s">
        <v>1040</v>
      </c>
      <c r="F622" s="9" t="s">
        <v>1098</v>
      </c>
      <c r="G622" s="9" t="s">
        <v>1109</v>
      </c>
    </row>
    <row r="623" spans="1:7" x14ac:dyDescent="0.2">
      <c r="A623" s="9" t="s">
        <v>1096</v>
      </c>
      <c r="B623" s="9" t="s">
        <v>1110</v>
      </c>
      <c r="C623" s="92" t="s">
        <v>1189</v>
      </c>
      <c r="D623" s="180">
        <v>99</v>
      </c>
      <c r="E623" s="11" t="s">
        <v>1040</v>
      </c>
      <c r="F623" s="9" t="s">
        <v>1127</v>
      </c>
      <c r="G623" s="9"/>
    </row>
    <row r="624" spans="1:7" x14ac:dyDescent="0.2">
      <c r="A624" s="9" t="s">
        <v>1096</v>
      </c>
      <c r="B624" s="9" t="s">
        <v>1110</v>
      </c>
      <c r="C624" s="92" t="s">
        <v>1189</v>
      </c>
      <c r="D624" s="180">
        <v>204</v>
      </c>
      <c r="E624" s="11" t="s">
        <v>1040</v>
      </c>
      <c r="F624" s="9" t="s">
        <v>168</v>
      </c>
      <c r="G624" s="9"/>
    </row>
    <row r="625" spans="1:7" x14ac:dyDescent="0.2">
      <c r="A625" s="9" t="s">
        <v>1096</v>
      </c>
      <c r="B625" s="9" t="s">
        <v>1112</v>
      </c>
      <c r="C625" s="92" t="s">
        <v>1189</v>
      </c>
      <c r="D625" s="180">
        <v>99</v>
      </c>
      <c r="E625" s="11" t="s">
        <v>1040</v>
      </c>
      <c r="F625" s="9" t="s">
        <v>1127</v>
      </c>
      <c r="G625" s="9"/>
    </row>
    <row r="626" spans="1:7" x14ac:dyDescent="0.2">
      <c r="A626" s="9" t="s">
        <v>1096</v>
      </c>
      <c r="B626" s="9" t="s">
        <v>1112</v>
      </c>
      <c r="C626" s="92" t="s">
        <v>1189</v>
      </c>
      <c r="D626" s="180">
        <v>4</v>
      </c>
      <c r="E626" s="11" t="s">
        <v>1040</v>
      </c>
      <c r="F626" s="9" t="s">
        <v>168</v>
      </c>
      <c r="G626" s="9"/>
    </row>
    <row r="627" spans="1:7" x14ac:dyDescent="0.2">
      <c r="A627" s="9" t="s">
        <v>1066</v>
      </c>
      <c r="B627" s="11" t="s">
        <v>1155</v>
      </c>
      <c r="C627" s="92" t="s">
        <v>38</v>
      </c>
      <c r="D627" s="141">
        <v>35</v>
      </c>
      <c r="E627" s="11" t="s">
        <v>1040</v>
      </c>
      <c r="F627" s="9" t="s">
        <v>1098</v>
      </c>
      <c r="G627" s="9"/>
    </row>
    <row r="628" spans="1:7" x14ac:dyDescent="0.2">
      <c r="A628" s="9" t="s">
        <v>1066</v>
      </c>
      <c r="B628" s="11" t="s">
        <v>1155</v>
      </c>
      <c r="C628" s="92" t="s">
        <v>38</v>
      </c>
      <c r="D628" s="19" t="s">
        <v>1190</v>
      </c>
      <c r="E628" s="11" t="s">
        <v>1040</v>
      </c>
      <c r="F628" s="9" t="s">
        <v>1124</v>
      </c>
      <c r="G628" s="9" t="s">
        <v>1125</v>
      </c>
    </row>
    <row r="629" spans="1:7" x14ac:dyDescent="0.2">
      <c r="A629" s="9" t="s">
        <v>1066</v>
      </c>
      <c r="B629" s="11" t="s">
        <v>1155</v>
      </c>
      <c r="C629" s="92" t="s">
        <v>38</v>
      </c>
      <c r="D629" s="141">
        <v>41</v>
      </c>
      <c r="E629" s="11" t="s">
        <v>1040</v>
      </c>
      <c r="F629" s="9" t="s">
        <v>1129</v>
      </c>
      <c r="G629" s="9"/>
    </row>
    <row r="630" spans="1:7" x14ac:dyDescent="0.2">
      <c r="A630" s="9" t="s">
        <v>1066</v>
      </c>
      <c r="B630" s="11" t="s">
        <v>1155</v>
      </c>
      <c r="C630" s="92" t="s">
        <v>38</v>
      </c>
      <c r="D630" s="147">
        <v>161</v>
      </c>
      <c r="E630" s="11" t="s">
        <v>1040</v>
      </c>
      <c r="F630" s="9" t="s">
        <v>1126</v>
      </c>
      <c r="G630" s="9"/>
    </row>
    <row r="631" spans="1:7" x14ac:dyDescent="0.2">
      <c r="A631" s="9" t="s">
        <v>1066</v>
      </c>
      <c r="B631" s="11" t="s">
        <v>1155</v>
      </c>
      <c r="C631" s="92" t="s">
        <v>38</v>
      </c>
      <c r="D631" s="141">
        <v>61</v>
      </c>
      <c r="E631" s="11" t="s">
        <v>1040</v>
      </c>
      <c r="F631" s="9" t="s">
        <v>168</v>
      </c>
      <c r="G631" s="9" t="s">
        <v>1111</v>
      </c>
    </row>
    <row r="632" spans="1:7" x14ac:dyDescent="0.2">
      <c r="A632" s="9" t="s">
        <v>1066</v>
      </c>
      <c r="B632" s="9" t="s">
        <v>1039</v>
      </c>
      <c r="C632" s="92" t="s">
        <v>1191</v>
      </c>
      <c r="D632" s="141">
        <v>3948</v>
      </c>
      <c r="E632" s="11" t="s">
        <v>1040</v>
      </c>
      <c r="F632" s="9" t="s">
        <v>1067</v>
      </c>
      <c r="G632" s="9"/>
    </row>
    <row r="633" spans="1:7" x14ac:dyDescent="0.2">
      <c r="A633" s="9" t="s">
        <v>1066</v>
      </c>
      <c r="B633" s="9" t="s">
        <v>1154</v>
      </c>
      <c r="C633" s="92" t="s">
        <v>1191</v>
      </c>
      <c r="D633" s="150">
        <v>150</v>
      </c>
      <c r="E633" s="11" t="s">
        <v>1040</v>
      </c>
      <c r="F633" s="9" t="s">
        <v>1098</v>
      </c>
      <c r="G633" s="9"/>
    </row>
    <row r="634" spans="1:7" x14ac:dyDescent="0.2">
      <c r="A634" s="9" t="s">
        <v>1066</v>
      </c>
      <c r="B634" s="9" t="s">
        <v>1068</v>
      </c>
      <c r="C634" s="92" t="s">
        <v>1191</v>
      </c>
      <c r="D634" s="141">
        <v>4000</v>
      </c>
      <c r="E634" s="11" t="s">
        <v>1040</v>
      </c>
      <c r="F634" s="9" t="s">
        <v>1098</v>
      </c>
      <c r="G634" s="9"/>
    </row>
    <row r="635" spans="1:7" x14ac:dyDescent="0.2">
      <c r="A635" s="9" t="s">
        <v>1066</v>
      </c>
      <c r="B635" s="9" t="s">
        <v>1068</v>
      </c>
      <c r="C635" s="92" t="s">
        <v>1191</v>
      </c>
      <c r="D635" s="141" t="s">
        <v>1192</v>
      </c>
      <c r="E635" s="11" t="s">
        <v>1040</v>
      </c>
      <c r="F635" s="9" t="s">
        <v>1124</v>
      </c>
      <c r="G635" s="9" t="s">
        <v>1125</v>
      </c>
    </row>
    <row r="636" spans="1:7" x14ac:dyDescent="0.2">
      <c r="A636" s="9" t="s">
        <v>1066</v>
      </c>
      <c r="B636" s="9" t="s">
        <v>1068</v>
      </c>
      <c r="C636" s="92" t="s">
        <v>1191</v>
      </c>
      <c r="D636" s="141">
        <v>6630</v>
      </c>
      <c r="E636" s="11" t="s">
        <v>1040</v>
      </c>
      <c r="F636" s="9" t="s">
        <v>1126</v>
      </c>
      <c r="G636" s="9"/>
    </row>
    <row r="637" spans="1:7" x14ac:dyDescent="0.2">
      <c r="A637" s="9" t="s">
        <v>1066</v>
      </c>
      <c r="B637" s="9" t="s">
        <v>1068</v>
      </c>
      <c r="C637" s="92" t="s">
        <v>1191</v>
      </c>
      <c r="D637" s="141">
        <v>6428</v>
      </c>
      <c r="E637" s="11" t="s">
        <v>1040</v>
      </c>
      <c r="F637" s="9" t="s">
        <v>168</v>
      </c>
      <c r="G637" s="9" t="s">
        <v>1111</v>
      </c>
    </row>
    <row r="638" spans="1:7" x14ac:dyDescent="0.2">
      <c r="A638" s="9" t="s">
        <v>1056</v>
      </c>
      <c r="B638" s="9" t="s">
        <v>1060</v>
      </c>
      <c r="C638" s="92" t="s">
        <v>40</v>
      </c>
      <c r="D638" s="12">
        <v>7.5</v>
      </c>
      <c r="E638" s="11" t="s">
        <v>1040</v>
      </c>
      <c r="F638" s="9" t="s">
        <v>1121</v>
      </c>
      <c r="G638" s="9"/>
    </row>
    <row r="639" spans="1:7" x14ac:dyDescent="0.2">
      <c r="A639" s="9" t="s">
        <v>1056</v>
      </c>
      <c r="B639" s="9" t="s">
        <v>1057</v>
      </c>
      <c r="C639" s="92" t="s">
        <v>40</v>
      </c>
      <c r="D639" s="12">
        <v>8</v>
      </c>
      <c r="E639" s="11" t="s">
        <v>1040</v>
      </c>
      <c r="F639" s="9" t="s">
        <v>1128</v>
      </c>
      <c r="G639" s="9"/>
    </row>
    <row r="640" spans="1:7" x14ac:dyDescent="0.2">
      <c r="A640" s="9" t="s">
        <v>1056</v>
      </c>
      <c r="B640" s="11" t="s">
        <v>1059</v>
      </c>
      <c r="C640" s="92" t="s">
        <v>40</v>
      </c>
      <c r="D640" s="12">
        <v>0.06</v>
      </c>
      <c r="E640" s="11" t="s">
        <v>1040</v>
      </c>
      <c r="F640" s="9" t="s">
        <v>1052</v>
      </c>
      <c r="G640" s="9"/>
    </row>
    <row r="641" spans="1:7" x14ac:dyDescent="0.2">
      <c r="A641" s="9" t="s">
        <v>1061</v>
      </c>
      <c r="B641" s="9" t="s">
        <v>1065</v>
      </c>
      <c r="C641" s="92" t="s">
        <v>40</v>
      </c>
      <c r="D641" s="15">
        <v>13</v>
      </c>
      <c r="E641" s="11" t="s">
        <v>1040</v>
      </c>
      <c r="F641" s="9" t="s">
        <v>1129</v>
      </c>
      <c r="G641" s="9"/>
    </row>
    <row r="642" spans="1:7" x14ac:dyDescent="0.2">
      <c r="A642" s="9" t="s">
        <v>1061</v>
      </c>
      <c r="B642" s="9" t="s">
        <v>1063</v>
      </c>
      <c r="C642" s="92" t="s">
        <v>40</v>
      </c>
      <c r="D642" s="15">
        <v>16</v>
      </c>
      <c r="E642" s="11" t="s">
        <v>1040</v>
      </c>
      <c r="F642" s="9" t="s">
        <v>1129</v>
      </c>
      <c r="G642" s="9"/>
    </row>
    <row r="643" spans="1:7" x14ac:dyDescent="0.2">
      <c r="A643" s="9" t="s">
        <v>1061</v>
      </c>
      <c r="B643" s="9" t="s">
        <v>1039</v>
      </c>
      <c r="C643" s="92" t="s">
        <v>40</v>
      </c>
      <c r="D643" s="20">
        <v>2000</v>
      </c>
      <c r="E643" s="11" t="s">
        <v>1040</v>
      </c>
      <c r="F643" s="9" t="s">
        <v>1062</v>
      </c>
      <c r="G643" s="9"/>
    </row>
    <row r="644" spans="1:7" x14ac:dyDescent="0.2">
      <c r="A644" s="9" t="s">
        <v>1061</v>
      </c>
      <c r="B644" s="9" t="s">
        <v>1065</v>
      </c>
      <c r="C644" s="92" t="s">
        <v>40</v>
      </c>
      <c r="D644" s="13">
        <v>13</v>
      </c>
      <c r="E644" s="11" t="s">
        <v>1040</v>
      </c>
      <c r="F644" s="9" t="s">
        <v>1064</v>
      </c>
      <c r="G644" s="9"/>
    </row>
    <row r="645" spans="1:7" x14ac:dyDescent="0.2">
      <c r="A645" s="9" t="s">
        <v>1061</v>
      </c>
      <c r="B645" s="9" t="s">
        <v>1063</v>
      </c>
      <c r="C645" s="92" t="s">
        <v>40</v>
      </c>
      <c r="D645" s="13">
        <v>16</v>
      </c>
      <c r="E645" s="11" t="s">
        <v>1040</v>
      </c>
      <c r="F645" s="9" t="s">
        <v>1064</v>
      </c>
      <c r="G645" s="9"/>
    </row>
    <row r="646" spans="1:7" x14ac:dyDescent="0.2">
      <c r="A646" s="9" t="s">
        <v>1061</v>
      </c>
      <c r="B646" s="9" t="s">
        <v>1065</v>
      </c>
      <c r="C646" s="92" t="s">
        <v>40</v>
      </c>
      <c r="D646" s="13">
        <v>8</v>
      </c>
      <c r="E646" s="11" t="s">
        <v>1040</v>
      </c>
      <c r="F646" s="9" t="s">
        <v>168</v>
      </c>
      <c r="G646" s="9"/>
    </row>
    <row r="647" spans="1:7" x14ac:dyDescent="0.2">
      <c r="A647" s="9" t="s">
        <v>1061</v>
      </c>
      <c r="B647" s="9" t="s">
        <v>1063</v>
      </c>
      <c r="C647" s="92" t="s">
        <v>40</v>
      </c>
      <c r="D647" s="13">
        <v>12</v>
      </c>
      <c r="E647" s="11" t="s">
        <v>1040</v>
      </c>
      <c r="F647" s="9" t="s">
        <v>168</v>
      </c>
      <c r="G647" s="9"/>
    </row>
    <row r="648" spans="1:7" x14ac:dyDescent="0.2">
      <c r="A648" s="9" t="s">
        <v>1066</v>
      </c>
      <c r="B648" s="9" t="s">
        <v>1039</v>
      </c>
      <c r="C648" s="92" t="s">
        <v>40</v>
      </c>
      <c r="D648" s="141">
        <v>79</v>
      </c>
      <c r="E648" s="11" t="s">
        <v>1040</v>
      </c>
      <c r="F648" s="9" t="s">
        <v>1067</v>
      </c>
      <c r="G648" s="9"/>
    </row>
    <row r="649" spans="1:7" x14ac:dyDescent="0.2">
      <c r="A649" s="9" t="s">
        <v>1066</v>
      </c>
      <c r="B649" s="11" t="s">
        <v>1068</v>
      </c>
      <c r="C649" s="92" t="s">
        <v>40</v>
      </c>
      <c r="D649" s="13">
        <v>20</v>
      </c>
      <c r="E649" s="11" t="s">
        <v>1040</v>
      </c>
      <c r="F649" s="9" t="s">
        <v>1121</v>
      </c>
      <c r="G649" s="9"/>
    </row>
    <row r="650" spans="1:7" x14ac:dyDescent="0.2">
      <c r="A650" s="9" t="s">
        <v>1066</v>
      </c>
      <c r="B650" s="9" t="s">
        <v>1068</v>
      </c>
      <c r="C650" s="92" t="s">
        <v>40</v>
      </c>
      <c r="D650" s="141">
        <v>20</v>
      </c>
      <c r="E650" s="11" t="s">
        <v>1040</v>
      </c>
      <c r="F650" s="9" t="s">
        <v>1098</v>
      </c>
      <c r="G650" s="9"/>
    </row>
    <row r="651" spans="1:7" x14ac:dyDescent="0.2">
      <c r="A651" s="9" t="s">
        <v>1066</v>
      </c>
      <c r="B651" s="9" t="s">
        <v>1068</v>
      </c>
      <c r="C651" s="92" t="s">
        <v>40</v>
      </c>
      <c r="D651" s="141">
        <v>36</v>
      </c>
      <c r="E651" s="11" t="s">
        <v>1040</v>
      </c>
      <c r="F651" s="9" t="s">
        <v>1124</v>
      </c>
      <c r="G651" s="9" t="s">
        <v>1125</v>
      </c>
    </row>
    <row r="652" spans="1:7" x14ac:dyDescent="0.2">
      <c r="A652" s="9" t="s">
        <v>1066</v>
      </c>
      <c r="B652" s="9" t="s">
        <v>1068</v>
      </c>
      <c r="C652" s="92" t="s">
        <v>40</v>
      </c>
      <c r="D652" s="141" t="s">
        <v>1193</v>
      </c>
      <c r="E652" s="11" t="s">
        <v>1040</v>
      </c>
      <c r="F652" s="9" t="s">
        <v>1069</v>
      </c>
      <c r="G652" s="9"/>
    </row>
    <row r="653" spans="1:7" x14ac:dyDescent="0.2">
      <c r="A653" s="9" t="s">
        <v>1066</v>
      </c>
      <c r="B653" s="9" t="s">
        <v>1068</v>
      </c>
      <c r="C653" s="92" t="s">
        <v>40</v>
      </c>
      <c r="D653" s="141">
        <v>10</v>
      </c>
      <c r="E653" s="11" t="s">
        <v>1040</v>
      </c>
      <c r="F653" s="9" t="s">
        <v>1129</v>
      </c>
      <c r="G653" s="9"/>
    </row>
    <row r="654" spans="1:7" x14ac:dyDescent="0.2">
      <c r="A654" s="9" t="s">
        <v>1066</v>
      </c>
      <c r="B654" s="9" t="s">
        <v>1068</v>
      </c>
      <c r="C654" s="92" t="s">
        <v>40</v>
      </c>
      <c r="D654" s="141">
        <v>36</v>
      </c>
      <c r="E654" s="11" t="s">
        <v>1040</v>
      </c>
      <c r="F654" s="9" t="s">
        <v>1126</v>
      </c>
      <c r="G654" s="9"/>
    </row>
    <row r="655" spans="1:7" x14ac:dyDescent="0.2">
      <c r="A655" s="9" t="s">
        <v>1066</v>
      </c>
      <c r="B655" s="9" t="s">
        <v>1068</v>
      </c>
      <c r="C655" s="92" t="s">
        <v>40</v>
      </c>
      <c r="D655" s="141">
        <v>30</v>
      </c>
      <c r="E655" s="11" t="s">
        <v>1040</v>
      </c>
      <c r="F655" s="9" t="s">
        <v>168</v>
      </c>
      <c r="G655" s="9" t="s">
        <v>1111</v>
      </c>
    </row>
    <row r="656" spans="1:7" ht="64" customHeight="1" x14ac:dyDescent="0.2">
      <c r="A656" s="9" t="s">
        <v>1066</v>
      </c>
      <c r="B656" s="9" t="s">
        <v>1068</v>
      </c>
      <c r="C656" s="92" t="s">
        <v>40</v>
      </c>
      <c r="D656" s="141">
        <v>25.5</v>
      </c>
      <c r="E656" s="11" t="s">
        <v>1040</v>
      </c>
      <c r="F656" s="6" t="s">
        <v>1070</v>
      </c>
      <c r="G656" s="9"/>
    </row>
    <row r="657" spans="1:7" x14ac:dyDescent="0.2">
      <c r="A657" s="9" t="s">
        <v>1056</v>
      </c>
      <c r="B657" s="9" t="s">
        <v>1057</v>
      </c>
      <c r="C657" s="92" t="s">
        <v>40</v>
      </c>
      <c r="D657" s="12">
        <v>8.3000000000000007</v>
      </c>
      <c r="E657" s="11" t="s">
        <v>1040</v>
      </c>
      <c r="F657" s="9" t="s">
        <v>1175</v>
      </c>
      <c r="G657" s="9"/>
    </row>
    <row r="658" spans="1:7" x14ac:dyDescent="0.2">
      <c r="A658" s="9" t="s">
        <v>1116</v>
      </c>
      <c r="B658" s="9" t="s">
        <v>1117</v>
      </c>
      <c r="C658" s="92" t="s">
        <v>40</v>
      </c>
      <c r="D658" s="15">
        <v>475</v>
      </c>
      <c r="E658" s="11" t="s">
        <v>1040</v>
      </c>
      <c r="F658" s="9" t="s">
        <v>1118</v>
      </c>
      <c r="G658" s="9" t="s">
        <v>1119</v>
      </c>
    </row>
    <row r="659" spans="1:7" x14ac:dyDescent="0.2">
      <c r="A659" s="9" t="s">
        <v>138</v>
      </c>
      <c r="B659" s="9" t="s">
        <v>1039</v>
      </c>
      <c r="C659" s="92" t="s">
        <v>41</v>
      </c>
      <c r="D659" s="16">
        <v>64</v>
      </c>
      <c r="E659" s="11" t="s">
        <v>1040</v>
      </c>
      <c r="F659" s="9" t="s">
        <v>1062</v>
      </c>
      <c r="G659" s="9"/>
    </row>
    <row r="660" spans="1:7" x14ac:dyDescent="0.2">
      <c r="A660" s="9" t="s">
        <v>138</v>
      </c>
      <c r="B660" s="9" t="s">
        <v>1039</v>
      </c>
      <c r="C660" s="92" t="s">
        <v>41</v>
      </c>
      <c r="D660" s="17">
        <v>0.1</v>
      </c>
      <c r="E660" s="11" t="s">
        <v>1040</v>
      </c>
      <c r="F660" s="9" t="s">
        <v>1052</v>
      </c>
      <c r="G660" s="9"/>
    </row>
    <row r="661" spans="1:7" x14ac:dyDescent="0.2">
      <c r="A661" s="9" t="s">
        <v>1066</v>
      </c>
      <c r="B661" s="9" t="s">
        <v>1122</v>
      </c>
      <c r="C661" s="92" t="s">
        <v>42</v>
      </c>
      <c r="D661" s="141">
        <v>52</v>
      </c>
      <c r="E661" s="11" t="s">
        <v>1040</v>
      </c>
      <c r="F661" s="9" t="s">
        <v>1098</v>
      </c>
      <c r="G661" s="9"/>
    </row>
    <row r="662" spans="1:7" x14ac:dyDescent="0.2">
      <c r="A662" s="9" t="s">
        <v>1066</v>
      </c>
      <c r="B662" s="9" t="s">
        <v>1122</v>
      </c>
      <c r="C662" s="92" t="s">
        <v>42</v>
      </c>
      <c r="D662" s="141" t="s">
        <v>1194</v>
      </c>
      <c r="E662" s="11" t="s">
        <v>1040</v>
      </c>
      <c r="F662" s="9" t="s">
        <v>1124</v>
      </c>
      <c r="G662" s="9" t="s">
        <v>1125</v>
      </c>
    </row>
    <row r="663" spans="1:7" x14ac:dyDescent="0.2">
      <c r="A663" s="9" t="s">
        <v>1066</v>
      </c>
      <c r="B663" s="9" t="s">
        <v>1122</v>
      </c>
      <c r="C663" s="92" t="s">
        <v>42</v>
      </c>
      <c r="D663" s="141">
        <v>70</v>
      </c>
      <c r="E663" s="11" t="s">
        <v>1040</v>
      </c>
      <c r="F663" s="9" t="s">
        <v>1129</v>
      </c>
      <c r="G663" s="9"/>
    </row>
    <row r="664" spans="1:7" x14ac:dyDescent="0.2">
      <c r="A664" s="9" t="s">
        <v>1066</v>
      </c>
      <c r="B664" s="9" t="s">
        <v>1122</v>
      </c>
      <c r="C664" s="92" t="s">
        <v>42</v>
      </c>
      <c r="D664" s="152">
        <v>15.2</v>
      </c>
      <c r="E664" s="11" t="s">
        <v>1040</v>
      </c>
      <c r="F664" s="9" t="s">
        <v>1195</v>
      </c>
      <c r="G664" s="9"/>
    </row>
    <row r="665" spans="1:7" x14ac:dyDescent="0.2">
      <c r="A665" s="9" t="s">
        <v>1066</v>
      </c>
      <c r="B665" s="9" t="s">
        <v>1122</v>
      </c>
      <c r="C665" s="92" t="s">
        <v>42</v>
      </c>
      <c r="D665" s="147">
        <v>156</v>
      </c>
      <c r="E665" s="11" t="s">
        <v>1040</v>
      </c>
      <c r="F665" s="9" t="s">
        <v>1126</v>
      </c>
      <c r="G665" s="9"/>
    </row>
    <row r="666" spans="1:7" x14ac:dyDescent="0.2">
      <c r="A666" s="9" t="s">
        <v>1066</v>
      </c>
      <c r="B666" s="9" t="s">
        <v>1122</v>
      </c>
      <c r="C666" s="92" t="s">
        <v>42</v>
      </c>
      <c r="D666" s="141">
        <v>92</v>
      </c>
      <c r="E666" s="11" t="s">
        <v>1040</v>
      </c>
      <c r="F666" s="9" t="s">
        <v>168</v>
      </c>
      <c r="G666" s="9" t="s">
        <v>1111</v>
      </c>
    </row>
    <row r="667" spans="1:7" x14ac:dyDescent="0.2">
      <c r="A667" s="9" t="s">
        <v>1096</v>
      </c>
      <c r="B667" s="9" t="s">
        <v>1097</v>
      </c>
      <c r="C667" s="92" t="s">
        <v>43</v>
      </c>
      <c r="D667" s="180">
        <v>1</v>
      </c>
      <c r="E667" s="11" t="s">
        <v>1040</v>
      </c>
      <c r="F667" s="9" t="s">
        <v>1098</v>
      </c>
      <c r="G667" s="9" t="s">
        <v>1099</v>
      </c>
    </row>
    <row r="668" spans="1:7" x14ac:dyDescent="0.2">
      <c r="A668" s="9" t="s">
        <v>1096</v>
      </c>
      <c r="B668" s="9" t="s">
        <v>1100</v>
      </c>
      <c r="C668" s="92" t="s">
        <v>43</v>
      </c>
      <c r="D668" s="180">
        <v>7</v>
      </c>
      <c r="E668" s="11" t="s">
        <v>1040</v>
      </c>
      <c r="F668" s="9" t="s">
        <v>1098</v>
      </c>
      <c r="G668" s="9" t="s">
        <v>1101</v>
      </c>
    </row>
    <row r="669" spans="1:7" x14ac:dyDescent="0.2">
      <c r="A669" s="9" t="s">
        <v>1096</v>
      </c>
      <c r="B669" s="9" t="s">
        <v>1105</v>
      </c>
      <c r="C669" s="92" t="s">
        <v>43</v>
      </c>
      <c r="D669" s="180">
        <v>8.5</v>
      </c>
      <c r="E669" s="11" t="s">
        <v>1040</v>
      </c>
      <c r="F669" s="9" t="s">
        <v>1069</v>
      </c>
      <c r="G669" s="9"/>
    </row>
    <row r="670" spans="1:7" x14ac:dyDescent="0.2">
      <c r="A670" s="9" t="s">
        <v>1096</v>
      </c>
      <c r="B670" s="9" t="s">
        <v>1106</v>
      </c>
      <c r="C670" s="92" t="s">
        <v>43</v>
      </c>
      <c r="D670" s="180">
        <v>0</v>
      </c>
      <c r="E670" s="11" t="s">
        <v>1040</v>
      </c>
      <c r="F670" s="9" t="s">
        <v>1098</v>
      </c>
      <c r="G670" s="9" t="s">
        <v>1107</v>
      </c>
    </row>
    <row r="671" spans="1:7" x14ac:dyDescent="0.2">
      <c r="A671" s="9" t="s">
        <v>1096</v>
      </c>
      <c r="B671" s="9" t="s">
        <v>1108</v>
      </c>
      <c r="C671" s="92" t="s">
        <v>43</v>
      </c>
      <c r="D671" s="186">
        <v>1</v>
      </c>
      <c r="E671" s="11" t="s">
        <v>1040</v>
      </c>
      <c r="F671" s="9" t="s">
        <v>1098</v>
      </c>
      <c r="G671" s="9" t="s">
        <v>1109</v>
      </c>
    </row>
    <row r="672" spans="1:7" x14ac:dyDescent="0.2">
      <c r="A672" s="9" t="s">
        <v>1096</v>
      </c>
      <c r="B672" s="9" t="s">
        <v>1110</v>
      </c>
      <c r="C672" s="92" t="s">
        <v>43</v>
      </c>
      <c r="D672" s="180">
        <v>7</v>
      </c>
      <c r="E672" s="11" t="s">
        <v>1040</v>
      </c>
      <c r="F672" s="9" t="s">
        <v>168</v>
      </c>
      <c r="G672" s="9"/>
    </row>
    <row r="673" spans="1:7" x14ac:dyDescent="0.2">
      <c r="A673" s="9" t="s">
        <v>1096</v>
      </c>
      <c r="B673" s="9" t="s">
        <v>1112</v>
      </c>
      <c r="C673" s="92" t="s">
        <v>43</v>
      </c>
      <c r="D673" s="180">
        <v>1</v>
      </c>
      <c r="E673" s="11" t="s">
        <v>1040</v>
      </c>
      <c r="F673" s="9" t="s">
        <v>168</v>
      </c>
      <c r="G673" s="9"/>
    </row>
    <row r="674" spans="1:7" x14ac:dyDescent="0.2">
      <c r="A674" s="9" t="s">
        <v>1056</v>
      </c>
      <c r="B674" s="9" t="s">
        <v>1057</v>
      </c>
      <c r="C674" s="92" t="s">
        <v>44</v>
      </c>
      <c r="D674" s="16">
        <v>5</v>
      </c>
      <c r="E674" s="11" t="s">
        <v>1040</v>
      </c>
      <c r="F674" s="9" t="s">
        <v>1128</v>
      </c>
      <c r="G674" s="9"/>
    </row>
    <row r="675" spans="1:7" x14ac:dyDescent="0.2">
      <c r="A675" s="9" t="s">
        <v>1056</v>
      </c>
      <c r="B675" s="11" t="s">
        <v>1059</v>
      </c>
      <c r="C675" s="92" t="s">
        <v>44</v>
      </c>
      <c r="D675" s="12">
        <v>0.3</v>
      </c>
      <c r="E675" s="11" t="s">
        <v>1040</v>
      </c>
      <c r="F675" s="9" t="s">
        <v>1052</v>
      </c>
      <c r="G675" s="9"/>
    </row>
    <row r="676" spans="1:7" x14ac:dyDescent="0.2">
      <c r="A676" s="9" t="s">
        <v>1066</v>
      </c>
      <c r="B676" s="9" t="s">
        <v>1068</v>
      </c>
      <c r="C676" s="92" t="s">
        <v>44</v>
      </c>
      <c r="D676" s="13">
        <v>577</v>
      </c>
      <c r="E676" s="11" t="s">
        <v>1040</v>
      </c>
      <c r="F676" s="9" t="s">
        <v>1069</v>
      </c>
      <c r="G676" s="9"/>
    </row>
    <row r="677" spans="1:7" ht="64" customHeight="1" x14ac:dyDescent="0.2">
      <c r="A677" s="9" t="s">
        <v>1066</v>
      </c>
      <c r="B677" s="9" t="s">
        <v>1068</v>
      </c>
      <c r="C677" s="92" t="s">
        <v>44</v>
      </c>
      <c r="D677" s="147">
        <v>10</v>
      </c>
      <c r="E677" s="11" t="s">
        <v>1040</v>
      </c>
      <c r="F677" s="6" t="s">
        <v>1070</v>
      </c>
      <c r="G677" s="9"/>
    </row>
    <row r="678" spans="1:7" x14ac:dyDescent="0.2">
      <c r="A678" s="9" t="s">
        <v>1066</v>
      </c>
      <c r="B678" s="9" t="s">
        <v>1074</v>
      </c>
      <c r="C678" s="92" t="s">
        <v>44</v>
      </c>
      <c r="D678" s="141">
        <v>332</v>
      </c>
      <c r="E678" s="11" t="s">
        <v>1040</v>
      </c>
      <c r="F678" s="9" t="s">
        <v>168</v>
      </c>
      <c r="G678" s="9" t="s">
        <v>1130</v>
      </c>
    </row>
    <row r="679" spans="1:7" x14ac:dyDescent="0.2">
      <c r="A679" s="9" t="s">
        <v>1056</v>
      </c>
      <c r="B679" s="9" t="s">
        <v>1057</v>
      </c>
      <c r="C679" s="92" t="s">
        <v>45</v>
      </c>
      <c r="D679" s="16">
        <v>5</v>
      </c>
      <c r="E679" s="11" t="s">
        <v>1040</v>
      </c>
      <c r="F679" s="9" t="s">
        <v>1128</v>
      </c>
      <c r="G679" s="9"/>
    </row>
    <row r="680" spans="1:7" x14ac:dyDescent="0.2">
      <c r="A680" s="9" t="s">
        <v>1056</v>
      </c>
      <c r="B680" s="11" t="s">
        <v>1158</v>
      </c>
      <c r="C680" s="92" t="s">
        <v>46</v>
      </c>
      <c r="D680" s="12">
        <v>1.7</v>
      </c>
      <c r="E680" s="11" t="s">
        <v>1040</v>
      </c>
      <c r="F680" s="9" t="s">
        <v>1121</v>
      </c>
      <c r="G680" s="9"/>
    </row>
    <row r="681" spans="1:7" x14ac:dyDescent="0.2">
      <c r="A681" s="9" t="s">
        <v>1056</v>
      </c>
      <c r="B681" s="9" t="s">
        <v>1159</v>
      </c>
      <c r="C681" s="92" t="s">
        <v>46</v>
      </c>
      <c r="D681" s="12">
        <v>1.2</v>
      </c>
      <c r="E681" s="11" t="s">
        <v>1040</v>
      </c>
      <c r="F681" s="9" t="s">
        <v>1121</v>
      </c>
      <c r="G681" s="9"/>
    </row>
    <row r="682" spans="1:7" x14ac:dyDescent="0.2">
      <c r="A682" s="9" t="s">
        <v>1056</v>
      </c>
      <c r="B682" s="9" t="s">
        <v>1060</v>
      </c>
      <c r="C682" s="92" t="s">
        <v>46</v>
      </c>
      <c r="D682" s="12">
        <v>3</v>
      </c>
      <c r="E682" s="11" t="s">
        <v>1040</v>
      </c>
      <c r="F682" s="9" t="s">
        <v>1121</v>
      </c>
      <c r="G682" s="9"/>
    </row>
    <row r="683" spans="1:7" x14ac:dyDescent="0.2">
      <c r="A683" s="9" t="s">
        <v>1056</v>
      </c>
      <c r="B683" s="9" t="s">
        <v>1057</v>
      </c>
      <c r="C683" s="92" t="s">
        <v>46</v>
      </c>
      <c r="D683" s="12">
        <v>1</v>
      </c>
      <c r="E683" s="11" t="s">
        <v>1040</v>
      </c>
      <c r="F683" s="9" t="s">
        <v>1128</v>
      </c>
      <c r="G683" s="9"/>
    </row>
    <row r="684" spans="1:7" x14ac:dyDescent="0.2">
      <c r="A684" s="9" t="s">
        <v>1061</v>
      </c>
      <c r="B684" s="9" t="s">
        <v>1065</v>
      </c>
      <c r="C684" s="92" t="s">
        <v>46</v>
      </c>
      <c r="D684" s="27">
        <v>2</v>
      </c>
      <c r="E684" s="11" t="s">
        <v>1040</v>
      </c>
      <c r="F684" s="9" t="s">
        <v>168</v>
      </c>
      <c r="G684" s="9"/>
    </row>
    <row r="685" spans="1:7" x14ac:dyDescent="0.2">
      <c r="A685" s="9" t="s">
        <v>1061</v>
      </c>
      <c r="B685" s="9" t="s">
        <v>1063</v>
      </c>
      <c r="C685" s="92" t="s">
        <v>46</v>
      </c>
      <c r="D685" s="144">
        <v>2</v>
      </c>
      <c r="E685" s="11" t="s">
        <v>1040</v>
      </c>
      <c r="F685" s="9" t="s">
        <v>168</v>
      </c>
      <c r="G685" s="9"/>
    </row>
    <row r="686" spans="1:7" ht="64" customHeight="1" x14ac:dyDescent="0.2">
      <c r="A686" s="9" t="s">
        <v>1066</v>
      </c>
      <c r="B686" s="9" t="s">
        <v>1068</v>
      </c>
      <c r="C686" s="92" t="s">
        <v>46</v>
      </c>
      <c r="D686" s="147">
        <v>1.0999999999999999E-2</v>
      </c>
      <c r="E686" s="11" t="s">
        <v>1040</v>
      </c>
      <c r="F686" s="6" t="s">
        <v>1070</v>
      </c>
      <c r="G686" s="9"/>
    </row>
    <row r="687" spans="1:7" x14ac:dyDescent="0.2">
      <c r="A687" s="9" t="s">
        <v>1066</v>
      </c>
      <c r="B687" s="9" t="s">
        <v>1077</v>
      </c>
      <c r="C687" s="92" t="s">
        <v>46</v>
      </c>
      <c r="D687" s="147">
        <v>2</v>
      </c>
      <c r="E687" s="11" t="s">
        <v>1040</v>
      </c>
      <c r="F687" s="9" t="s">
        <v>168</v>
      </c>
      <c r="G687" s="9" t="s">
        <v>1130</v>
      </c>
    </row>
    <row r="688" spans="1:7" x14ac:dyDescent="0.2">
      <c r="A688" s="9" t="s">
        <v>1096</v>
      </c>
      <c r="B688" s="9" t="s">
        <v>1110</v>
      </c>
      <c r="C688" s="92" t="s">
        <v>46</v>
      </c>
      <c r="D688" s="180">
        <v>7000</v>
      </c>
      <c r="E688" s="11" t="s">
        <v>1040</v>
      </c>
      <c r="F688" s="9" t="s">
        <v>1069</v>
      </c>
      <c r="G688" s="9"/>
    </row>
    <row r="689" spans="1:7" x14ac:dyDescent="0.2">
      <c r="A689" s="9" t="s">
        <v>1096</v>
      </c>
      <c r="B689" s="9" t="s">
        <v>1110</v>
      </c>
      <c r="C689" s="92" t="s">
        <v>46</v>
      </c>
      <c r="D689" s="180">
        <v>7000</v>
      </c>
      <c r="E689" s="11" t="s">
        <v>1040</v>
      </c>
      <c r="F689" s="9" t="s">
        <v>168</v>
      </c>
      <c r="G689" s="9"/>
    </row>
    <row r="690" spans="1:7" x14ac:dyDescent="0.2">
      <c r="A690" s="9" t="s">
        <v>1096</v>
      </c>
      <c r="B690" s="9" t="s">
        <v>1112</v>
      </c>
      <c r="C690" s="92" t="s">
        <v>46</v>
      </c>
      <c r="D690" s="180">
        <v>90</v>
      </c>
      <c r="E690" s="11" t="s">
        <v>1040</v>
      </c>
      <c r="F690" s="9" t="s">
        <v>1069</v>
      </c>
      <c r="G690" s="9"/>
    </row>
    <row r="691" spans="1:7" x14ac:dyDescent="0.2">
      <c r="A691" s="9" t="s">
        <v>1096</v>
      </c>
      <c r="B691" s="9" t="s">
        <v>1112</v>
      </c>
      <c r="C691" s="92" t="s">
        <v>46</v>
      </c>
      <c r="D691" s="180">
        <v>90</v>
      </c>
      <c r="E691" s="11" t="s">
        <v>1040</v>
      </c>
      <c r="F691" s="9" t="s">
        <v>168</v>
      </c>
      <c r="G691" s="9"/>
    </row>
    <row r="692" spans="1:7" x14ac:dyDescent="0.2">
      <c r="A692" s="9" t="s">
        <v>1056</v>
      </c>
      <c r="B692" s="9" t="s">
        <v>1057</v>
      </c>
      <c r="C692" s="92" t="s">
        <v>47</v>
      </c>
      <c r="D692" s="16">
        <v>1</v>
      </c>
      <c r="E692" s="11" t="s">
        <v>1040</v>
      </c>
      <c r="F692" s="9" t="s">
        <v>1128</v>
      </c>
      <c r="G692" s="9"/>
    </row>
    <row r="693" spans="1:7" x14ac:dyDescent="0.2">
      <c r="A693" s="9" t="s">
        <v>1096</v>
      </c>
      <c r="B693" s="9" t="s">
        <v>1105</v>
      </c>
      <c r="C693" s="92" t="s">
        <v>47</v>
      </c>
      <c r="D693" s="186">
        <v>1.2</v>
      </c>
      <c r="E693" s="11" t="s">
        <v>1040</v>
      </c>
      <c r="F693" s="9" t="s">
        <v>1069</v>
      </c>
      <c r="G693" s="9"/>
    </row>
    <row r="694" spans="1:7" x14ac:dyDescent="0.2">
      <c r="A694" s="9" t="s">
        <v>137</v>
      </c>
      <c r="B694" s="9" t="s">
        <v>1039</v>
      </c>
      <c r="C694" s="92" t="s">
        <v>48</v>
      </c>
      <c r="D694" s="17">
        <v>160</v>
      </c>
      <c r="E694" s="11" t="s">
        <v>1040</v>
      </c>
      <c r="F694" s="9" t="s">
        <v>1041</v>
      </c>
      <c r="G694" s="9"/>
    </row>
    <row r="695" spans="1:7" x14ac:dyDescent="0.2">
      <c r="A695" s="9" t="s">
        <v>137</v>
      </c>
      <c r="B695" s="9" t="s">
        <v>1044</v>
      </c>
      <c r="C695" s="92" t="s">
        <v>48</v>
      </c>
      <c r="D695" s="18">
        <v>18</v>
      </c>
      <c r="E695" s="11" t="s">
        <v>1040</v>
      </c>
      <c r="F695" s="9" t="s">
        <v>1045</v>
      </c>
      <c r="G695" s="9"/>
    </row>
    <row r="696" spans="1:7" x14ac:dyDescent="0.2">
      <c r="A696" s="9" t="s">
        <v>1046</v>
      </c>
      <c r="B696" s="9" t="s">
        <v>1051</v>
      </c>
      <c r="C696" s="92" t="s">
        <v>48</v>
      </c>
      <c r="D696" s="15">
        <v>20</v>
      </c>
      <c r="E696" s="11" t="s">
        <v>1040</v>
      </c>
      <c r="F696" s="9" t="s">
        <v>1052</v>
      </c>
      <c r="G696" s="9"/>
    </row>
    <row r="697" spans="1:7" x14ac:dyDescent="0.2">
      <c r="A697" s="9" t="s">
        <v>1046</v>
      </c>
      <c r="B697" s="9" t="s">
        <v>1053</v>
      </c>
      <c r="C697" s="92" t="s">
        <v>48</v>
      </c>
      <c r="D697" s="15">
        <v>40</v>
      </c>
      <c r="E697" s="11" t="s">
        <v>1040</v>
      </c>
      <c r="F697" s="9" t="s">
        <v>1052</v>
      </c>
      <c r="G697" s="9"/>
    </row>
    <row r="698" spans="1:7" x14ac:dyDescent="0.2">
      <c r="A698" s="9" t="s">
        <v>138</v>
      </c>
      <c r="B698" s="9" t="s">
        <v>1039</v>
      </c>
      <c r="C698" s="92" t="s">
        <v>48</v>
      </c>
      <c r="D698" s="16">
        <v>1917</v>
      </c>
      <c r="E698" s="11" t="s">
        <v>1040</v>
      </c>
      <c r="F698" s="9" t="s">
        <v>1052</v>
      </c>
      <c r="G698" s="9"/>
    </row>
    <row r="699" spans="1:7" x14ac:dyDescent="0.2">
      <c r="A699" s="9" t="s">
        <v>1055</v>
      </c>
      <c r="B699" s="11" t="s">
        <v>1039</v>
      </c>
      <c r="C699" s="92" t="s">
        <v>48</v>
      </c>
      <c r="D699" s="82">
        <v>400</v>
      </c>
      <c r="E699" s="11" t="s">
        <v>1040</v>
      </c>
      <c r="F699" s="9" t="s">
        <v>1041</v>
      </c>
      <c r="G699" s="9"/>
    </row>
    <row r="700" spans="1:7" x14ac:dyDescent="0.2">
      <c r="A700" s="9" t="s">
        <v>1055</v>
      </c>
      <c r="B700" s="11" t="s">
        <v>1039</v>
      </c>
      <c r="C700" s="92" t="s">
        <v>48</v>
      </c>
      <c r="D700" s="82">
        <v>253</v>
      </c>
      <c r="E700" s="11" t="s">
        <v>1040</v>
      </c>
      <c r="F700" s="9" t="s">
        <v>1052</v>
      </c>
      <c r="G700" s="9"/>
    </row>
    <row r="701" spans="1:7" x14ac:dyDescent="0.2">
      <c r="A701" s="9" t="s">
        <v>1056</v>
      </c>
      <c r="B701" s="11" t="s">
        <v>1059</v>
      </c>
      <c r="C701" s="92" t="s">
        <v>48</v>
      </c>
      <c r="D701" s="16">
        <v>87</v>
      </c>
      <c r="E701" s="11" t="s">
        <v>1040</v>
      </c>
      <c r="F701" s="9" t="s">
        <v>1052</v>
      </c>
      <c r="G701" s="9"/>
    </row>
    <row r="702" spans="1:7" x14ac:dyDescent="0.2">
      <c r="A702" s="9" t="s">
        <v>1056</v>
      </c>
      <c r="B702" s="11" t="s">
        <v>1060</v>
      </c>
      <c r="C702" s="92" t="s">
        <v>48</v>
      </c>
      <c r="D702" s="16">
        <v>48</v>
      </c>
      <c r="E702" s="11" t="s">
        <v>1040</v>
      </c>
      <c r="F702" s="9" t="s">
        <v>1052</v>
      </c>
      <c r="G702" s="9"/>
    </row>
    <row r="703" spans="1:7" x14ac:dyDescent="0.2">
      <c r="A703" s="9" t="s">
        <v>1061</v>
      </c>
      <c r="B703" s="9" t="s">
        <v>1039</v>
      </c>
      <c r="C703" s="92" t="s">
        <v>48</v>
      </c>
      <c r="D703" s="15">
        <v>100</v>
      </c>
      <c r="E703" s="11" t="s">
        <v>1040</v>
      </c>
      <c r="F703" s="9" t="s">
        <v>1062</v>
      </c>
      <c r="G703" s="9"/>
    </row>
    <row r="704" spans="1:7" x14ac:dyDescent="0.2">
      <c r="A704" s="9" t="s">
        <v>1061</v>
      </c>
      <c r="B704" s="9" t="s">
        <v>1065</v>
      </c>
      <c r="C704" s="92" t="s">
        <v>48</v>
      </c>
      <c r="D704" s="15">
        <v>650</v>
      </c>
      <c r="E704" s="11" t="s">
        <v>1040</v>
      </c>
      <c r="F704" s="9" t="s">
        <v>168</v>
      </c>
      <c r="G704" s="9"/>
    </row>
    <row r="705" spans="1:7" x14ac:dyDescent="0.2">
      <c r="A705" s="9" t="s">
        <v>1061</v>
      </c>
      <c r="B705" s="9" t="s">
        <v>1063</v>
      </c>
      <c r="C705" s="92" t="s">
        <v>48</v>
      </c>
      <c r="D705" s="15">
        <v>1400</v>
      </c>
      <c r="E705" s="11" t="s">
        <v>1040</v>
      </c>
      <c r="F705" s="9" t="s">
        <v>168</v>
      </c>
      <c r="G705" s="9"/>
    </row>
    <row r="706" spans="1:7" x14ac:dyDescent="0.2">
      <c r="A706" s="9" t="s">
        <v>1066</v>
      </c>
      <c r="B706" s="9" t="s">
        <v>1039</v>
      </c>
      <c r="C706" s="92" t="s">
        <v>48</v>
      </c>
      <c r="D706" s="141">
        <v>30</v>
      </c>
      <c r="E706" s="11" t="s">
        <v>1040</v>
      </c>
      <c r="F706" s="9" t="s">
        <v>1067</v>
      </c>
      <c r="G706" s="9"/>
    </row>
    <row r="707" spans="1:7" ht="64" customHeight="1" x14ac:dyDescent="0.2">
      <c r="A707" s="9" t="s">
        <v>1066</v>
      </c>
      <c r="B707" s="9" t="s">
        <v>1068</v>
      </c>
      <c r="C707" s="92" t="s">
        <v>48</v>
      </c>
      <c r="D707" s="141">
        <v>2523.04</v>
      </c>
      <c r="E707" s="11" t="s">
        <v>1040</v>
      </c>
      <c r="F707" s="6" t="s">
        <v>1070</v>
      </c>
      <c r="G707" s="9"/>
    </row>
    <row r="708" spans="1:7" x14ac:dyDescent="0.2">
      <c r="A708" s="9" t="s">
        <v>1066</v>
      </c>
      <c r="B708" s="9" t="s">
        <v>1074</v>
      </c>
      <c r="C708" s="92" t="s">
        <v>48</v>
      </c>
      <c r="D708" s="141">
        <v>56</v>
      </c>
      <c r="E708" s="11" t="s">
        <v>1040</v>
      </c>
      <c r="F708" s="9" t="s">
        <v>168</v>
      </c>
      <c r="G708" s="9" t="s">
        <v>1130</v>
      </c>
    </row>
    <row r="709" spans="1:7" x14ac:dyDescent="0.2">
      <c r="A709" s="9" t="s">
        <v>1066</v>
      </c>
      <c r="B709" s="9" t="s">
        <v>1077</v>
      </c>
      <c r="C709" s="92" t="s">
        <v>48</v>
      </c>
      <c r="D709" s="141">
        <v>1400</v>
      </c>
      <c r="E709" s="11" t="s">
        <v>1040</v>
      </c>
      <c r="F709" s="9" t="s">
        <v>168</v>
      </c>
      <c r="G709" s="9" t="s">
        <v>1130</v>
      </c>
    </row>
    <row r="710" spans="1:7" x14ac:dyDescent="0.2">
      <c r="A710" s="9" t="s">
        <v>1093</v>
      </c>
      <c r="B710" s="9" t="s">
        <v>61</v>
      </c>
      <c r="C710" s="92" t="s">
        <v>48</v>
      </c>
      <c r="D710" s="15">
        <v>100</v>
      </c>
      <c r="E710" s="11" t="s">
        <v>177</v>
      </c>
      <c r="F710" s="9" t="s">
        <v>178</v>
      </c>
      <c r="G710" s="9"/>
    </row>
    <row r="711" spans="1:7" x14ac:dyDescent="0.2">
      <c r="A711" s="9" t="s">
        <v>1093</v>
      </c>
      <c r="B711" s="9" t="s">
        <v>1</v>
      </c>
      <c r="C711" s="92" t="s">
        <v>48</v>
      </c>
      <c r="D711" s="15">
        <v>100</v>
      </c>
      <c r="E711" s="11" t="s">
        <v>177</v>
      </c>
      <c r="F711" s="9" t="s">
        <v>178</v>
      </c>
      <c r="G711" s="9"/>
    </row>
    <row r="712" spans="1:7" x14ac:dyDescent="0.2">
      <c r="A712" s="9" t="s">
        <v>1093</v>
      </c>
      <c r="B712" s="9" t="s">
        <v>60</v>
      </c>
      <c r="C712" s="92" t="s">
        <v>48</v>
      </c>
      <c r="D712" s="15">
        <v>100</v>
      </c>
      <c r="E712" s="11" t="s">
        <v>177</v>
      </c>
      <c r="F712" s="9" t="s">
        <v>178</v>
      </c>
      <c r="G712" s="9"/>
    </row>
    <row r="713" spans="1:7" x14ac:dyDescent="0.2">
      <c r="A713" s="9" t="s">
        <v>1096</v>
      </c>
      <c r="B713" s="9" t="s">
        <v>1097</v>
      </c>
      <c r="C713" s="92" t="s">
        <v>48</v>
      </c>
      <c r="D713" s="180">
        <v>5500</v>
      </c>
      <c r="E713" s="11" t="s">
        <v>1040</v>
      </c>
      <c r="F713" s="9" t="s">
        <v>1098</v>
      </c>
      <c r="G713" s="9" t="s">
        <v>1099</v>
      </c>
    </row>
    <row r="714" spans="1:7" x14ac:dyDescent="0.2">
      <c r="A714" s="9" t="s">
        <v>1096</v>
      </c>
      <c r="B714" s="9" t="s">
        <v>1100</v>
      </c>
      <c r="C714" s="92" t="s">
        <v>48</v>
      </c>
      <c r="D714" s="180">
        <v>5500</v>
      </c>
      <c r="E714" s="11" t="s">
        <v>1040</v>
      </c>
      <c r="F714" s="9" t="s">
        <v>1098</v>
      </c>
      <c r="G714" s="9" t="s">
        <v>1101</v>
      </c>
    </row>
    <row r="715" spans="1:7" x14ac:dyDescent="0.2">
      <c r="A715" s="9" t="s">
        <v>1096</v>
      </c>
      <c r="B715" s="9" t="s">
        <v>1105</v>
      </c>
      <c r="C715" s="92" t="s">
        <v>48</v>
      </c>
      <c r="D715" s="180">
        <v>5500</v>
      </c>
      <c r="E715" s="11" t="s">
        <v>1040</v>
      </c>
      <c r="F715" s="9" t="s">
        <v>1069</v>
      </c>
      <c r="G715" s="9"/>
    </row>
    <row r="716" spans="1:7" x14ac:dyDescent="0.2">
      <c r="A716" s="9" t="s">
        <v>1096</v>
      </c>
      <c r="B716" s="9" t="s">
        <v>1106</v>
      </c>
      <c r="C716" s="92" t="s">
        <v>48</v>
      </c>
      <c r="D716" s="180">
        <v>5500</v>
      </c>
      <c r="E716" s="11" t="s">
        <v>1040</v>
      </c>
      <c r="F716" s="9" t="s">
        <v>1098</v>
      </c>
      <c r="G716" s="9" t="s">
        <v>1107</v>
      </c>
    </row>
    <row r="717" spans="1:7" x14ac:dyDescent="0.2">
      <c r="A717" s="9" t="s">
        <v>1096</v>
      </c>
      <c r="B717" s="9" t="s">
        <v>1108</v>
      </c>
      <c r="C717" s="92" t="s">
        <v>48</v>
      </c>
      <c r="D717" s="180">
        <v>5500</v>
      </c>
      <c r="E717" s="11" t="s">
        <v>1040</v>
      </c>
      <c r="F717" s="9" t="s">
        <v>1098</v>
      </c>
      <c r="G717" s="9" t="s">
        <v>1109</v>
      </c>
    </row>
    <row r="718" spans="1:7" x14ac:dyDescent="0.2">
      <c r="A718" s="9" t="s">
        <v>1096</v>
      </c>
      <c r="B718" s="9" t="s">
        <v>1110</v>
      </c>
      <c r="C718" s="92" t="s">
        <v>48</v>
      </c>
      <c r="D718" s="180">
        <v>5500</v>
      </c>
      <c r="E718" s="11" t="s">
        <v>1040</v>
      </c>
      <c r="F718" s="9" t="s">
        <v>1127</v>
      </c>
      <c r="G718" s="9"/>
    </row>
    <row r="719" spans="1:7" x14ac:dyDescent="0.2">
      <c r="A719" s="9" t="s">
        <v>1096</v>
      </c>
      <c r="B719" s="9" t="s">
        <v>1110</v>
      </c>
      <c r="C719" s="92" t="s">
        <v>48</v>
      </c>
      <c r="D719" s="180">
        <v>5450</v>
      </c>
      <c r="E719" s="11" t="s">
        <v>1040</v>
      </c>
      <c r="F719" s="9" t="s">
        <v>168</v>
      </c>
      <c r="G719" s="9"/>
    </row>
    <row r="720" spans="1:7" x14ac:dyDescent="0.2">
      <c r="A720" s="9" t="s">
        <v>1096</v>
      </c>
      <c r="B720" s="9" t="s">
        <v>1112</v>
      </c>
      <c r="C720" s="92" t="s">
        <v>48</v>
      </c>
      <c r="D720" s="180">
        <v>5500</v>
      </c>
      <c r="E720" s="11" t="s">
        <v>1040</v>
      </c>
      <c r="F720" s="9" t="s">
        <v>1127</v>
      </c>
      <c r="G720" s="9"/>
    </row>
    <row r="721" spans="1:7" x14ac:dyDescent="0.2">
      <c r="A721" s="9" t="s">
        <v>1096</v>
      </c>
      <c r="B721" s="9" t="s">
        <v>1112</v>
      </c>
      <c r="C721" s="92" t="s">
        <v>48</v>
      </c>
      <c r="D721" s="180">
        <v>5450</v>
      </c>
      <c r="E721" s="11" t="s">
        <v>1040</v>
      </c>
      <c r="F721" s="9" t="s">
        <v>168</v>
      </c>
      <c r="G721" s="9"/>
    </row>
    <row r="722" spans="1:7" x14ac:dyDescent="0.2">
      <c r="A722" s="9" t="s">
        <v>1056</v>
      </c>
      <c r="B722" s="9" t="s">
        <v>1057</v>
      </c>
      <c r="C722" s="92" t="s">
        <v>49</v>
      </c>
      <c r="D722" s="12">
        <v>31</v>
      </c>
      <c r="E722" s="11" t="s">
        <v>1040</v>
      </c>
      <c r="F722" s="9" t="s">
        <v>1128</v>
      </c>
      <c r="G722" s="9"/>
    </row>
    <row r="723" spans="1:7" x14ac:dyDescent="0.2">
      <c r="A723" s="9" t="s">
        <v>1056</v>
      </c>
      <c r="B723" s="11" t="s">
        <v>1059</v>
      </c>
      <c r="C723" s="92" t="s">
        <v>49</v>
      </c>
      <c r="D723" s="12">
        <v>14</v>
      </c>
      <c r="E723" s="11" t="s">
        <v>1040</v>
      </c>
      <c r="F723" s="9" t="s">
        <v>1052</v>
      </c>
      <c r="G723" s="9"/>
    </row>
    <row r="724" spans="1:7" x14ac:dyDescent="0.2">
      <c r="A724" s="9" t="s">
        <v>1196</v>
      </c>
      <c r="B724" s="11" t="s">
        <v>1039</v>
      </c>
      <c r="C724" s="92" t="s">
        <v>17</v>
      </c>
      <c r="D724" s="15">
        <v>326</v>
      </c>
      <c r="E724" s="11" t="s">
        <v>1040</v>
      </c>
      <c r="F724" s="36" t="s">
        <v>1076</v>
      </c>
      <c r="G724" s="9"/>
    </row>
    <row r="725" spans="1:7" x14ac:dyDescent="0.2">
      <c r="A725" s="9" t="s">
        <v>1196</v>
      </c>
      <c r="B725" s="11" t="s">
        <v>1039</v>
      </c>
      <c r="C725" s="92" t="s">
        <v>18</v>
      </c>
      <c r="D725" s="15">
        <v>7.5</v>
      </c>
      <c r="E725" s="11" t="s">
        <v>1040</v>
      </c>
      <c r="F725" s="36" t="s">
        <v>1076</v>
      </c>
      <c r="G725" s="9"/>
    </row>
    <row r="726" spans="1:7" x14ac:dyDescent="0.2">
      <c r="A726" s="9" t="s">
        <v>1196</v>
      </c>
      <c r="B726" s="11" t="s">
        <v>1039</v>
      </c>
      <c r="C726" s="92" t="s">
        <v>20</v>
      </c>
      <c r="D726" s="15">
        <v>692</v>
      </c>
      <c r="E726" s="11" t="s">
        <v>1040</v>
      </c>
      <c r="F726" s="36" t="s">
        <v>1076</v>
      </c>
      <c r="G726" s="9"/>
    </row>
    <row r="727" spans="1:7" x14ac:dyDescent="0.2">
      <c r="A727" s="9" t="s">
        <v>1196</v>
      </c>
      <c r="B727" s="11" t="s">
        <v>1039</v>
      </c>
      <c r="C727" s="92" t="s">
        <v>31</v>
      </c>
      <c r="D727" s="15">
        <v>3761</v>
      </c>
      <c r="E727" s="11" t="s">
        <v>1040</v>
      </c>
      <c r="F727" s="36" t="s">
        <v>1076</v>
      </c>
      <c r="G727" s="9"/>
    </row>
    <row r="728" spans="1:7" x14ac:dyDescent="0.2">
      <c r="A728" s="9" t="s">
        <v>1196</v>
      </c>
      <c r="B728" s="11" t="s">
        <v>1039</v>
      </c>
      <c r="C728" s="92" t="s">
        <v>32</v>
      </c>
      <c r="D728" s="15">
        <v>7.5</v>
      </c>
      <c r="E728" s="11" t="s">
        <v>1040</v>
      </c>
      <c r="F728" s="36" t="s">
        <v>1076</v>
      </c>
      <c r="G728" s="9"/>
    </row>
    <row r="729" spans="1:7" x14ac:dyDescent="0.2">
      <c r="A729" s="9" t="s">
        <v>1196</v>
      </c>
      <c r="B729" s="11" t="s">
        <v>1039</v>
      </c>
      <c r="C729" s="92" t="s">
        <v>34</v>
      </c>
      <c r="D729" s="15">
        <v>1145</v>
      </c>
      <c r="E729" s="11" t="s">
        <v>1040</v>
      </c>
      <c r="F729" s="36" t="s">
        <v>1076</v>
      </c>
      <c r="G729" s="9"/>
    </row>
    <row r="730" spans="1:7" x14ac:dyDescent="0.2">
      <c r="A730" s="9" t="s">
        <v>1196</v>
      </c>
      <c r="B730" s="11" t="s">
        <v>1039</v>
      </c>
      <c r="C730" s="92" t="s">
        <v>35</v>
      </c>
      <c r="D730" s="15">
        <v>100</v>
      </c>
      <c r="E730" s="11" t="s">
        <v>1040</v>
      </c>
      <c r="F730" s="36" t="s">
        <v>1076</v>
      </c>
      <c r="G730" s="9"/>
    </row>
    <row r="731" spans="1:7" x14ac:dyDescent="0.2">
      <c r="A731" s="9" t="s">
        <v>1196</v>
      </c>
      <c r="B731" s="11" t="s">
        <v>1039</v>
      </c>
      <c r="C731" s="92" t="s">
        <v>46</v>
      </c>
      <c r="D731" s="15">
        <v>100</v>
      </c>
      <c r="E731" s="11" t="s">
        <v>1040</v>
      </c>
      <c r="F731" s="36" t="s">
        <v>1076</v>
      </c>
      <c r="G731" s="9"/>
    </row>
    <row r="732" spans="1:7" x14ac:dyDescent="0.2">
      <c r="A732" s="9" t="s">
        <v>1197</v>
      </c>
      <c r="B732" s="11" t="s">
        <v>1</v>
      </c>
      <c r="C732" s="92" t="s">
        <v>14</v>
      </c>
      <c r="D732" s="15">
        <v>71300</v>
      </c>
      <c r="E732" s="11" t="s">
        <v>177</v>
      </c>
      <c r="F732" s="9" t="s">
        <v>168</v>
      </c>
      <c r="G732" s="9"/>
    </row>
    <row r="733" spans="1:7" x14ac:dyDescent="0.2">
      <c r="A733" s="9" t="s">
        <v>1197</v>
      </c>
      <c r="B733" s="9" t="s">
        <v>59</v>
      </c>
      <c r="C733" s="92" t="s">
        <v>14</v>
      </c>
      <c r="D733" s="150">
        <v>94750</v>
      </c>
      <c r="E733" s="9" t="s">
        <v>177</v>
      </c>
      <c r="F733" s="9" t="s">
        <v>168</v>
      </c>
      <c r="G733" s="9"/>
    </row>
    <row r="734" spans="1:7" x14ac:dyDescent="0.2">
      <c r="A734" s="9" t="s">
        <v>1197</v>
      </c>
      <c r="B734" s="9" t="s">
        <v>60</v>
      </c>
      <c r="C734" s="92" t="s">
        <v>14</v>
      </c>
      <c r="D734" s="148">
        <v>110658</v>
      </c>
      <c r="E734" s="9" t="s">
        <v>177</v>
      </c>
      <c r="F734" s="9" t="s">
        <v>168</v>
      </c>
      <c r="G734" s="9"/>
    </row>
    <row r="735" spans="1:7" x14ac:dyDescent="0.2">
      <c r="A735" s="9" t="s">
        <v>1197</v>
      </c>
      <c r="B735" s="9" t="s">
        <v>61</v>
      </c>
      <c r="C735" s="92" t="s">
        <v>14</v>
      </c>
      <c r="D735" s="150">
        <v>127302</v>
      </c>
      <c r="E735" s="9" t="s">
        <v>177</v>
      </c>
      <c r="F735" s="9" t="s">
        <v>168</v>
      </c>
      <c r="G735" s="9"/>
    </row>
    <row r="736" spans="1:7" x14ac:dyDescent="0.2">
      <c r="A736" s="9" t="s">
        <v>1197</v>
      </c>
      <c r="B736" s="9" t="s">
        <v>2</v>
      </c>
      <c r="C736" s="92" t="s">
        <v>14</v>
      </c>
      <c r="D736" s="150">
        <v>32888</v>
      </c>
      <c r="E736" s="9" t="s">
        <v>177</v>
      </c>
      <c r="F736" s="9" t="s">
        <v>168</v>
      </c>
      <c r="G736" s="9"/>
    </row>
    <row r="737" spans="1:7" x14ac:dyDescent="0.2">
      <c r="A737" s="9" t="s">
        <v>1197</v>
      </c>
      <c r="B737" s="9" t="s">
        <v>59</v>
      </c>
      <c r="C737" s="92" t="s">
        <v>17</v>
      </c>
      <c r="D737" s="150">
        <v>560</v>
      </c>
      <c r="E737" s="9" t="s">
        <v>177</v>
      </c>
      <c r="F737" s="9" t="s">
        <v>168</v>
      </c>
      <c r="G737" s="9"/>
    </row>
    <row r="738" spans="1:7" x14ac:dyDescent="0.2">
      <c r="A738" s="9" t="s">
        <v>1197</v>
      </c>
      <c r="B738" s="9" t="s">
        <v>60</v>
      </c>
      <c r="C738" s="92" t="s">
        <v>17</v>
      </c>
      <c r="D738" s="148">
        <v>12789</v>
      </c>
      <c r="E738" s="9" t="s">
        <v>177</v>
      </c>
      <c r="F738" s="9" t="s">
        <v>168</v>
      </c>
      <c r="G738" s="9"/>
    </row>
    <row r="739" spans="1:7" x14ac:dyDescent="0.2">
      <c r="A739" s="9" t="s">
        <v>1197</v>
      </c>
      <c r="B739" s="9" t="s">
        <v>61</v>
      </c>
      <c r="C739" s="92" t="s">
        <v>17</v>
      </c>
      <c r="D739" s="150">
        <v>11850</v>
      </c>
      <c r="E739" s="9" t="s">
        <v>177</v>
      </c>
      <c r="F739" s="9" t="s">
        <v>168</v>
      </c>
      <c r="G739" s="9"/>
    </row>
    <row r="740" spans="1:7" x14ac:dyDescent="0.2">
      <c r="A740" s="9" t="s">
        <v>1197</v>
      </c>
      <c r="B740" s="9" t="s">
        <v>59</v>
      </c>
      <c r="C740" s="92" t="s">
        <v>18</v>
      </c>
      <c r="D740" s="150">
        <v>753</v>
      </c>
      <c r="E740" s="9" t="s">
        <v>177</v>
      </c>
      <c r="F740" s="9" t="s">
        <v>168</v>
      </c>
      <c r="G740" s="9"/>
    </row>
    <row r="741" spans="1:7" x14ac:dyDescent="0.2">
      <c r="A741" s="9" t="s">
        <v>1197</v>
      </c>
      <c r="B741" s="9" t="s">
        <v>60</v>
      </c>
      <c r="C741" s="92" t="s">
        <v>18</v>
      </c>
      <c r="D741" s="148">
        <v>3775</v>
      </c>
      <c r="E741" s="9" t="s">
        <v>177</v>
      </c>
      <c r="F741" s="9" t="s">
        <v>168</v>
      </c>
      <c r="G741" s="9"/>
    </row>
    <row r="742" spans="1:7" x14ac:dyDescent="0.2">
      <c r="A742" s="9" t="s">
        <v>1197</v>
      </c>
      <c r="B742" s="9" t="s">
        <v>61</v>
      </c>
      <c r="C742" s="92" t="s">
        <v>18</v>
      </c>
      <c r="D742" s="150">
        <v>13460</v>
      </c>
      <c r="E742" s="9" t="s">
        <v>177</v>
      </c>
      <c r="F742" s="9" t="s">
        <v>168</v>
      </c>
      <c r="G742" s="9"/>
    </row>
    <row r="743" spans="1:7" x14ac:dyDescent="0.2">
      <c r="A743" s="9" t="s">
        <v>1197</v>
      </c>
      <c r="B743" s="9" t="s">
        <v>2</v>
      </c>
      <c r="C743" s="92" t="s">
        <v>18</v>
      </c>
      <c r="D743" s="150">
        <v>501</v>
      </c>
      <c r="E743" s="9" t="s">
        <v>177</v>
      </c>
      <c r="F743" s="9" t="s">
        <v>168</v>
      </c>
      <c r="G743" s="9"/>
    </row>
    <row r="744" spans="1:7" x14ac:dyDescent="0.2">
      <c r="A744" s="9" t="s">
        <v>1197</v>
      </c>
      <c r="B744" s="9" t="s">
        <v>1</v>
      </c>
      <c r="C744" s="92" t="s">
        <v>20</v>
      </c>
      <c r="D744" s="147">
        <v>22300</v>
      </c>
      <c r="E744" s="9" t="s">
        <v>177</v>
      </c>
      <c r="F744" s="9" t="s">
        <v>168</v>
      </c>
      <c r="G744" s="9"/>
    </row>
    <row r="745" spans="1:7" x14ac:dyDescent="0.2">
      <c r="A745" s="9" t="s">
        <v>1197</v>
      </c>
      <c r="B745" s="9" t="s">
        <v>59</v>
      </c>
      <c r="C745" s="92" t="s">
        <v>20</v>
      </c>
      <c r="D745" s="150">
        <v>36300</v>
      </c>
      <c r="E745" s="9" t="s">
        <v>177</v>
      </c>
      <c r="F745" s="9" t="s">
        <v>168</v>
      </c>
      <c r="G745" s="9"/>
    </row>
    <row r="746" spans="1:7" x14ac:dyDescent="0.2">
      <c r="A746" s="9" t="s">
        <v>1197</v>
      </c>
      <c r="B746" s="9" t="s">
        <v>60</v>
      </c>
      <c r="C746" s="92" t="s">
        <v>20</v>
      </c>
      <c r="D746" s="19">
        <v>71900</v>
      </c>
      <c r="E746" s="9" t="s">
        <v>177</v>
      </c>
      <c r="F746" s="9" t="s">
        <v>168</v>
      </c>
      <c r="G746" s="9"/>
    </row>
    <row r="747" spans="1:7" x14ac:dyDescent="0.2">
      <c r="A747" s="9" t="s">
        <v>1197</v>
      </c>
      <c r="B747" s="9" t="s">
        <v>61</v>
      </c>
      <c r="C747" s="92" t="s">
        <v>20</v>
      </c>
      <c r="D747" s="19">
        <v>92500</v>
      </c>
      <c r="E747" s="9" t="s">
        <v>177</v>
      </c>
      <c r="F747" s="9" t="s">
        <v>168</v>
      </c>
      <c r="G747" s="9"/>
    </row>
    <row r="748" spans="1:7" x14ac:dyDescent="0.2">
      <c r="A748" s="9" t="s">
        <v>1197</v>
      </c>
      <c r="B748" s="9" t="s">
        <v>2</v>
      </c>
      <c r="C748" s="92" t="s">
        <v>20</v>
      </c>
      <c r="D748" s="150">
        <v>31500</v>
      </c>
      <c r="E748" s="9" t="s">
        <v>177</v>
      </c>
      <c r="F748" s="9" t="s">
        <v>168</v>
      </c>
      <c r="G748" s="9"/>
    </row>
    <row r="749" spans="1:7" x14ac:dyDescent="0.2">
      <c r="A749" s="9" t="s">
        <v>1197</v>
      </c>
      <c r="B749" s="9" t="s">
        <v>59</v>
      </c>
      <c r="C749" s="92" t="s">
        <v>21</v>
      </c>
      <c r="D749" s="150">
        <v>181</v>
      </c>
      <c r="E749" s="9" t="s">
        <v>177</v>
      </c>
      <c r="F749" s="9" t="s">
        <v>168</v>
      </c>
      <c r="G749" s="9"/>
    </row>
    <row r="750" spans="1:7" x14ac:dyDescent="0.2">
      <c r="A750" s="9" t="s">
        <v>1197</v>
      </c>
      <c r="B750" s="9" t="s">
        <v>60</v>
      </c>
      <c r="C750" s="92" t="s">
        <v>21</v>
      </c>
      <c r="D750" s="148">
        <v>125</v>
      </c>
      <c r="E750" s="9" t="s">
        <v>177</v>
      </c>
      <c r="F750" s="9" t="s">
        <v>168</v>
      </c>
      <c r="G750" s="9"/>
    </row>
    <row r="751" spans="1:7" x14ac:dyDescent="0.2">
      <c r="A751" s="9" t="s">
        <v>1197</v>
      </c>
      <c r="B751" s="9" t="s">
        <v>61</v>
      </c>
      <c r="C751" s="92" t="s">
        <v>21</v>
      </c>
      <c r="D751" s="19">
        <v>279</v>
      </c>
      <c r="E751" s="9" t="s">
        <v>177</v>
      </c>
      <c r="F751" s="9" t="s">
        <v>168</v>
      </c>
      <c r="G751" s="9"/>
    </row>
    <row r="752" spans="1:7" x14ac:dyDescent="0.2">
      <c r="A752" s="9" t="s">
        <v>1197</v>
      </c>
      <c r="B752" s="9" t="s">
        <v>2</v>
      </c>
      <c r="C752" s="92" t="s">
        <v>21</v>
      </c>
      <c r="D752" s="150">
        <v>34</v>
      </c>
      <c r="E752" s="9" t="s">
        <v>177</v>
      </c>
      <c r="F752" s="9" t="s">
        <v>168</v>
      </c>
      <c r="G752" s="9"/>
    </row>
    <row r="753" spans="1:7" x14ac:dyDescent="0.2">
      <c r="A753" s="9" t="s">
        <v>1197</v>
      </c>
      <c r="B753" s="9" t="s">
        <v>1</v>
      </c>
      <c r="C753" s="92" t="s">
        <v>27</v>
      </c>
      <c r="D753" s="15">
        <v>921943</v>
      </c>
      <c r="E753" s="9" t="s">
        <v>177</v>
      </c>
      <c r="F753" s="9" t="s">
        <v>168</v>
      </c>
      <c r="G753" s="9"/>
    </row>
    <row r="754" spans="1:7" x14ac:dyDescent="0.2">
      <c r="A754" s="9" t="s">
        <v>1197</v>
      </c>
      <c r="B754" s="9" t="s">
        <v>59</v>
      </c>
      <c r="C754" s="92" t="s">
        <v>27</v>
      </c>
      <c r="D754" s="150">
        <v>1056200</v>
      </c>
      <c r="E754" s="9" t="s">
        <v>177</v>
      </c>
      <c r="F754" s="9" t="s">
        <v>168</v>
      </c>
      <c r="G754" s="9"/>
    </row>
    <row r="755" spans="1:7" x14ac:dyDescent="0.2">
      <c r="A755" s="9" t="s">
        <v>1197</v>
      </c>
      <c r="B755" s="9" t="s">
        <v>60</v>
      </c>
      <c r="C755" s="92" t="s">
        <v>27</v>
      </c>
      <c r="D755" s="150">
        <v>1185900</v>
      </c>
      <c r="E755" s="9" t="s">
        <v>177</v>
      </c>
      <c r="F755" s="9" t="s">
        <v>168</v>
      </c>
      <c r="G755" s="9"/>
    </row>
    <row r="756" spans="1:7" x14ac:dyDescent="0.2">
      <c r="A756" s="9" t="s">
        <v>1197</v>
      </c>
      <c r="B756" s="9" t="s">
        <v>61</v>
      </c>
      <c r="C756" s="92" t="s">
        <v>27</v>
      </c>
      <c r="D756" s="19">
        <v>909500</v>
      </c>
      <c r="E756" s="9" t="s">
        <v>177</v>
      </c>
      <c r="F756" s="9" t="s">
        <v>168</v>
      </c>
      <c r="G756" s="9"/>
    </row>
    <row r="757" spans="1:7" x14ac:dyDescent="0.2">
      <c r="A757" s="9" t="s">
        <v>1197</v>
      </c>
      <c r="B757" s="9" t="s">
        <v>2</v>
      </c>
      <c r="C757" s="92" t="s">
        <v>27</v>
      </c>
      <c r="D757" s="150">
        <v>909500</v>
      </c>
      <c r="E757" s="9" t="s">
        <v>177</v>
      </c>
      <c r="F757" s="9" t="s">
        <v>168</v>
      </c>
      <c r="G757" s="9"/>
    </row>
    <row r="758" spans="1:7" x14ac:dyDescent="0.2">
      <c r="A758" s="9" t="s">
        <v>1197</v>
      </c>
      <c r="B758" s="9" t="s">
        <v>1</v>
      </c>
      <c r="C758" s="92" t="s">
        <v>28</v>
      </c>
      <c r="D758" s="15">
        <v>300</v>
      </c>
      <c r="E758" s="9" t="s">
        <v>177</v>
      </c>
      <c r="F758" s="9" t="s">
        <v>168</v>
      </c>
      <c r="G758" s="9"/>
    </row>
    <row r="759" spans="1:7" x14ac:dyDescent="0.2">
      <c r="A759" s="9" t="s">
        <v>1197</v>
      </c>
      <c r="B759" s="9" t="s">
        <v>59</v>
      </c>
      <c r="C759" s="92" t="s">
        <v>28</v>
      </c>
      <c r="D759" s="150">
        <v>310</v>
      </c>
      <c r="E759" s="9" t="s">
        <v>177</v>
      </c>
      <c r="F759" s="9" t="s">
        <v>168</v>
      </c>
      <c r="G759" s="9"/>
    </row>
    <row r="760" spans="1:7" x14ac:dyDescent="0.2">
      <c r="A760" s="9" t="s">
        <v>1197</v>
      </c>
      <c r="B760" s="9" t="s">
        <v>60</v>
      </c>
      <c r="C760" s="92" t="s">
        <v>28</v>
      </c>
      <c r="D760" s="148">
        <v>320</v>
      </c>
      <c r="E760" s="9" t="s">
        <v>177</v>
      </c>
      <c r="F760" s="9" t="s">
        <v>168</v>
      </c>
      <c r="G760" s="9"/>
    </row>
    <row r="761" spans="1:7" x14ac:dyDescent="0.2">
      <c r="A761" s="9" t="s">
        <v>1197</v>
      </c>
      <c r="B761" s="9" t="s">
        <v>61</v>
      </c>
      <c r="C761" s="92" t="s">
        <v>28</v>
      </c>
      <c r="D761" s="150">
        <v>310</v>
      </c>
      <c r="E761" s="9" t="s">
        <v>177</v>
      </c>
      <c r="F761" s="9" t="s">
        <v>168</v>
      </c>
      <c r="G761" s="9"/>
    </row>
    <row r="762" spans="1:7" x14ac:dyDescent="0.2">
      <c r="A762" s="9" t="s">
        <v>1197</v>
      </c>
      <c r="B762" s="9" t="s">
        <v>2</v>
      </c>
      <c r="C762" s="92" t="s">
        <v>28</v>
      </c>
      <c r="D762" s="150">
        <v>310</v>
      </c>
      <c r="E762" s="9" t="s">
        <v>177</v>
      </c>
      <c r="F762" s="9" t="s">
        <v>168</v>
      </c>
      <c r="G762" s="9"/>
    </row>
    <row r="763" spans="1:7" x14ac:dyDescent="0.2">
      <c r="A763" s="9" t="s">
        <v>1197</v>
      </c>
      <c r="B763" s="9" t="s">
        <v>59</v>
      </c>
      <c r="C763" s="92" t="s">
        <v>29</v>
      </c>
      <c r="D763" s="150">
        <v>132</v>
      </c>
      <c r="E763" s="9" t="s">
        <v>177</v>
      </c>
      <c r="F763" s="9" t="s">
        <v>168</v>
      </c>
      <c r="G763" s="9"/>
    </row>
    <row r="764" spans="1:7" x14ac:dyDescent="0.2">
      <c r="A764" s="9" t="s">
        <v>1197</v>
      </c>
      <c r="B764" s="9" t="s">
        <v>60</v>
      </c>
      <c r="C764" s="92" t="s">
        <v>29</v>
      </c>
      <c r="D764" s="20">
        <v>2694</v>
      </c>
      <c r="E764" s="9" t="s">
        <v>177</v>
      </c>
      <c r="F764" s="9" t="s">
        <v>168</v>
      </c>
      <c r="G764" s="9"/>
    </row>
    <row r="765" spans="1:7" x14ac:dyDescent="0.2">
      <c r="A765" s="9" t="s">
        <v>1197</v>
      </c>
      <c r="B765" s="9" t="s">
        <v>61</v>
      </c>
      <c r="C765" s="92" t="s">
        <v>29</v>
      </c>
      <c r="D765" s="20">
        <v>6768</v>
      </c>
      <c r="E765" s="9" t="s">
        <v>177</v>
      </c>
      <c r="F765" s="9" t="s">
        <v>168</v>
      </c>
      <c r="G765" s="9"/>
    </row>
    <row r="766" spans="1:7" x14ac:dyDescent="0.2">
      <c r="A766" s="9" t="s">
        <v>1197</v>
      </c>
      <c r="B766" s="9" t="s">
        <v>2</v>
      </c>
      <c r="C766" s="92" t="s">
        <v>29</v>
      </c>
      <c r="D766" s="150">
        <v>187</v>
      </c>
      <c r="E766" s="9" t="s">
        <v>177</v>
      </c>
      <c r="F766" s="9" t="s">
        <v>168</v>
      </c>
      <c r="G766" s="9"/>
    </row>
    <row r="767" spans="1:7" x14ac:dyDescent="0.2">
      <c r="A767" s="9" t="s">
        <v>1197</v>
      </c>
      <c r="B767" s="9" t="s">
        <v>1</v>
      </c>
      <c r="C767" s="92" t="s">
        <v>30</v>
      </c>
      <c r="D767" s="157">
        <v>200</v>
      </c>
      <c r="E767" s="9" t="s">
        <v>177</v>
      </c>
      <c r="F767" s="9" t="s">
        <v>168</v>
      </c>
      <c r="G767" s="9"/>
    </row>
    <row r="768" spans="1:7" x14ac:dyDescent="0.2">
      <c r="A768" s="9" t="s">
        <v>1197</v>
      </c>
      <c r="B768" s="9" t="s">
        <v>59</v>
      </c>
      <c r="C768" s="92" t="s">
        <v>30</v>
      </c>
      <c r="D768" s="150">
        <v>200</v>
      </c>
      <c r="E768" s="9" t="s">
        <v>177</v>
      </c>
      <c r="F768" s="9" t="s">
        <v>168</v>
      </c>
      <c r="G768" s="9"/>
    </row>
    <row r="769" spans="1:7" x14ac:dyDescent="0.2">
      <c r="A769" s="9" t="s">
        <v>1197</v>
      </c>
      <c r="B769" s="9" t="s">
        <v>60</v>
      </c>
      <c r="C769" s="92" t="s">
        <v>30</v>
      </c>
      <c r="D769" s="20">
        <v>200</v>
      </c>
      <c r="E769" s="9" t="s">
        <v>177</v>
      </c>
      <c r="F769" s="9" t="s">
        <v>168</v>
      </c>
      <c r="G769" s="9"/>
    </row>
    <row r="770" spans="1:7" x14ac:dyDescent="0.2">
      <c r="A770" s="9" t="s">
        <v>1197</v>
      </c>
      <c r="B770" s="9" t="s">
        <v>61</v>
      </c>
      <c r="C770" s="92" t="s">
        <v>30</v>
      </c>
      <c r="D770" s="20">
        <v>200</v>
      </c>
      <c r="E770" s="9" t="s">
        <v>177</v>
      </c>
      <c r="F770" s="9" t="s">
        <v>168</v>
      </c>
      <c r="G770" s="9"/>
    </row>
    <row r="771" spans="1:7" x14ac:dyDescent="0.2">
      <c r="A771" s="9" t="s">
        <v>1197</v>
      </c>
      <c r="B771" s="9" t="s">
        <v>2</v>
      </c>
      <c r="C771" s="92" t="s">
        <v>30</v>
      </c>
      <c r="D771" s="150">
        <v>200</v>
      </c>
      <c r="E771" s="9" t="s">
        <v>177</v>
      </c>
      <c r="F771" s="9" t="s">
        <v>168</v>
      </c>
      <c r="G771" s="9"/>
    </row>
    <row r="772" spans="1:7" x14ac:dyDescent="0.2">
      <c r="A772" s="9" t="s">
        <v>1197</v>
      </c>
      <c r="B772" s="9" t="s">
        <v>1</v>
      </c>
      <c r="C772" s="92" t="s">
        <v>31</v>
      </c>
      <c r="D772" s="150">
        <v>11152</v>
      </c>
      <c r="E772" s="9" t="s">
        <v>177</v>
      </c>
      <c r="F772" s="9" t="s">
        <v>168</v>
      </c>
      <c r="G772" s="9"/>
    </row>
    <row r="773" spans="1:7" x14ac:dyDescent="0.2">
      <c r="A773" s="9" t="s">
        <v>1197</v>
      </c>
      <c r="B773" s="9" t="s">
        <v>59</v>
      </c>
      <c r="C773" s="92" t="s">
        <v>31</v>
      </c>
      <c r="D773" s="150">
        <v>4970</v>
      </c>
      <c r="E773" s="9" t="s">
        <v>177</v>
      </c>
      <c r="F773" s="9" t="s">
        <v>168</v>
      </c>
      <c r="G773" s="9"/>
    </row>
    <row r="774" spans="1:7" x14ac:dyDescent="0.2">
      <c r="A774" s="9" t="s">
        <v>1197</v>
      </c>
      <c r="B774" s="9" t="s">
        <v>60</v>
      </c>
      <c r="C774" s="92" t="s">
        <v>31</v>
      </c>
      <c r="D774" s="150">
        <v>13399</v>
      </c>
      <c r="E774" s="9" t="s">
        <v>177</v>
      </c>
      <c r="F774" s="9" t="s">
        <v>168</v>
      </c>
      <c r="G774" s="9"/>
    </row>
    <row r="775" spans="1:7" x14ac:dyDescent="0.2">
      <c r="A775" s="9" t="s">
        <v>1197</v>
      </c>
      <c r="B775" s="9" t="s">
        <v>61</v>
      </c>
      <c r="C775" s="92" t="s">
        <v>31</v>
      </c>
      <c r="D775" s="19">
        <v>36050</v>
      </c>
      <c r="E775" s="9" t="s">
        <v>177</v>
      </c>
      <c r="F775" s="9" t="s">
        <v>168</v>
      </c>
      <c r="G775" s="9"/>
    </row>
    <row r="776" spans="1:7" x14ac:dyDescent="0.2">
      <c r="A776" s="9" t="s">
        <v>1197</v>
      </c>
      <c r="B776" s="9" t="s">
        <v>2</v>
      </c>
      <c r="C776" s="92" t="s">
        <v>31</v>
      </c>
      <c r="D776" s="150">
        <v>3739</v>
      </c>
      <c r="E776" s="9" t="s">
        <v>177</v>
      </c>
      <c r="F776" s="9" t="s">
        <v>168</v>
      </c>
      <c r="G776" s="9"/>
    </row>
    <row r="777" spans="1:7" x14ac:dyDescent="0.2">
      <c r="A777" s="9" t="s">
        <v>1197</v>
      </c>
      <c r="B777" s="9" t="s">
        <v>59</v>
      </c>
      <c r="C777" s="92" t="s">
        <v>33</v>
      </c>
      <c r="D777" s="150">
        <v>683</v>
      </c>
      <c r="E777" s="9" t="s">
        <v>177</v>
      </c>
      <c r="F777" s="9" t="s">
        <v>168</v>
      </c>
      <c r="G777" s="9"/>
    </row>
    <row r="778" spans="1:7" x14ac:dyDescent="0.2">
      <c r="A778" s="9" t="s">
        <v>1197</v>
      </c>
      <c r="B778" s="9" t="s">
        <v>60</v>
      </c>
      <c r="C778" s="92" t="s">
        <v>33</v>
      </c>
      <c r="D778" s="148">
        <v>876</v>
      </c>
      <c r="E778" s="9" t="s">
        <v>177</v>
      </c>
      <c r="F778" s="9" t="s">
        <v>168</v>
      </c>
      <c r="G778" s="9"/>
    </row>
    <row r="779" spans="1:7" x14ac:dyDescent="0.2">
      <c r="A779" s="9" t="s">
        <v>1197</v>
      </c>
      <c r="B779" s="9" t="s">
        <v>61</v>
      </c>
      <c r="C779" s="92" t="s">
        <v>33</v>
      </c>
      <c r="D779" s="19">
        <v>969</v>
      </c>
      <c r="E779" s="9" t="s">
        <v>177</v>
      </c>
      <c r="F779" s="9" t="s">
        <v>168</v>
      </c>
      <c r="G779" s="9"/>
    </row>
    <row r="780" spans="1:7" x14ac:dyDescent="0.2">
      <c r="A780" s="9" t="s">
        <v>1197</v>
      </c>
      <c r="B780" s="9" t="s">
        <v>2</v>
      </c>
      <c r="C780" s="92" t="s">
        <v>33</v>
      </c>
      <c r="D780" s="150">
        <v>500</v>
      </c>
      <c r="E780" s="9" t="s">
        <v>177</v>
      </c>
      <c r="F780" s="9" t="s">
        <v>168</v>
      </c>
      <c r="G780" s="9"/>
    </row>
    <row r="781" spans="1:7" x14ac:dyDescent="0.2">
      <c r="A781" s="9" t="s">
        <v>1197</v>
      </c>
      <c r="B781" s="9" t="s">
        <v>59</v>
      </c>
      <c r="C781" s="92" t="s">
        <v>34</v>
      </c>
      <c r="D781" s="150">
        <v>5368</v>
      </c>
      <c r="E781" s="9" t="s">
        <v>177</v>
      </c>
      <c r="F781" s="9" t="s">
        <v>168</v>
      </c>
      <c r="G781" s="9"/>
    </row>
    <row r="782" spans="1:7" x14ac:dyDescent="0.2">
      <c r="A782" s="9" t="s">
        <v>1197</v>
      </c>
      <c r="B782" s="9" t="s">
        <v>60</v>
      </c>
      <c r="C782" s="92" t="s">
        <v>34</v>
      </c>
      <c r="D782" s="150">
        <v>11689</v>
      </c>
      <c r="E782" s="9" t="s">
        <v>177</v>
      </c>
      <c r="F782" s="9" t="s">
        <v>168</v>
      </c>
      <c r="G782" s="9"/>
    </row>
    <row r="783" spans="1:7" x14ac:dyDescent="0.2">
      <c r="A783" s="9" t="s">
        <v>1197</v>
      </c>
      <c r="B783" s="9" t="s">
        <v>61</v>
      </c>
      <c r="C783" s="92" t="s">
        <v>34</v>
      </c>
      <c r="D783" s="19">
        <v>34589</v>
      </c>
      <c r="E783" s="9" t="s">
        <v>177</v>
      </c>
      <c r="F783" s="9" t="s">
        <v>168</v>
      </c>
      <c r="G783" s="9"/>
    </row>
    <row r="784" spans="1:7" x14ac:dyDescent="0.2">
      <c r="A784" s="9" t="s">
        <v>1197</v>
      </c>
      <c r="B784" s="9" t="s">
        <v>2</v>
      </c>
      <c r="C784" s="92" t="s">
        <v>34</v>
      </c>
      <c r="D784" s="150">
        <v>794</v>
      </c>
      <c r="E784" s="9" t="s">
        <v>177</v>
      </c>
      <c r="F784" s="9" t="s">
        <v>168</v>
      </c>
      <c r="G784" s="9"/>
    </row>
    <row r="785" spans="1:7" x14ac:dyDescent="0.2">
      <c r="A785" s="9" t="s">
        <v>1197</v>
      </c>
      <c r="B785" s="9" t="s">
        <v>59</v>
      </c>
      <c r="C785" s="92" t="s">
        <v>37</v>
      </c>
      <c r="D785" s="150">
        <v>74</v>
      </c>
      <c r="E785" s="9" t="s">
        <v>177</v>
      </c>
      <c r="F785" s="9" t="s">
        <v>168</v>
      </c>
      <c r="G785" s="9"/>
    </row>
    <row r="786" spans="1:7" x14ac:dyDescent="0.2">
      <c r="A786" s="9" t="s">
        <v>1197</v>
      </c>
      <c r="B786" s="9" t="s">
        <v>60</v>
      </c>
      <c r="C786" s="92" t="s">
        <v>37</v>
      </c>
      <c r="D786" s="150">
        <v>1</v>
      </c>
      <c r="E786" s="9" t="s">
        <v>177</v>
      </c>
      <c r="F786" s="9" t="s">
        <v>168</v>
      </c>
      <c r="G786" s="9"/>
    </row>
    <row r="787" spans="1:7" ht="14" customHeight="1" x14ac:dyDescent="0.2">
      <c r="A787" s="9" t="s">
        <v>1197</v>
      </c>
      <c r="B787" s="9" t="s">
        <v>61</v>
      </c>
      <c r="C787" s="92" t="s">
        <v>37</v>
      </c>
      <c r="D787" s="150">
        <v>1</v>
      </c>
      <c r="E787" s="9" t="s">
        <v>177</v>
      </c>
      <c r="F787" s="9" t="s">
        <v>168</v>
      </c>
      <c r="G787" s="9"/>
    </row>
    <row r="788" spans="1:7" x14ac:dyDescent="0.2">
      <c r="A788" s="9" t="s">
        <v>1197</v>
      </c>
      <c r="B788" s="9" t="s">
        <v>2</v>
      </c>
      <c r="C788" s="92" t="s">
        <v>37</v>
      </c>
      <c r="D788" s="150">
        <v>1</v>
      </c>
      <c r="E788" s="9" t="s">
        <v>177</v>
      </c>
      <c r="F788" s="9" t="s">
        <v>168</v>
      </c>
      <c r="G788" s="9"/>
    </row>
    <row r="789" spans="1:7" x14ac:dyDescent="0.2">
      <c r="A789" s="9" t="s">
        <v>1197</v>
      </c>
      <c r="B789" s="9" t="s">
        <v>1</v>
      </c>
      <c r="C789" s="92" t="s">
        <v>48</v>
      </c>
      <c r="D789" s="15">
        <v>100</v>
      </c>
      <c r="E789" s="9" t="s">
        <v>177</v>
      </c>
      <c r="F789" s="9" t="s">
        <v>168</v>
      </c>
      <c r="G789" s="9"/>
    </row>
    <row r="790" spans="1:7" x14ac:dyDescent="0.2">
      <c r="A790" s="9" t="s">
        <v>1197</v>
      </c>
      <c r="B790" s="9" t="s">
        <v>59</v>
      </c>
      <c r="C790" s="92" t="s">
        <v>48</v>
      </c>
      <c r="D790" s="150">
        <v>100</v>
      </c>
      <c r="E790" s="9" t="s">
        <v>177</v>
      </c>
      <c r="F790" s="9" t="s">
        <v>168</v>
      </c>
      <c r="G790" s="9"/>
    </row>
    <row r="791" spans="1:7" x14ac:dyDescent="0.2">
      <c r="A791" s="9" t="s">
        <v>1197</v>
      </c>
      <c r="B791" s="9" t="s">
        <v>60</v>
      </c>
      <c r="C791" s="92" t="s">
        <v>48</v>
      </c>
      <c r="D791" s="148">
        <v>100</v>
      </c>
      <c r="E791" s="9" t="s">
        <v>177</v>
      </c>
      <c r="F791" s="9" t="s">
        <v>168</v>
      </c>
      <c r="G791" s="9"/>
    </row>
    <row r="792" spans="1:7" x14ac:dyDescent="0.2">
      <c r="A792" s="9" t="s">
        <v>1197</v>
      </c>
      <c r="B792" s="9" t="s">
        <v>61</v>
      </c>
      <c r="C792" s="92" t="s">
        <v>48</v>
      </c>
      <c r="D792" s="150">
        <v>100</v>
      </c>
      <c r="E792" s="9" t="s">
        <v>177</v>
      </c>
      <c r="F792" s="9" t="s">
        <v>168</v>
      </c>
      <c r="G792" s="9"/>
    </row>
    <row r="793" spans="1:7" x14ac:dyDescent="0.2">
      <c r="A793" s="9" t="s">
        <v>1197</v>
      </c>
      <c r="B793" s="9" t="s">
        <v>2</v>
      </c>
      <c r="C793" s="92" t="s">
        <v>48</v>
      </c>
      <c r="D793" s="150">
        <v>100</v>
      </c>
      <c r="E793" s="9" t="s">
        <v>177</v>
      </c>
      <c r="F793" s="9" t="s">
        <v>168</v>
      </c>
      <c r="G793" s="9"/>
    </row>
    <row r="794" spans="1:7" x14ac:dyDescent="0.2">
      <c r="A794" s="9" t="s">
        <v>1197</v>
      </c>
      <c r="B794" s="9" t="s">
        <v>1</v>
      </c>
      <c r="C794" s="92" t="s">
        <v>50</v>
      </c>
      <c r="D794" s="150">
        <v>2</v>
      </c>
      <c r="E794" s="9" t="s">
        <v>177</v>
      </c>
      <c r="F794" s="9" t="s">
        <v>168</v>
      </c>
      <c r="G794" s="9"/>
    </row>
    <row r="795" spans="1:7" x14ac:dyDescent="0.2">
      <c r="A795" s="9" t="s">
        <v>1197</v>
      </c>
      <c r="B795" s="9" t="s">
        <v>59</v>
      </c>
      <c r="C795" s="92" t="s">
        <v>50</v>
      </c>
      <c r="D795" s="150">
        <v>2</v>
      </c>
      <c r="E795" s="9" t="s">
        <v>177</v>
      </c>
      <c r="F795" s="9" t="s">
        <v>168</v>
      </c>
      <c r="G795" s="9"/>
    </row>
    <row r="796" spans="1:7" x14ac:dyDescent="0.2">
      <c r="A796" s="9" t="s">
        <v>1197</v>
      </c>
      <c r="B796" s="9" t="s">
        <v>60</v>
      </c>
      <c r="C796" s="92" t="s">
        <v>50</v>
      </c>
      <c r="D796" s="150">
        <v>2</v>
      </c>
      <c r="E796" s="9" t="s">
        <v>177</v>
      </c>
      <c r="F796" s="9" t="s">
        <v>168</v>
      </c>
      <c r="G796" s="9"/>
    </row>
    <row r="797" spans="1:7" x14ac:dyDescent="0.2">
      <c r="A797" s="9" t="s">
        <v>1197</v>
      </c>
      <c r="B797" s="9" t="s">
        <v>2</v>
      </c>
      <c r="C797" s="92" t="s">
        <v>50</v>
      </c>
      <c r="D797" s="150">
        <v>20</v>
      </c>
      <c r="E797" s="9" t="s">
        <v>177</v>
      </c>
      <c r="F797" s="9" t="s">
        <v>168</v>
      </c>
      <c r="G797" s="9"/>
    </row>
    <row r="798" spans="1:7" x14ac:dyDescent="0.2">
      <c r="A798" s="9" t="s">
        <v>1198</v>
      </c>
      <c r="B798" s="9" t="s">
        <v>1199</v>
      </c>
      <c r="C798" s="92" t="s">
        <v>34</v>
      </c>
      <c r="D798" s="150">
        <v>5117</v>
      </c>
      <c r="E798" s="9" t="s">
        <v>1040</v>
      </c>
      <c r="F798" s="9" t="s">
        <v>1200</v>
      </c>
      <c r="G798" s="9"/>
    </row>
    <row r="799" spans="1:7" x14ac:dyDescent="0.2">
      <c r="A799" s="9" t="s">
        <v>1198</v>
      </c>
      <c r="B799" s="9" t="s">
        <v>1199</v>
      </c>
      <c r="C799" s="92" t="s">
        <v>27</v>
      </c>
      <c r="D799" s="19">
        <v>33333</v>
      </c>
      <c r="E799" s="9" t="s">
        <v>1040</v>
      </c>
      <c r="F799" s="9" t="s">
        <v>1200</v>
      </c>
      <c r="G799" s="9" t="s">
        <v>1201</v>
      </c>
    </row>
    <row r="800" spans="1:7" x14ac:dyDescent="0.2">
      <c r="A800" s="9" t="s">
        <v>1198</v>
      </c>
      <c r="B800" s="9" t="s">
        <v>1199</v>
      </c>
      <c r="C800" s="92" t="s">
        <v>20</v>
      </c>
      <c r="D800" s="150">
        <v>333</v>
      </c>
      <c r="E800" s="9" t="s">
        <v>1040</v>
      </c>
      <c r="F800" s="9" t="s">
        <v>1200</v>
      </c>
      <c r="G800" s="9"/>
    </row>
    <row r="801" spans="1:7" x14ac:dyDescent="0.2">
      <c r="A801" s="9" t="s">
        <v>1198</v>
      </c>
      <c r="B801" s="9" t="s">
        <v>1199</v>
      </c>
      <c r="C801" s="92" t="s">
        <v>14</v>
      </c>
      <c r="D801" s="152">
        <v>75</v>
      </c>
      <c r="E801" s="9" t="s">
        <v>1040</v>
      </c>
      <c r="F801" s="9" t="s">
        <v>1200</v>
      </c>
      <c r="G801" s="9"/>
    </row>
    <row r="802" spans="1:7" x14ac:dyDescent="0.2">
      <c r="A802" s="9" t="s">
        <v>1198</v>
      </c>
      <c r="B802" s="9" t="s">
        <v>1199</v>
      </c>
      <c r="C802" s="92" t="s">
        <v>49</v>
      </c>
      <c r="D802" s="180">
        <v>135</v>
      </c>
      <c r="E802" s="9" t="s">
        <v>1040</v>
      </c>
      <c r="F802" s="9" t="s">
        <v>1200</v>
      </c>
      <c r="G802" s="9"/>
    </row>
    <row r="803" spans="1:7" x14ac:dyDescent="0.2">
      <c r="A803" s="9" t="s">
        <v>1198</v>
      </c>
      <c r="B803" s="9" t="s">
        <v>1199</v>
      </c>
      <c r="C803" s="92" t="s">
        <v>49</v>
      </c>
      <c r="D803" s="180">
        <v>100</v>
      </c>
      <c r="E803" s="9" t="s">
        <v>1040</v>
      </c>
      <c r="F803" s="9" t="s">
        <v>1127</v>
      </c>
      <c r="G803" s="9"/>
    </row>
    <row r="804" spans="1:7" x14ac:dyDescent="0.2">
      <c r="A804" s="9" t="s">
        <v>1198</v>
      </c>
      <c r="B804" s="9" t="s">
        <v>1199</v>
      </c>
      <c r="C804" s="92" t="s">
        <v>14</v>
      </c>
      <c r="D804" s="152">
        <v>500</v>
      </c>
      <c r="E804" s="9" t="s">
        <v>1040</v>
      </c>
      <c r="F804" s="9" t="s">
        <v>1127</v>
      </c>
      <c r="G804" s="9"/>
    </row>
    <row r="805" spans="1:7" x14ac:dyDescent="0.2">
      <c r="A805" s="9" t="s">
        <v>1198</v>
      </c>
      <c r="B805" s="9" t="s">
        <v>1199</v>
      </c>
      <c r="C805" s="92" t="s">
        <v>27</v>
      </c>
      <c r="D805" s="19">
        <v>10000</v>
      </c>
      <c r="E805" s="9" t="s">
        <v>1040</v>
      </c>
      <c r="F805" s="9" t="s">
        <v>1127</v>
      </c>
      <c r="G805" s="9"/>
    </row>
    <row r="806" spans="1:7" x14ac:dyDescent="0.2">
      <c r="A806" s="9" t="s">
        <v>1198</v>
      </c>
      <c r="B806" s="9" t="s">
        <v>1202</v>
      </c>
      <c r="C806" s="92" t="s">
        <v>14</v>
      </c>
      <c r="D806" s="150">
        <v>127</v>
      </c>
      <c r="E806" s="9" t="s">
        <v>1040</v>
      </c>
      <c r="F806" s="9" t="s">
        <v>1203</v>
      </c>
      <c r="G806" s="9" t="s">
        <v>1204</v>
      </c>
    </row>
    <row r="807" spans="1:7" x14ac:dyDescent="0.2">
      <c r="A807" s="9" t="s">
        <v>1198</v>
      </c>
      <c r="B807" s="9" t="s">
        <v>1202</v>
      </c>
      <c r="C807" s="92" t="s">
        <v>20</v>
      </c>
      <c r="D807" s="150">
        <v>104.5</v>
      </c>
      <c r="E807" s="9" t="s">
        <v>1040</v>
      </c>
      <c r="F807" s="9" t="s">
        <v>1203</v>
      </c>
      <c r="G807" s="9" t="s">
        <v>1205</v>
      </c>
    </row>
    <row r="808" spans="1:7" x14ac:dyDescent="0.2">
      <c r="A808" s="9" t="s">
        <v>1198</v>
      </c>
      <c r="B808" s="9" t="s">
        <v>1202</v>
      </c>
      <c r="C808" s="92" t="s">
        <v>50</v>
      </c>
      <c r="D808" s="19">
        <v>7.4999999999999997E-2</v>
      </c>
      <c r="E808" s="9" t="s">
        <v>1040</v>
      </c>
      <c r="F808" s="9" t="s">
        <v>1203</v>
      </c>
      <c r="G808" s="9"/>
    </row>
    <row r="809" spans="1:7" x14ac:dyDescent="0.2">
      <c r="A809" s="9" t="s">
        <v>1198</v>
      </c>
      <c r="B809" s="9" t="s">
        <v>1202</v>
      </c>
      <c r="C809" s="92" t="s">
        <v>52</v>
      </c>
      <c r="D809" s="150">
        <v>528</v>
      </c>
      <c r="E809" s="9" t="s">
        <v>1040</v>
      </c>
      <c r="F809" s="9" t="s">
        <v>1203</v>
      </c>
      <c r="G809" s="9"/>
    </row>
    <row r="810" spans="1:7" x14ac:dyDescent="0.2">
      <c r="A810" s="9" t="s">
        <v>1198</v>
      </c>
      <c r="B810" s="9" t="s">
        <v>1202</v>
      </c>
      <c r="C810" s="92" t="s">
        <v>53</v>
      </c>
      <c r="D810" s="151">
        <v>0.75</v>
      </c>
      <c r="E810" s="9" t="s">
        <v>1040</v>
      </c>
      <c r="F810" s="9" t="s">
        <v>1203</v>
      </c>
      <c r="G810" s="9"/>
    </row>
    <row r="811" spans="1:7" x14ac:dyDescent="0.2">
      <c r="A811" s="9" t="s">
        <v>1198</v>
      </c>
      <c r="B811" s="9" t="s">
        <v>1202</v>
      </c>
      <c r="C811" s="92" t="s">
        <v>50</v>
      </c>
      <c r="D811" s="19">
        <v>0.3</v>
      </c>
      <c r="E811" s="9" t="s">
        <v>1040</v>
      </c>
      <c r="F811" s="9" t="s">
        <v>1127</v>
      </c>
      <c r="G811" s="9"/>
    </row>
    <row r="812" spans="1:7" x14ac:dyDescent="0.2">
      <c r="A812" s="9" t="s">
        <v>1198</v>
      </c>
      <c r="B812" s="9" t="s">
        <v>1202</v>
      </c>
      <c r="C812" s="92" t="s">
        <v>53</v>
      </c>
      <c r="D812" s="151">
        <v>0.75</v>
      </c>
      <c r="E812" s="9" t="s">
        <v>1040</v>
      </c>
      <c r="F812" s="9" t="s">
        <v>1127</v>
      </c>
      <c r="G812" s="9"/>
    </row>
    <row r="813" spans="1:7" ht="49" customHeight="1" x14ac:dyDescent="0.2">
      <c r="A813" s="9" t="s">
        <v>1198</v>
      </c>
      <c r="B813" s="9" t="s">
        <v>1202</v>
      </c>
      <c r="C813" s="92" t="s">
        <v>27</v>
      </c>
      <c r="D813" s="150">
        <v>6006</v>
      </c>
      <c r="E813" s="9" t="s">
        <v>1040</v>
      </c>
      <c r="F813" s="9" t="s">
        <v>1203</v>
      </c>
      <c r="G813" s="6" t="s">
        <v>1206</v>
      </c>
    </row>
    <row r="814" spans="1:7" ht="51" customHeight="1" x14ac:dyDescent="0.2">
      <c r="A814" s="9" t="s">
        <v>1198</v>
      </c>
      <c r="B814" s="9" t="s">
        <v>1202</v>
      </c>
      <c r="C814" s="92" t="s">
        <v>17</v>
      </c>
      <c r="D814" s="150">
        <v>418.4</v>
      </c>
      <c r="E814" s="9" t="s">
        <v>1040</v>
      </c>
      <c r="F814" s="9" t="s">
        <v>1203</v>
      </c>
      <c r="G814" s="6" t="s">
        <v>1206</v>
      </c>
    </row>
    <row r="815" spans="1:7" ht="51" customHeight="1" x14ac:dyDescent="0.2">
      <c r="A815" s="9" t="s">
        <v>1198</v>
      </c>
      <c r="B815" s="9" t="s">
        <v>1202</v>
      </c>
      <c r="C815" s="92" t="s">
        <v>34</v>
      </c>
      <c r="D815" s="150">
        <v>200</v>
      </c>
      <c r="E815" s="9" t="s">
        <v>1040</v>
      </c>
      <c r="F815" s="9" t="s">
        <v>1203</v>
      </c>
      <c r="G815" s="6" t="s">
        <v>1206</v>
      </c>
    </row>
    <row r="816" spans="1:7" ht="46" customHeight="1" x14ac:dyDescent="0.2">
      <c r="A816" s="233" t="s">
        <v>1198</v>
      </c>
      <c r="B816" s="234" t="s">
        <v>1202</v>
      </c>
      <c r="C816" s="235" t="s">
        <v>31</v>
      </c>
      <c r="D816" s="236">
        <v>78.400000000000006</v>
      </c>
      <c r="E816" s="234" t="s">
        <v>1040</v>
      </c>
      <c r="F816" s="234" t="s">
        <v>1203</v>
      </c>
      <c r="G816" s="6" t="s">
        <v>1206</v>
      </c>
    </row>
    <row r="817" spans="1:7" ht="45" customHeight="1" x14ac:dyDescent="0.2">
      <c r="A817" s="233" t="s">
        <v>1198</v>
      </c>
      <c r="B817" s="234" t="s">
        <v>1202</v>
      </c>
      <c r="C817" s="235" t="s">
        <v>32</v>
      </c>
      <c r="D817" s="236">
        <v>39.6</v>
      </c>
      <c r="E817" s="234" t="s">
        <v>1040</v>
      </c>
      <c r="F817" s="234" t="s">
        <v>1203</v>
      </c>
      <c r="G817" s="6" t="s">
        <v>1206</v>
      </c>
    </row>
    <row r="818" spans="1:7" ht="49" customHeight="1" x14ac:dyDescent="0.2">
      <c r="A818" s="233" t="s">
        <v>1198</v>
      </c>
      <c r="B818" s="234" t="s">
        <v>1202</v>
      </c>
      <c r="C818" s="235" t="s">
        <v>1191</v>
      </c>
      <c r="D818" s="236">
        <v>12</v>
      </c>
      <c r="E818" s="234" t="s">
        <v>1040</v>
      </c>
      <c r="F818" s="234" t="s">
        <v>1203</v>
      </c>
      <c r="G818" s="6" t="s">
        <v>1206</v>
      </c>
    </row>
    <row r="819" spans="1:7" ht="22" customHeight="1" x14ac:dyDescent="0.2">
      <c r="A819" s="233" t="s">
        <v>1198</v>
      </c>
      <c r="B819" s="234" t="s">
        <v>1207</v>
      </c>
      <c r="C819" s="235" t="s">
        <v>18</v>
      </c>
      <c r="D819" s="236">
        <v>0.3</v>
      </c>
      <c r="E819" s="234" t="s">
        <v>1040</v>
      </c>
      <c r="F819" s="234" t="s">
        <v>1208</v>
      </c>
      <c r="G819" s="6" t="s">
        <v>1209</v>
      </c>
    </row>
    <row r="820" spans="1:7" ht="16" customHeight="1" x14ac:dyDescent="0.2">
      <c r="A820" s="233" t="s">
        <v>1198</v>
      </c>
      <c r="B820" s="234" t="s">
        <v>1207</v>
      </c>
      <c r="C820" s="235" t="s">
        <v>27</v>
      </c>
      <c r="D820" s="236">
        <v>1097.24</v>
      </c>
      <c r="E820" s="234" t="s">
        <v>1040</v>
      </c>
      <c r="F820" s="234" t="s">
        <v>1208</v>
      </c>
      <c r="G820" s="6" t="s">
        <v>1209</v>
      </c>
    </row>
    <row r="821" spans="1:7" ht="16" customHeight="1" x14ac:dyDescent="0.2">
      <c r="A821" s="233" t="s">
        <v>1198</v>
      </c>
      <c r="B821" s="234" t="s">
        <v>1207</v>
      </c>
      <c r="C821" s="235" t="s">
        <v>47</v>
      </c>
      <c r="D821" s="236">
        <v>1.5</v>
      </c>
      <c r="E821" s="234" t="s">
        <v>1040</v>
      </c>
      <c r="F821" s="234" t="s">
        <v>1208</v>
      </c>
      <c r="G821" s="6" t="s">
        <v>1209</v>
      </c>
    </row>
    <row r="822" spans="1:7" ht="16" customHeight="1" x14ac:dyDescent="0.2">
      <c r="A822" s="233" t="s">
        <v>1198</v>
      </c>
      <c r="B822" s="234" t="s">
        <v>1207</v>
      </c>
      <c r="C822" s="235" t="s">
        <v>49</v>
      </c>
      <c r="D822" s="236">
        <v>21.76</v>
      </c>
      <c r="E822" s="234" t="s">
        <v>1040</v>
      </c>
      <c r="F822" s="234" t="s">
        <v>1208</v>
      </c>
      <c r="G822" s="6" t="s">
        <v>1209</v>
      </c>
    </row>
    <row r="823" spans="1:7" ht="16" customHeight="1" x14ac:dyDescent="0.2">
      <c r="A823" s="233" t="s">
        <v>1198</v>
      </c>
      <c r="B823" s="234" t="s">
        <v>1207</v>
      </c>
      <c r="C823" s="235" t="s">
        <v>34</v>
      </c>
      <c r="D823" s="236">
        <v>191.61</v>
      </c>
      <c r="E823" s="234" t="s">
        <v>1040</v>
      </c>
      <c r="F823" s="234" t="s">
        <v>1208</v>
      </c>
      <c r="G823" s="237" t="s">
        <v>1209</v>
      </c>
    </row>
    <row r="824" spans="1:7" ht="16" customHeight="1" x14ac:dyDescent="0.2">
      <c r="A824" s="233" t="s">
        <v>1198</v>
      </c>
      <c r="B824" s="234" t="s">
        <v>1207</v>
      </c>
      <c r="C824" s="235" t="s">
        <v>17</v>
      </c>
      <c r="D824" s="236">
        <v>303.58</v>
      </c>
      <c r="E824" s="234" t="s">
        <v>1040</v>
      </c>
      <c r="F824" s="234" t="s">
        <v>1208</v>
      </c>
      <c r="G824" s="237" t="s">
        <v>1209</v>
      </c>
    </row>
    <row r="825" spans="1:7" ht="16" customHeight="1" x14ac:dyDescent="0.2">
      <c r="A825" s="233" t="s">
        <v>1198</v>
      </c>
      <c r="B825" s="234" t="s">
        <v>1207</v>
      </c>
      <c r="C825" s="235" t="s">
        <v>148</v>
      </c>
      <c r="D825" s="236">
        <v>2.15</v>
      </c>
      <c r="E825" s="234" t="s">
        <v>1040</v>
      </c>
      <c r="F825" s="234" t="s">
        <v>1208</v>
      </c>
      <c r="G825" s="237" t="s">
        <v>1209</v>
      </c>
    </row>
    <row r="826" spans="1:7" x14ac:dyDescent="0.2">
      <c r="A826" s="233" t="s">
        <v>1116</v>
      </c>
      <c r="B826" s="233" t="s">
        <v>1210</v>
      </c>
      <c r="C826" s="239" t="s">
        <v>34</v>
      </c>
      <c r="D826" s="236">
        <v>200</v>
      </c>
      <c r="E826" s="233" t="s">
        <v>1040</v>
      </c>
      <c r="F826" s="233" t="s">
        <v>1127</v>
      </c>
      <c r="G826" s="9"/>
    </row>
    <row r="827" spans="1:7" x14ac:dyDescent="0.2">
      <c r="A827" s="233" t="s">
        <v>1116</v>
      </c>
      <c r="B827" s="233" t="s">
        <v>1210</v>
      </c>
      <c r="C827" s="239" t="s">
        <v>49</v>
      </c>
      <c r="D827" s="236">
        <v>40</v>
      </c>
      <c r="E827" s="233" t="s">
        <v>1040</v>
      </c>
      <c r="F827" s="233" t="s">
        <v>1127</v>
      </c>
      <c r="G827" s="9"/>
    </row>
    <row r="828" spans="1:7" x14ac:dyDescent="0.2">
      <c r="A828" s="233" t="s">
        <v>1116</v>
      </c>
      <c r="B828" s="233" t="s">
        <v>1210</v>
      </c>
      <c r="C828" s="239" t="s">
        <v>148</v>
      </c>
      <c r="D828" s="236">
        <v>20</v>
      </c>
      <c r="E828" s="233" t="s">
        <v>1040</v>
      </c>
      <c r="F828" s="233" t="s">
        <v>1127</v>
      </c>
      <c r="G828" s="9"/>
    </row>
    <row r="829" spans="1:7" x14ac:dyDescent="0.2">
      <c r="A829" s="233" t="s">
        <v>1116</v>
      </c>
      <c r="B829" s="233" t="s">
        <v>1210</v>
      </c>
      <c r="C829" s="239" t="s">
        <v>47</v>
      </c>
      <c r="D829" s="236">
        <v>5</v>
      </c>
      <c r="E829" s="233" t="s">
        <v>1040</v>
      </c>
      <c r="F829" s="233" t="s">
        <v>1127</v>
      </c>
      <c r="G829" s="9"/>
    </row>
    <row r="830" spans="1:7" x14ac:dyDescent="0.2">
      <c r="A830" s="233" t="s">
        <v>1116</v>
      </c>
      <c r="B830" s="233" t="s">
        <v>1211</v>
      </c>
      <c r="C830" s="239" t="s">
        <v>50</v>
      </c>
      <c r="D830" s="240">
        <v>0.33600000000000002</v>
      </c>
      <c r="E830" s="233" t="s">
        <v>1040</v>
      </c>
      <c r="F830" s="9" t="s">
        <v>1200</v>
      </c>
      <c r="G830" s="9"/>
    </row>
    <row r="831" spans="1:7" x14ac:dyDescent="0.2">
      <c r="A831" s="233" t="s">
        <v>1116</v>
      </c>
      <c r="B831" s="233" t="s">
        <v>1211</v>
      </c>
      <c r="C831" s="239" t="s">
        <v>27</v>
      </c>
      <c r="D831" s="240">
        <v>277.74</v>
      </c>
      <c r="E831" s="233" t="s">
        <v>1040</v>
      </c>
      <c r="F831" s="9" t="s">
        <v>1200</v>
      </c>
      <c r="G831" s="9" t="s">
        <v>1212</v>
      </c>
    </row>
    <row r="832" spans="1:7" x14ac:dyDescent="0.2">
      <c r="A832" s="233" t="s">
        <v>1116</v>
      </c>
      <c r="B832" s="233" t="s">
        <v>1211</v>
      </c>
      <c r="C832" s="239" t="s">
        <v>17</v>
      </c>
      <c r="D832" s="240">
        <v>78.180000000000007</v>
      </c>
      <c r="E832" s="233" t="s">
        <v>1040</v>
      </c>
      <c r="F832" s="9" t="s">
        <v>1200</v>
      </c>
      <c r="G832" s="9" t="s">
        <v>1212</v>
      </c>
    </row>
    <row r="833" spans="1:7" x14ac:dyDescent="0.2">
      <c r="A833" s="233" t="s">
        <v>1116</v>
      </c>
      <c r="B833" s="233" t="s">
        <v>1211</v>
      </c>
      <c r="C833" s="239" t="s">
        <v>34</v>
      </c>
      <c r="D833" s="240">
        <v>41.15</v>
      </c>
      <c r="E833" s="233" t="s">
        <v>1040</v>
      </c>
      <c r="F833" s="9" t="s">
        <v>1200</v>
      </c>
      <c r="G833" s="9" t="s">
        <v>1212</v>
      </c>
    </row>
    <row r="834" spans="1:7" x14ac:dyDescent="0.2">
      <c r="A834" s="233" t="s">
        <v>1116</v>
      </c>
      <c r="B834" s="233" t="s">
        <v>1211</v>
      </c>
      <c r="C834" s="239" t="s">
        <v>31</v>
      </c>
      <c r="D834" s="240">
        <v>8.23</v>
      </c>
      <c r="E834" s="233" t="s">
        <v>1040</v>
      </c>
      <c r="F834" s="9" t="s">
        <v>1200</v>
      </c>
      <c r="G834" s="9" t="s">
        <v>1212</v>
      </c>
    </row>
    <row r="835" spans="1:7" x14ac:dyDescent="0.2">
      <c r="A835" s="233" t="s">
        <v>1116</v>
      </c>
      <c r="B835" s="233" t="s">
        <v>1211</v>
      </c>
      <c r="C835" s="239" t="s">
        <v>32</v>
      </c>
      <c r="D835" s="240">
        <v>6.17</v>
      </c>
      <c r="E835" s="233" t="s">
        <v>1040</v>
      </c>
      <c r="F835" s="9" t="s">
        <v>1200</v>
      </c>
      <c r="G835" s="9" t="s">
        <v>1212</v>
      </c>
    </row>
    <row r="836" spans="1:7" x14ac:dyDescent="0.2">
      <c r="A836" s="233" t="s">
        <v>1116</v>
      </c>
      <c r="B836" s="233" t="s">
        <v>1211</v>
      </c>
      <c r="C836" s="239" t="s">
        <v>20</v>
      </c>
      <c r="D836" s="240">
        <v>18.149999999999999</v>
      </c>
      <c r="E836" s="233" t="s">
        <v>1040</v>
      </c>
      <c r="F836" s="9" t="s">
        <v>1200</v>
      </c>
      <c r="G836" s="9"/>
    </row>
    <row r="837" spans="1:7" x14ac:dyDescent="0.2">
      <c r="A837" s="233" t="s">
        <v>1116</v>
      </c>
      <c r="B837" s="233" t="s">
        <v>1211</v>
      </c>
      <c r="C837" s="239" t="s">
        <v>52</v>
      </c>
      <c r="D837" s="240">
        <v>9.8699999999999992</v>
      </c>
      <c r="E837" s="233" t="s">
        <v>1040</v>
      </c>
      <c r="F837" s="9" t="s">
        <v>1200</v>
      </c>
      <c r="G837" s="9" t="s">
        <v>1213</v>
      </c>
    </row>
  </sheetData>
  <autoFilter ref="A1:G829" xr:uid="{00000000-0009-0000-0000-00000D000000}"/>
  <conditionalFormatting sqref="C150">
    <cfRule type="cellIs" dxfId="0" priority="2" operator="greaterThan">
      <formula>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7" tint="0.59999389629810485"/>
  </sheetPr>
  <dimension ref="A1:F20"/>
  <sheetViews>
    <sheetView workbookViewId="0">
      <selection activeCell="D25" sqref="D25"/>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92" t="s">
        <v>1214</v>
      </c>
      <c r="B1" s="92" t="s">
        <v>1215</v>
      </c>
      <c r="C1" s="92" t="s">
        <v>1216</v>
      </c>
      <c r="D1" s="92" t="s">
        <v>1217</v>
      </c>
      <c r="E1" s="92" t="s">
        <v>62</v>
      </c>
      <c r="F1" s="92" t="s">
        <v>63</v>
      </c>
    </row>
    <row r="2" spans="1:6" x14ac:dyDescent="0.2">
      <c r="A2" s="9" t="s">
        <v>61</v>
      </c>
      <c r="B2" s="9">
        <v>28</v>
      </c>
      <c r="C2" s="9">
        <v>2018</v>
      </c>
      <c r="D2" s="9" t="s">
        <v>1218</v>
      </c>
      <c r="E2" s="9" t="s">
        <v>65</v>
      </c>
      <c r="F2" s="9" t="s">
        <v>1219</v>
      </c>
    </row>
    <row r="3" spans="1:6" x14ac:dyDescent="0.2">
      <c r="A3" s="9" t="s">
        <v>61</v>
      </c>
      <c r="B3" s="9">
        <v>41.2</v>
      </c>
      <c r="C3" s="9">
        <v>2018</v>
      </c>
      <c r="D3" s="9" t="s">
        <v>1220</v>
      </c>
      <c r="E3" s="9" t="s">
        <v>65</v>
      </c>
      <c r="F3" s="9" t="s">
        <v>1221</v>
      </c>
    </row>
    <row r="4" spans="1:6" x14ac:dyDescent="0.2">
      <c r="A4" s="9" t="s">
        <v>61</v>
      </c>
      <c r="B4" s="9">
        <v>69.48</v>
      </c>
      <c r="C4" s="9">
        <v>2019</v>
      </c>
      <c r="D4" s="9" t="s">
        <v>1220</v>
      </c>
      <c r="E4" s="9" t="s">
        <v>65</v>
      </c>
      <c r="F4" s="9" t="s">
        <v>1221</v>
      </c>
    </row>
    <row r="5" spans="1:6" x14ac:dyDescent="0.2">
      <c r="A5" s="9" t="s">
        <v>61</v>
      </c>
      <c r="B5" s="9">
        <v>57.76</v>
      </c>
      <c r="C5" s="9">
        <v>2020</v>
      </c>
      <c r="D5" s="9" t="s">
        <v>1220</v>
      </c>
      <c r="E5" s="9" t="s">
        <v>65</v>
      </c>
      <c r="F5" s="9" t="s">
        <v>1221</v>
      </c>
    </row>
    <row r="6" spans="1:6" x14ac:dyDescent="0.2">
      <c r="A6" s="9" t="s">
        <v>61</v>
      </c>
      <c r="B6" s="9">
        <v>64.05</v>
      </c>
      <c r="C6" s="9">
        <v>2021</v>
      </c>
      <c r="D6" s="9" t="s">
        <v>1220</v>
      </c>
      <c r="E6" s="9" t="s">
        <v>65</v>
      </c>
      <c r="F6" s="9" t="s">
        <v>1221</v>
      </c>
    </row>
    <row r="7" spans="1:6" x14ac:dyDescent="0.2">
      <c r="A7" s="9" t="s">
        <v>61</v>
      </c>
      <c r="B7" s="9">
        <v>73.790000000000006</v>
      </c>
      <c r="C7" s="9">
        <v>2022</v>
      </c>
      <c r="D7" s="9" t="s">
        <v>1220</v>
      </c>
      <c r="E7" s="9" t="s">
        <v>65</v>
      </c>
      <c r="F7" s="9" t="s">
        <v>1221</v>
      </c>
    </row>
    <row r="8" spans="1:6" x14ac:dyDescent="0.2">
      <c r="A8" s="9" t="s">
        <v>61</v>
      </c>
      <c r="B8" s="9">
        <v>79.23</v>
      </c>
      <c r="C8" s="9">
        <v>2023</v>
      </c>
      <c r="D8" s="9" t="s">
        <v>1220</v>
      </c>
      <c r="E8" s="9" t="s">
        <v>65</v>
      </c>
      <c r="F8" s="9" t="s">
        <v>1221</v>
      </c>
    </row>
    <row r="9" spans="1:6" x14ac:dyDescent="0.2">
      <c r="A9" s="9" t="s">
        <v>61</v>
      </c>
      <c r="B9" s="9">
        <v>62.5</v>
      </c>
      <c r="C9" s="9">
        <v>2023</v>
      </c>
      <c r="D9" s="9" t="s">
        <v>1218</v>
      </c>
      <c r="E9" s="9" t="s">
        <v>65</v>
      </c>
      <c r="F9" s="36" t="s">
        <v>66</v>
      </c>
    </row>
    <row r="10" spans="1:6" x14ac:dyDescent="0.2">
      <c r="A10" s="9" t="s">
        <v>61</v>
      </c>
      <c r="B10" s="9">
        <v>70.8</v>
      </c>
      <c r="C10" s="9">
        <v>2025</v>
      </c>
      <c r="D10" s="9" t="s">
        <v>1220</v>
      </c>
      <c r="E10" s="9" t="s">
        <v>65</v>
      </c>
      <c r="F10" s="9" t="s">
        <v>1222</v>
      </c>
    </row>
    <row r="11" spans="1:6" x14ac:dyDescent="0.2">
      <c r="A11" s="9" t="s">
        <v>1223</v>
      </c>
      <c r="B11" s="9">
        <v>24.2</v>
      </c>
      <c r="C11" s="9">
        <v>2015</v>
      </c>
      <c r="D11" s="9" t="s">
        <v>1224</v>
      </c>
      <c r="E11" s="9" t="s">
        <v>65</v>
      </c>
      <c r="F11" s="36" t="s">
        <v>1225</v>
      </c>
    </row>
    <row r="12" spans="1:6" x14ac:dyDescent="0.2">
      <c r="A12" s="9" t="s">
        <v>1223</v>
      </c>
      <c r="B12" s="9">
        <v>30.1</v>
      </c>
      <c r="C12" s="9">
        <v>2015</v>
      </c>
      <c r="D12" s="9" t="s">
        <v>1220</v>
      </c>
      <c r="E12" s="9" t="s">
        <v>65</v>
      </c>
      <c r="F12" s="36" t="s">
        <v>1225</v>
      </c>
    </row>
    <row r="13" spans="1:6" x14ac:dyDescent="0.2">
      <c r="A13" s="9" t="s">
        <v>1223</v>
      </c>
      <c r="B13" s="9">
        <v>41.2</v>
      </c>
      <c r="C13" s="9">
        <v>2015</v>
      </c>
      <c r="D13" s="9" t="s">
        <v>1226</v>
      </c>
      <c r="E13" s="9" t="s">
        <v>65</v>
      </c>
      <c r="F13" s="36" t="s">
        <v>1225</v>
      </c>
    </row>
    <row r="14" spans="1:6" x14ac:dyDescent="0.2">
      <c r="A14" s="9" t="s">
        <v>1223</v>
      </c>
      <c r="B14" s="9">
        <v>43.9</v>
      </c>
      <c r="C14" s="9">
        <v>2020</v>
      </c>
      <c r="D14" s="9" t="s">
        <v>1224</v>
      </c>
      <c r="E14" s="9" t="s">
        <v>65</v>
      </c>
      <c r="F14" s="36" t="s">
        <v>1225</v>
      </c>
    </row>
    <row r="15" spans="1:6" x14ac:dyDescent="0.2">
      <c r="A15" s="9" t="s">
        <v>1223</v>
      </c>
      <c r="B15" s="9">
        <v>54.6</v>
      </c>
      <c r="C15" s="9">
        <v>2020</v>
      </c>
      <c r="D15" s="9" t="s">
        <v>1220</v>
      </c>
      <c r="E15" s="9" t="s">
        <v>65</v>
      </c>
      <c r="F15" s="36" t="s">
        <v>1225</v>
      </c>
    </row>
    <row r="16" spans="1:6" x14ac:dyDescent="0.2">
      <c r="A16" s="9" t="s">
        <v>1223</v>
      </c>
      <c r="B16" s="9">
        <v>70.5</v>
      </c>
      <c r="C16" s="9">
        <v>2020</v>
      </c>
      <c r="D16" s="9" t="s">
        <v>1226</v>
      </c>
      <c r="E16" s="9" t="s">
        <v>65</v>
      </c>
      <c r="F16" s="36" t="s">
        <v>1225</v>
      </c>
    </row>
    <row r="17" spans="1:6" x14ac:dyDescent="0.2">
      <c r="A17" s="9" t="s">
        <v>210</v>
      </c>
      <c r="B17" s="9">
        <v>1.4</v>
      </c>
      <c r="C17" s="9">
        <v>2018</v>
      </c>
      <c r="D17" s="9" t="s">
        <v>1218</v>
      </c>
      <c r="E17" s="9" t="s">
        <v>65</v>
      </c>
      <c r="F17" s="9" t="s">
        <v>1219</v>
      </c>
    </row>
    <row r="18" spans="1:6" x14ac:dyDescent="0.2">
      <c r="A18" s="9" t="s">
        <v>210</v>
      </c>
      <c r="B18" s="9">
        <v>1.3</v>
      </c>
      <c r="C18" s="9">
        <v>2023</v>
      </c>
      <c r="D18" s="9" t="s">
        <v>1218</v>
      </c>
      <c r="E18" s="9" t="s">
        <v>65</v>
      </c>
      <c r="F18" s="36" t="s">
        <v>66</v>
      </c>
    </row>
    <row r="19" spans="1:6" x14ac:dyDescent="0.2">
      <c r="A19" s="9" t="s">
        <v>60</v>
      </c>
      <c r="B19" s="9">
        <v>7</v>
      </c>
      <c r="C19" s="9">
        <v>2018</v>
      </c>
      <c r="D19" s="9" t="s">
        <v>1218</v>
      </c>
      <c r="E19" s="9" t="s">
        <v>65</v>
      </c>
      <c r="F19" s="9" t="s">
        <v>1219</v>
      </c>
    </row>
    <row r="20" spans="1:6" x14ac:dyDescent="0.2">
      <c r="A20" s="9" t="s">
        <v>60</v>
      </c>
      <c r="B20" s="9">
        <v>21.8</v>
      </c>
      <c r="C20" s="9">
        <v>2023</v>
      </c>
      <c r="D20" s="9" t="s">
        <v>1218</v>
      </c>
      <c r="E20" s="9" t="s">
        <v>65</v>
      </c>
      <c r="F20" s="36" t="s">
        <v>66</v>
      </c>
    </row>
  </sheetData>
  <autoFilter ref="A1:F1" xr:uid="{00000000-0009-0000-0000-00000E000000}">
    <sortState xmlns:xlrd2="http://schemas.microsoft.com/office/spreadsheetml/2017/richdata2" ref="A2:F20">
      <sortCondition ref="A1"/>
    </sortState>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2" tint="-9.9978637043366805E-2"/>
  </sheetPr>
  <dimension ref="A1:E87"/>
  <sheetViews>
    <sheetView topLeftCell="A13" zoomScale="85" zoomScaleNormal="85" workbookViewId="0">
      <selection activeCell="D30" sqref="D30"/>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64"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2" t="s">
        <v>1227</v>
      </c>
      <c r="B1" s="42" t="s">
        <v>1228</v>
      </c>
      <c r="C1" s="265" t="s">
        <v>63</v>
      </c>
      <c r="D1" s="250"/>
      <c r="E1" s="77" t="s">
        <v>1229</v>
      </c>
    </row>
    <row r="2" spans="1:5" ht="16" customHeight="1" thickBot="1" x14ac:dyDescent="0.25">
      <c r="A2" s="249" t="s">
        <v>73</v>
      </c>
      <c r="B2" s="250"/>
      <c r="C2" s="117" t="s">
        <v>1230</v>
      </c>
      <c r="D2" s="170" t="s">
        <v>1231</v>
      </c>
      <c r="E2" s="9" t="s">
        <v>1232</v>
      </c>
    </row>
    <row r="3" spans="1:5" x14ac:dyDescent="0.2">
      <c r="A3" s="268" t="s">
        <v>75</v>
      </c>
      <c r="B3" s="257"/>
      <c r="C3" s="117" t="s">
        <v>1233</v>
      </c>
      <c r="D3" s="171" t="s">
        <v>1234</v>
      </c>
      <c r="E3" s="9" t="s">
        <v>1235</v>
      </c>
    </row>
    <row r="4" spans="1:5" x14ac:dyDescent="0.2">
      <c r="A4" s="258"/>
      <c r="B4" s="259"/>
      <c r="C4" s="118" t="s">
        <v>1230</v>
      </c>
      <c r="D4" s="172" t="s">
        <v>1236</v>
      </c>
      <c r="E4" s="9" t="s">
        <v>1235</v>
      </c>
    </row>
    <row r="5" spans="1:5" x14ac:dyDescent="0.2">
      <c r="A5" s="258"/>
      <c r="B5" s="259"/>
      <c r="C5" s="118" t="s">
        <v>1237</v>
      </c>
      <c r="D5" s="173" t="s">
        <v>1238</v>
      </c>
      <c r="E5" s="9" t="s">
        <v>1235</v>
      </c>
    </row>
    <row r="6" spans="1:5" x14ac:dyDescent="0.2">
      <c r="A6" s="258"/>
      <c r="B6" s="259"/>
      <c r="C6" s="118" t="s">
        <v>1239</v>
      </c>
      <c r="D6" s="173" t="s">
        <v>1240</v>
      </c>
      <c r="E6" s="9" t="s">
        <v>1235</v>
      </c>
    </row>
    <row r="7" spans="1:5" ht="16" customHeight="1" thickBot="1" x14ac:dyDescent="0.25">
      <c r="A7" s="260"/>
      <c r="B7" s="261"/>
      <c r="C7" s="119" t="s">
        <v>1241</v>
      </c>
      <c r="D7" s="174" t="s">
        <v>1242</v>
      </c>
      <c r="E7" s="9" t="s">
        <v>1235</v>
      </c>
    </row>
    <row r="8" spans="1:5" ht="19" customHeight="1" thickBot="1" x14ac:dyDescent="0.25">
      <c r="A8" s="249" t="s">
        <v>77</v>
      </c>
      <c r="B8" s="250"/>
      <c r="C8" s="120" t="s">
        <v>1243</v>
      </c>
      <c r="D8" s="161" t="s">
        <v>1244</v>
      </c>
      <c r="E8" s="9" t="s">
        <v>1235</v>
      </c>
    </row>
    <row r="9" spans="1:5" x14ac:dyDescent="0.2">
      <c r="A9" s="246" t="s">
        <v>80</v>
      </c>
      <c r="B9" s="121" t="s">
        <v>1245</v>
      </c>
      <c r="C9" s="36" t="s">
        <v>195</v>
      </c>
      <c r="D9" s="162" t="s">
        <v>1246</v>
      </c>
      <c r="E9" s="115" t="s">
        <v>1247</v>
      </c>
    </row>
    <row r="10" spans="1:5" x14ac:dyDescent="0.2">
      <c r="A10" s="247"/>
      <c r="B10" s="121" t="s">
        <v>1248</v>
      </c>
      <c r="C10" s="36" t="s">
        <v>220</v>
      </c>
      <c r="D10" s="163" t="s">
        <v>1249</v>
      </c>
      <c r="E10" s="115" t="s">
        <v>1250</v>
      </c>
    </row>
    <row r="11" spans="1:5" x14ac:dyDescent="0.2">
      <c r="A11" s="247"/>
      <c r="B11" s="264" t="s">
        <v>1251</v>
      </c>
      <c r="C11" s="36" t="s">
        <v>1252</v>
      </c>
      <c r="D11" s="162" t="s">
        <v>1253</v>
      </c>
      <c r="E11" s="266" t="s">
        <v>1254</v>
      </c>
    </row>
    <row r="12" spans="1:5" x14ac:dyDescent="0.2">
      <c r="A12" s="248"/>
      <c r="B12" s="248"/>
      <c r="C12" s="36" t="s">
        <v>1255</v>
      </c>
      <c r="D12" s="162" t="s">
        <v>1256</v>
      </c>
      <c r="E12" s="248"/>
    </row>
    <row r="13" spans="1:5" x14ac:dyDescent="0.2">
      <c r="A13" s="246" t="s">
        <v>84</v>
      </c>
      <c r="B13" s="250"/>
      <c r="C13" s="36" t="s">
        <v>1257</v>
      </c>
      <c r="D13" s="172" t="s">
        <v>1258</v>
      </c>
      <c r="E13" s="115" t="s">
        <v>1259</v>
      </c>
    </row>
    <row r="14" spans="1:5" x14ac:dyDescent="0.2">
      <c r="A14" s="246" t="s">
        <v>86</v>
      </c>
      <c r="B14" s="250"/>
      <c r="C14" s="36" t="s">
        <v>1257</v>
      </c>
      <c r="D14" s="172" t="s">
        <v>1260</v>
      </c>
      <c r="E14" s="9" t="s">
        <v>1235</v>
      </c>
    </row>
    <row r="15" spans="1:5" x14ac:dyDescent="0.2">
      <c r="A15" s="246" t="s">
        <v>1261</v>
      </c>
      <c r="B15" s="257"/>
      <c r="C15" s="118" t="s">
        <v>1262</v>
      </c>
      <c r="D15" s="173" t="s">
        <v>1263</v>
      </c>
      <c r="E15" s="9" t="s">
        <v>1235</v>
      </c>
    </row>
    <row r="16" spans="1:5" x14ac:dyDescent="0.2">
      <c r="A16" s="260"/>
      <c r="B16" s="261"/>
      <c r="C16" s="118" t="s">
        <v>1264</v>
      </c>
      <c r="D16" s="173" t="s">
        <v>1265</v>
      </c>
      <c r="E16" s="9" t="s">
        <v>1235</v>
      </c>
    </row>
    <row r="17" spans="1:5" ht="16" customHeight="1" x14ac:dyDescent="0.2">
      <c r="A17" s="262" t="s">
        <v>93</v>
      </c>
      <c r="B17" s="257"/>
      <c r="C17" s="39" t="s">
        <v>1266</v>
      </c>
      <c r="D17" s="164" t="s">
        <v>1267</v>
      </c>
      <c r="E17" s="9" t="s">
        <v>1235</v>
      </c>
    </row>
    <row r="18" spans="1:5" x14ac:dyDescent="0.2">
      <c r="A18" s="258"/>
      <c r="B18" s="259"/>
      <c r="C18" s="40" t="s">
        <v>1041</v>
      </c>
      <c r="D18" s="165" t="s">
        <v>1268</v>
      </c>
      <c r="E18" s="9" t="s">
        <v>1235</v>
      </c>
    </row>
    <row r="19" spans="1:5" x14ac:dyDescent="0.2">
      <c r="A19" s="258"/>
      <c r="B19" s="259"/>
      <c r="C19" s="40" t="s">
        <v>1269</v>
      </c>
      <c r="D19" s="175" t="s">
        <v>1270</v>
      </c>
      <c r="E19" s="9" t="s">
        <v>1235</v>
      </c>
    </row>
    <row r="20" spans="1:5" ht="16" customHeight="1" x14ac:dyDescent="0.2">
      <c r="A20" s="258"/>
      <c r="B20" s="259"/>
      <c r="C20" s="39" t="s">
        <v>1271</v>
      </c>
      <c r="D20" s="175" t="s">
        <v>1272</v>
      </c>
      <c r="E20" s="9" t="s">
        <v>1235</v>
      </c>
    </row>
    <row r="21" spans="1:5" x14ac:dyDescent="0.2">
      <c r="A21" s="260"/>
      <c r="B21" s="261"/>
      <c r="C21" s="40" t="s">
        <v>1273</v>
      </c>
      <c r="D21" s="162" t="s">
        <v>1274</v>
      </c>
      <c r="E21" s="9" t="s">
        <v>1235</v>
      </c>
    </row>
    <row r="22" spans="1:5" x14ac:dyDescent="0.2">
      <c r="A22" s="251" t="s">
        <v>1275</v>
      </c>
      <c r="B22" s="250"/>
      <c r="C22" s="36" t="s">
        <v>1276</v>
      </c>
      <c r="D22" s="162" t="s">
        <v>1277</v>
      </c>
      <c r="E22" s="9" t="s">
        <v>1235</v>
      </c>
    </row>
    <row r="23" spans="1:5" x14ac:dyDescent="0.2">
      <c r="A23" s="251" t="s">
        <v>1278</v>
      </c>
      <c r="B23" s="250"/>
      <c r="C23" s="9" t="s">
        <v>1279</v>
      </c>
      <c r="D23" s="162" t="s">
        <v>1280</v>
      </c>
      <c r="E23" s="9" t="s">
        <v>1235</v>
      </c>
    </row>
    <row r="24" spans="1:5" x14ac:dyDescent="0.2">
      <c r="A24" s="270" t="s">
        <v>99</v>
      </c>
      <c r="B24" s="267" t="s">
        <v>1281</v>
      </c>
      <c r="C24" s="36" t="s">
        <v>1282</v>
      </c>
      <c r="D24" s="173" t="s">
        <v>1283</v>
      </c>
      <c r="E24" s="114" t="s">
        <v>1284</v>
      </c>
    </row>
    <row r="25" spans="1:5" x14ac:dyDescent="0.2">
      <c r="A25" s="259"/>
      <c r="B25" s="248"/>
      <c r="C25" s="36" t="s">
        <v>169</v>
      </c>
      <c r="D25" s="162" t="s">
        <v>1285</v>
      </c>
      <c r="E25" s="115" t="s">
        <v>1286</v>
      </c>
    </row>
    <row r="26" spans="1:5" x14ac:dyDescent="0.2">
      <c r="A26" s="259"/>
      <c r="B26" s="263" t="s">
        <v>1287</v>
      </c>
      <c r="C26" s="138" t="s">
        <v>195</v>
      </c>
      <c r="D26" s="166" t="s">
        <v>1246</v>
      </c>
      <c r="E26" s="115" t="s">
        <v>1288</v>
      </c>
    </row>
    <row r="27" spans="1:5" x14ac:dyDescent="0.2">
      <c r="A27" s="259"/>
      <c r="B27" s="247"/>
      <c r="C27" s="9" t="s">
        <v>1138</v>
      </c>
      <c r="D27" s="176" t="s">
        <v>1289</v>
      </c>
      <c r="E27" s="115"/>
    </row>
    <row r="28" spans="1:5" x14ac:dyDescent="0.2">
      <c r="A28" s="259"/>
      <c r="B28" s="247"/>
      <c r="C28" s="138" t="s">
        <v>1080</v>
      </c>
      <c r="D28" s="166" t="s">
        <v>1290</v>
      </c>
      <c r="E28" s="115"/>
    </row>
    <row r="29" spans="1:5" x14ac:dyDescent="0.2">
      <c r="A29" s="259"/>
      <c r="B29" s="248"/>
      <c r="C29" s="9" t="s">
        <v>1132</v>
      </c>
      <c r="D29" s="166" t="s">
        <v>1291</v>
      </c>
      <c r="E29" s="114" t="s">
        <v>1292</v>
      </c>
    </row>
    <row r="30" spans="1:5" x14ac:dyDescent="0.2">
      <c r="A30" s="259"/>
      <c r="B30" s="263" t="s">
        <v>1293</v>
      </c>
      <c r="C30" s="36" t="s">
        <v>1294</v>
      </c>
      <c r="D30" s="173" t="s">
        <v>1295</v>
      </c>
      <c r="E30" s="115" t="s">
        <v>1296</v>
      </c>
    </row>
    <row r="31" spans="1:5" x14ac:dyDescent="0.2">
      <c r="A31" s="259"/>
      <c r="B31" s="247"/>
      <c r="C31" s="36" t="s">
        <v>206</v>
      </c>
      <c r="D31" s="173" t="s">
        <v>1297</v>
      </c>
      <c r="E31" s="114" t="s">
        <v>1298</v>
      </c>
    </row>
    <row r="32" spans="1:5" x14ac:dyDescent="0.2">
      <c r="A32" s="259"/>
      <c r="B32" s="247"/>
      <c r="C32" s="36" t="s">
        <v>209</v>
      </c>
      <c r="D32" s="173" t="s">
        <v>1299</v>
      </c>
      <c r="E32" s="115" t="s">
        <v>1235</v>
      </c>
    </row>
    <row r="33" spans="1:5" x14ac:dyDescent="0.2">
      <c r="A33" s="259"/>
      <c r="B33" s="248"/>
      <c r="C33" s="9" t="s">
        <v>1132</v>
      </c>
      <c r="D33" s="166" t="s">
        <v>1291</v>
      </c>
      <c r="E33" s="115"/>
    </row>
    <row r="34" spans="1:5" x14ac:dyDescent="0.2">
      <c r="A34" s="259"/>
      <c r="B34" s="263" t="s">
        <v>110</v>
      </c>
      <c r="C34" s="36" t="s">
        <v>1294</v>
      </c>
      <c r="D34" s="176" t="s">
        <v>1295</v>
      </c>
      <c r="E34" s="115" t="s">
        <v>1300</v>
      </c>
    </row>
    <row r="35" spans="1:5" x14ac:dyDescent="0.2">
      <c r="A35" s="137"/>
      <c r="B35" s="247"/>
      <c r="C35" s="36" t="s">
        <v>1221</v>
      </c>
      <c r="D35" s="177" t="s">
        <v>1301</v>
      </c>
      <c r="E35" s="9" t="s">
        <v>1235</v>
      </c>
    </row>
    <row r="36" spans="1:5" x14ac:dyDescent="0.2">
      <c r="A36" s="137"/>
      <c r="B36" s="247"/>
      <c r="C36" s="36" t="s">
        <v>1302</v>
      </c>
      <c r="D36" s="167" t="s">
        <v>1303</v>
      </c>
      <c r="E36" s="9" t="s">
        <v>1235</v>
      </c>
    </row>
    <row r="37" spans="1:5" x14ac:dyDescent="0.2">
      <c r="A37" s="137"/>
      <c r="B37" s="247"/>
      <c r="C37" s="36" t="s">
        <v>66</v>
      </c>
      <c r="D37" s="177" t="s">
        <v>1304</v>
      </c>
      <c r="E37" s="9" t="s">
        <v>1235</v>
      </c>
    </row>
    <row r="38" spans="1:5" x14ac:dyDescent="0.2">
      <c r="A38" s="137"/>
      <c r="B38" s="248"/>
      <c r="C38" s="160" t="s">
        <v>1225</v>
      </c>
      <c r="D38" s="164" t="s">
        <v>1305</v>
      </c>
      <c r="E38" s="9" t="s">
        <v>1235</v>
      </c>
    </row>
    <row r="39" spans="1:5" x14ac:dyDescent="0.2">
      <c r="A39" s="269" t="s">
        <v>104</v>
      </c>
      <c r="B39" s="257"/>
      <c r="C39" s="222" t="s">
        <v>1103</v>
      </c>
      <c r="D39" s="167" t="s">
        <v>1306</v>
      </c>
      <c r="E39" s="9" t="s">
        <v>1235</v>
      </c>
    </row>
    <row r="40" spans="1:5" ht="16" customHeight="1" x14ac:dyDescent="0.2">
      <c r="A40" s="258"/>
      <c r="B40" s="259"/>
      <c r="C40" s="223" t="s">
        <v>1041</v>
      </c>
      <c r="D40" s="167" t="s">
        <v>1307</v>
      </c>
      <c r="E40" s="9" t="s">
        <v>1235</v>
      </c>
    </row>
    <row r="41" spans="1:5" x14ac:dyDescent="0.2">
      <c r="A41" s="258"/>
      <c r="B41" s="259"/>
      <c r="C41" s="222" t="s">
        <v>1308</v>
      </c>
      <c r="D41" s="167" t="s">
        <v>1309</v>
      </c>
      <c r="E41" s="9" t="s">
        <v>1235</v>
      </c>
    </row>
    <row r="42" spans="1:5" x14ac:dyDescent="0.2">
      <c r="A42" s="258"/>
      <c r="B42" s="259"/>
      <c r="C42" s="222" t="s">
        <v>1310</v>
      </c>
      <c r="D42" s="167" t="s">
        <v>1311</v>
      </c>
      <c r="E42" s="9" t="s">
        <v>1235</v>
      </c>
    </row>
    <row r="43" spans="1:5" x14ac:dyDescent="0.2">
      <c r="A43" s="258"/>
      <c r="B43" s="259"/>
      <c r="C43" s="222" t="s">
        <v>1121</v>
      </c>
      <c r="D43" s="164" t="s">
        <v>1312</v>
      </c>
      <c r="E43" s="9" t="s">
        <v>1235</v>
      </c>
    </row>
    <row r="44" spans="1:5" x14ac:dyDescent="0.2">
      <c r="A44" s="258"/>
      <c r="B44" s="259"/>
      <c r="C44" s="222" t="s">
        <v>1098</v>
      </c>
      <c r="D44" s="167" t="s">
        <v>1263</v>
      </c>
      <c r="E44" s="9" t="s">
        <v>1235</v>
      </c>
    </row>
    <row r="45" spans="1:5" x14ac:dyDescent="0.2">
      <c r="A45" s="258"/>
      <c r="B45" s="259"/>
      <c r="C45" s="224" t="s">
        <v>1160</v>
      </c>
      <c r="D45" s="167" t="s">
        <v>1313</v>
      </c>
      <c r="E45" s="9" t="s">
        <v>1235</v>
      </c>
    </row>
    <row r="46" spans="1:5" x14ac:dyDescent="0.2">
      <c r="A46" s="258"/>
      <c r="B46" s="259"/>
      <c r="C46" s="118" t="s">
        <v>1114</v>
      </c>
      <c r="D46" s="167" t="s">
        <v>1314</v>
      </c>
      <c r="E46" s="9" t="s">
        <v>1235</v>
      </c>
    </row>
    <row r="47" spans="1:5" x14ac:dyDescent="0.2">
      <c r="A47" s="258"/>
      <c r="B47" s="259"/>
      <c r="C47" s="222" t="s">
        <v>1175</v>
      </c>
      <c r="D47" s="167" t="s">
        <v>1315</v>
      </c>
      <c r="E47" s="9" t="s">
        <v>1235</v>
      </c>
    </row>
    <row r="48" spans="1:5" x14ac:dyDescent="0.2">
      <c r="A48" s="258"/>
      <c r="B48" s="259"/>
      <c r="C48" s="222" t="s">
        <v>1127</v>
      </c>
      <c r="D48" s="167" t="s">
        <v>1316</v>
      </c>
      <c r="E48" s="9" t="s">
        <v>1235</v>
      </c>
    </row>
    <row r="49" spans="1:5" x14ac:dyDescent="0.2">
      <c r="A49" s="258"/>
      <c r="B49" s="259"/>
      <c r="C49" s="222" t="s">
        <v>1054</v>
      </c>
      <c r="D49" s="167" t="s">
        <v>1317</v>
      </c>
      <c r="E49" s="9" t="s">
        <v>1235</v>
      </c>
    </row>
    <row r="50" spans="1:5" x14ac:dyDescent="0.2">
      <c r="A50" s="258"/>
      <c r="B50" s="259"/>
      <c r="C50" s="222" t="s">
        <v>1124</v>
      </c>
      <c r="D50" s="167" t="s">
        <v>1318</v>
      </c>
      <c r="E50" s="9" t="s">
        <v>1235</v>
      </c>
    </row>
    <row r="51" spans="1:5" ht="16" customHeight="1" x14ac:dyDescent="0.2">
      <c r="A51" s="258"/>
      <c r="B51" s="259"/>
      <c r="C51" s="225" t="s">
        <v>1156</v>
      </c>
      <c r="D51" s="167" t="s">
        <v>1319</v>
      </c>
      <c r="E51" s="9" t="s">
        <v>1235</v>
      </c>
    </row>
    <row r="52" spans="1:5" x14ac:dyDescent="0.2">
      <c r="A52" s="258"/>
      <c r="B52" s="259"/>
      <c r="C52" s="222" t="s">
        <v>1069</v>
      </c>
      <c r="D52" s="167" t="s">
        <v>1320</v>
      </c>
      <c r="E52" s="9" t="s">
        <v>1235</v>
      </c>
    </row>
    <row r="53" spans="1:5" x14ac:dyDescent="0.2">
      <c r="A53" s="258"/>
      <c r="B53" s="259"/>
      <c r="C53" s="222" t="s">
        <v>1129</v>
      </c>
      <c r="D53" s="167" t="s">
        <v>1295</v>
      </c>
      <c r="E53" s="9" t="s">
        <v>1235</v>
      </c>
    </row>
    <row r="54" spans="1:5" x14ac:dyDescent="0.2">
      <c r="A54" s="258"/>
      <c r="B54" s="259"/>
      <c r="C54" s="222" t="s">
        <v>1195</v>
      </c>
      <c r="D54" s="167" t="s">
        <v>1321</v>
      </c>
      <c r="E54" s="9" t="s">
        <v>1235</v>
      </c>
    </row>
    <row r="55" spans="1:5" x14ac:dyDescent="0.2">
      <c r="A55" s="258"/>
      <c r="B55" s="259"/>
      <c r="C55" s="222" t="s">
        <v>1322</v>
      </c>
      <c r="D55" s="167" t="s">
        <v>1323</v>
      </c>
      <c r="E55" s="9" t="s">
        <v>1235</v>
      </c>
    </row>
    <row r="56" spans="1:5" x14ac:dyDescent="0.2">
      <c r="A56" s="258"/>
      <c r="B56" s="259"/>
      <c r="C56" s="222" t="s">
        <v>1324</v>
      </c>
      <c r="D56" s="168" t="s">
        <v>1325</v>
      </c>
      <c r="E56" s="9" t="s">
        <v>1235</v>
      </c>
    </row>
    <row r="57" spans="1:5" x14ac:dyDescent="0.2">
      <c r="A57" s="258"/>
      <c r="B57" s="259"/>
      <c r="C57" s="222" t="s">
        <v>1326</v>
      </c>
      <c r="D57" s="167" t="s">
        <v>1327</v>
      </c>
      <c r="E57" s="9" t="s">
        <v>1235</v>
      </c>
    </row>
    <row r="58" spans="1:5" x14ac:dyDescent="0.2">
      <c r="A58" s="258"/>
      <c r="B58" s="259"/>
      <c r="C58" s="222" t="s">
        <v>1126</v>
      </c>
      <c r="D58" s="167" t="s">
        <v>1270</v>
      </c>
      <c r="E58" s="9" t="s">
        <v>1235</v>
      </c>
    </row>
    <row r="59" spans="1:5" x14ac:dyDescent="0.2">
      <c r="A59" s="258"/>
      <c r="B59" s="259"/>
      <c r="C59" s="118" t="s">
        <v>1169</v>
      </c>
      <c r="D59" s="167" t="s">
        <v>1328</v>
      </c>
    </row>
    <row r="60" spans="1:5" x14ac:dyDescent="0.2">
      <c r="A60" s="258"/>
      <c r="B60" s="259"/>
      <c r="C60" s="224" t="s">
        <v>1048</v>
      </c>
      <c r="D60" s="167" t="s">
        <v>1329</v>
      </c>
    </row>
    <row r="61" spans="1:5" ht="16" customHeight="1" x14ac:dyDescent="0.2">
      <c r="A61" s="258"/>
      <c r="B61" s="259"/>
      <c r="C61" s="226" t="s">
        <v>168</v>
      </c>
      <c r="D61" s="167" t="s">
        <v>1283</v>
      </c>
    </row>
    <row r="62" spans="1:5" x14ac:dyDescent="0.2">
      <c r="A62" s="258"/>
      <c r="B62" s="259"/>
      <c r="C62" s="222" t="s">
        <v>1076</v>
      </c>
      <c r="D62" s="167" t="s">
        <v>1330</v>
      </c>
    </row>
    <row r="63" spans="1:5" x14ac:dyDescent="0.2">
      <c r="A63" s="227"/>
      <c r="B63" s="230"/>
      <c r="C63" s="9" t="s">
        <v>1118</v>
      </c>
      <c r="D63" s="229" t="s">
        <v>1331</v>
      </c>
    </row>
    <row r="64" spans="1:5" x14ac:dyDescent="0.2">
      <c r="A64" s="228"/>
      <c r="B64" s="231"/>
      <c r="C64" s="9" t="s">
        <v>1332</v>
      </c>
      <c r="D64" s="9" t="s">
        <v>1333</v>
      </c>
    </row>
    <row r="65" spans="3:4" x14ac:dyDescent="0.2">
      <c r="C65" s="9" t="s">
        <v>1203</v>
      </c>
      <c r="D65" s="232" t="s">
        <v>1334</v>
      </c>
    </row>
    <row r="66" spans="3:4" x14ac:dyDescent="0.2">
      <c r="C66" s="2"/>
      <c r="D66" s="169"/>
    </row>
    <row r="67" spans="3:4" x14ac:dyDescent="0.2">
      <c r="C67" s="2"/>
      <c r="D67" s="169"/>
    </row>
    <row r="68" spans="3:4" x14ac:dyDescent="0.2">
      <c r="C68" s="2"/>
      <c r="D68" s="169"/>
    </row>
    <row r="69" spans="3:4" x14ac:dyDescent="0.2">
      <c r="C69" s="2"/>
      <c r="D69" s="169"/>
    </row>
    <row r="70" spans="3:4" x14ac:dyDescent="0.2">
      <c r="C70" s="2"/>
      <c r="D70" s="169"/>
    </row>
    <row r="71" spans="3:4" x14ac:dyDescent="0.2">
      <c r="C71" s="2"/>
      <c r="D71" s="169"/>
    </row>
    <row r="72" spans="3:4" x14ac:dyDescent="0.2">
      <c r="C72" s="2"/>
      <c r="D72" s="169"/>
    </row>
    <row r="73" spans="3:4" x14ac:dyDescent="0.2">
      <c r="C73" s="2"/>
      <c r="D73" s="169"/>
    </row>
    <row r="74" spans="3:4" x14ac:dyDescent="0.2">
      <c r="C74" s="2"/>
      <c r="D74" s="169"/>
    </row>
    <row r="75" spans="3:4" x14ac:dyDescent="0.2">
      <c r="C75" s="2"/>
      <c r="D75" s="169"/>
    </row>
    <row r="76" spans="3:4" x14ac:dyDescent="0.2">
      <c r="C76" s="2"/>
      <c r="D76" s="169"/>
    </row>
    <row r="77" spans="3:4" x14ac:dyDescent="0.2">
      <c r="C77" s="2"/>
      <c r="D77" s="169"/>
    </row>
    <row r="78" spans="3:4" x14ac:dyDescent="0.2">
      <c r="C78" s="2"/>
      <c r="D78" s="169"/>
    </row>
    <row r="79" spans="3:4" x14ac:dyDescent="0.2">
      <c r="C79" s="2"/>
      <c r="D79" s="169"/>
    </row>
    <row r="80" spans="3:4" x14ac:dyDescent="0.2">
      <c r="C80" s="2"/>
      <c r="D80" s="169"/>
    </row>
    <row r="81" spans="3:4" x14ac:dyDescent="0.2">
      <c r="C81" s="2"/>
      <c r="D81" s="169"/>
    </row>
    <row r="82" spans="3:4" x14ac:dyDescent="0.2">
      <c r="C82" s="2"/>
      <c r="D82" s="169"/>
    </row>
    <row r="83" spans="3:4" x14ac:dyDescent="0.2">
      <c r="C83" s="2"/>
      <c r="D83" s="169"/>
    </row>
    <row r="84" spans="3:4" x14ac:dyDescent="0.2">
      <c r="C84" s="2"/>
      <c r="D84" s="169"/>
    </row>
    <row r="85" spans="3:4" x14ac:dyDescent="0.2">
      <c r="C85" s="2"/>
      <c r="D85" s="169"/>
    </row>
    <row r="86" spans="3:4" x14ac:dyDescent="0.2">
      <c r="C86" s="2"/>
      <c r="D86" s="169"/>
    </row>
    <row r="87" spans="3:4" x14ac:dyDescent="0.2">
      <c r="C87" s="2"/>
      <c r="D87" s="169"/>
    </row>
  </sheetData>
  <mergeCells count="19">
    <mergeCell ref="A39:B62"/>
    <mergeCell ref="A8:B8"/>
    <mergeCell ref="A22:B22"/>
    <mergeCell ref="A24:A34"/>
    <mergeCell ref="A9:A12"/>
    <mergeCell ref="B26:B29"/>
    <mergeCell ref="A13:B13"/>
    <mergeCell ref="A17:B21"/>
    <mergeCell ref="B34:B38"/>
    <mergeCell ref="B11:B12"/>
    <mergeCell ref="C1:D1"/>
    <mergeCell ref="E11:E12"/>
    <mergeCell ref="B24:B25"/>
    <mergeCell ref="A2:B2"/>
    <mergeCell ref="A3:B7"/>
    <mergeCell ref="A15:B16"/>
    <mergeCell ref="B30:B33"/>
    <mergeCell ref="A14:B14"/>
    <mergeCell ref="A23:B23"/>
  </mergeCells>
  <hyperlinks>
    <hyperlink ref="D2" r:id="rId1" display="https://www.iea.org/data-and-statistics/data-tools/critical-minerals-data-explorer" xr:uid="{00000000-0004-0000-0F00-000000000000}"/>
    <hyperlink ref="D3" r:id="rId2" display="https://doi.org/10.1111/jiec.13321" xr:uid="{00000000-0004-0000-0F00-000001000000}"/>
    <hyperlink ref="D4" r:id="rId3" display="https://www.iea.org/data-and-statistics/data-tools/critical-minerals-data-explorer" xr:uid="{00000000-0004-0000-0F00-000002000000}"/>
    <hyperlink ref="D5" r:id="rId4" display="https://doi.org/10.1016/j.energy.2021.122434" xr:uid="{00000000-0004-0000-0F00-000003000000}"/>
    <hyperlink ref="D6" r:id="rId5" display="https://doi.org/10.1016/j.rcradv.2023.200166" xr:uid="{00000000-0004-0000-0F00-000004000000}"/>
    <hyperlink ref="D13" r:id="rId6" display="https://doi.org/10.5281/zenodo.7252047" xr:uid="{00000000-0004-0000-0F00-000005000000}"/>
    <hyperlink ref="D14" r:id="rId7" display="https://doi.org/10.5281/zenodo.7252047" xr:uid="{00000000-0004-0000-0F00-000006000000}"/>
    <hyperlink ref="D15" r:id="rId8" display="https://data.europa.eu/doi/10.2760/160859" xr:uid="{00000000-0004-0000-0F00-000007000000}"/>
    <hyperlink ref="D16" r:id="rId9" display="https://doi.org/10.1016/j.ijft.2023.100340" xr:uid="{00000000-0004-0000-0F00-000008000000}"/>
    <hyperlink ref="D19" r:id="rId10" display="https://doi.org/10.1016/j.apenergy.2017.05.151" xr:uid="{00000000-0004-0000-0F00-000009000000}"/>
    <hyperlink ref="D20" r:id="rId11" display="https://doi.org/10.1073/pnas.2205429119" xr:uid="{00000000-0004-0000-0F00-00000A000000}"/>
    <hyperlink ref="D24" r:id="rId12" display="https://doi.org/10.1016/j.resconrec.2019.05.015" xr:uid="{00000000-0004-0000-0F00-00000B000000}"/>
    <hyperlink ref="D27" r:id="rId13" display="https://doi.org/10.1016/j.apenergy.2023.121400" xr:uid="{00000000-0004-0000-0F00-00000C000000}"/>
    <hyperlink ref="D30" r:id="rId14" display="https://doi.org/10.1016/j.enpol.2018.04.056" xr:uid="{00000000-0004-0000-0F00-00000D000000}"/>
    <hyperlink ref="D31" r:id="rId15" display="https://doi.org/10.1109/IEMDC.2017.8002010" xr:uid="{00000000-0004-0000-0F00-00000E000000}"/>
    <hyperlink ref="D34" r:id="rId16" display="https://doi.org/10.1016/j.enpol.2018.04.056" xr:uid="{00000000-0004-0000-0F00-00000F000000}"/>
    <hyperlink ref="D35" r:id="rId17" display="https://alternative-fuels-observatory.ec.europa.eu/policymakers-and-public-authorities/electric-vehicle-model-statistics" xr:uid="{00000000-0004-0000-0F00-000010000000}"/>
    <hyperlink ref="D37" r:id="rId18" display="https://www.adamasintel.com/ev-increase-battery-capacity-average-kwh-phev-up-27-percent/" xr:uid="{00000000-0004-0000-0F00-000011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82" t="s">
        <v>1335</v>
      </c>
      <c r="B1" s="280"/>
      <c r="C1" s="250"/>
    </row>
    <row r="2" spans="1:41" ht="16" customHeight="1" thickBot="1" x14ac:dyDescent="0.25"/>
    <row r="3" spans="1:41" ht="16" customHeight="1" thickBot="1" x14ac:dyDescent="0.25">
      <c r="A3" s="287" t="s">
        <v>1336</v>
      </c>
      <c r="B3" s="277"/>
      <c r="C3" s="277"/>
      <c r="D3" s="277"/>
      <c r="E3" s="277"/>
      <c r="F3" s="277"/>
      <c r="G3" s="277"/>
      <c r="H3" s="277"/>
      <c r="I3" s="277"/>
      <c r="J3" s="277"/>
      <c r="K3" s="277"/>
      <c r="L3" s="277"/>
      <c r="M3" s="277"/>
      <c r="N3" s="277"/>
      <c r="O3" s="277"/>
      <c r="P3" s="278"/>
      <c r="R3" s="273" t="s">
        <v>1066</v>
      </c>
      <c r="S3" s="274"/>
      <c r="T3" s="274"/>
      <c r="U3" s="274"/>
      <c r="V3" s="274"/>
      <c r="W3" s="274"/>
      <c r="X3" s="274"/>
      <c r="Y3" s="274"/>
      <c r="Z3" s="274"/>
      <c r="AA3" s="274"/>
      <c r="AB3" s="274"/>
      <c r="AC3" s="274"/>
      <c r="AD3" s="274"/>
      <c r="AE3" s="274"/>
      <c r="AF3" s="274"/>
      <c r="AG3" s="275"/>
      <c r="AI3" s="276" t="s">
        <v>1061</v>
      </c>
      <c r="AJ3" s="277"/>
      <c r="AK3" s="277"/>
      <c r="AL3" s="277"/>
      <c r="AM3" s="277"/>
      <c r="AN3" s="277"/>
      <c r="AO3" s="278"/>
    </row>
    <row r="4" spans="1:41" ht="16" customHeight="1" x14ac:dyDescent="0.2">
      <c r="A4" s="53" t="s">
        <v>1262</v>
      </c>
      <c r="B4" s="1"/>
      <c r="C4" s="1"/>
      <c r="D4" s="1"/>
      <c r="E4" s="1"/>
      <c r="F4" s="1"/>
      <c r="G4" s="1"/>
      <c r="H4" s="1"/>
      <c r="I4" s="1"/>
      <c r="J4" s="1"/>
      <c r="K4" s="1"/>
      <c r="L4" s="1"/>
      <c r="M4" s="1"/>
      <c r="N4" s="1"/>
      <c r="O4" s="1"/>
      <c r="P4" s="56"/>
      <c r="R4" s="57" t="s">
        <v>1262</v>
      </c>
      <c r="S4" s="58"/>
      <c r="T4" s="58"/>
      <c r="U4" s="58"/>
      <c r="V4" s="58"/>
      <c r="W4" s="58"/>
      <c r="X4" s="58"/>
      <c r="Y4" s="58"/>
      <c r="Z4" s="58"/>
      <c r="AA4" s="58"/>
      <c r="AB4" s="58"/>
      <c r="AC4" s="58"/>
      <c r="AD4" s="58"/>
      <c r="AE4" s="58"/>
      <c r="AF4" s="58"/>
      <c r="AG4" s="59"/>
      <c r="AI4" s="54" t="s">
        <v>1264</v>
      </c>
      <c r="AJ4" s="1"/>
      <c r="AK4" s="1"/>
      <c r="AL4" s="1"/>
      <c r="AM4" s="1"/>
      <c r="AN4" s="1"/>
      <c r="AO4" s="56"/>
    </row>
    <row r="5" spans="1:41" x14ac:dyDescent="0.2">
      <c r="B5" s="1"/>
      <c r="C5" s="271" t="s">
        <v>1337</v>
      </c>
      <c r="D5" s="280"/>
      <c r="E5" s="280"/>
      <c r="F5" s="250"/>
      <c r="G5" s="1"/>
      <c r="H5" s="1" t="s">
        <v>1338</v>
      </c>
      <c r="I5" s="1"/>
      <c r="J5" s="1"/>
      <c r="K5" s="1"/>
      <c r="L5" s="1"/>
      <c r="M5" s="1"/>
      <c r="N5" s="1"/>
      <c r="O5" s="1"/>
      <c r="P5" s="56"/>
      <c r="R5" s="60"/>
      <c r="S5" s="1"/>
      <c r="T5" s="1"/>
      <c r="U5" s="1"/>
      <c r="V5" s="1"/>
      <c r="W5" s="1"/>
      <c r="X5" s="1"/>
      <c r="Y5" s="1"/>
      <c r="Z5" s="1"/>
      <c r="AA5" s="1"/>
      <c r="AB5" s="1"/>
      <c r="AC5" s="1"/>
      <c r="AD5" s="1"/>
      <c r="AE5" s="1"/>
      <c r="AF5" s="1"/>
      <c r="AG5" s="56"/>
      <c r="AI5" s="60"/>
      <c r="AJ5" s="1"/>
      <c r="AK5" s="1"/>
      <c r="AL5" s="1"/>
      <c r="AM5" s="1"/>
      <c r="AN5" s="1"/>
      <c r="AO5" s="56"/>
    </row>
    <row r="6" spans="1:41" x14ac:dyDescent="0.2">
      <c r="A6" s="60"/>
      <c r="B6" s="1"/>
      <c r="C6" s="61" t="s">
        <v>1097</v>
      </c>
      <c r="D6" s="61" t="s">
        <v>1100</v>
      </c>
      <c r="E6" s="61" t="s">
        <v>1108</v>
      </c>
      <c r="F6" s="61" t="s">
        <v>1339</v>
      </c>
      <c r="G6" s="1"/>
      <c r="H6" s="1"/>
      <c r="I6" s="1"/>
      <c r="J6" s="1"/>
      <c r="K6" s="1"/>
      <c r="L6" s="1"/>
      <c r="M6" s="1"/>
      <c r="N6" s="1"/>
      <c r="O6" s="1"/>
      <c r="P6" s="56"/>
      <c r="R6" s="60"/>
      <c r="T6" s="279" t="s">
        <v>1340</v>
      </c>
      <c r="U6" s="280"/>
      <c r="V6" s="280"/>
      <c r="W6" s="250"/>
      <c r="X6" s="1"/>
      <c r="Y6" s="1"/>
      <c r="Z6" s="1"/>
      <c r="AA6" s="1"/>
      <c r="AB6" s="1"/>
      <c r="AC6" s="1"/>
      <c r="AD6" s="1"/>
      <c r="AE6" s="1"/>
      <c r="AF6" s="1"/>
      <c r="AG6" s="56"/>
      <c r="AI6" s="60"/>
      <c r="AJ6" s="1"/>
      <c r="AK6" s="1"/>
      <c r="AL6" s="20" t="s">
        <v>1341</v>
      </c>
      <c r="AM6" s="20" t="s">
        <v>1342</v>
      </c>
      <c r="AN6" s="1"/>
      <c r="AO6" s="56"/>
    </row>
    <row r="7" spans="1:41" x14ac:dyDescent="0.2">
      <c r="A7" s="60"/>
      <c r="B7" s="23">
        <v>2020</v>
      </c>
      <c r="C7" s="62">
        <v>6.0317460317460103</v>
      </c>
      <c r="D7" s="62">
        <v>18.888888888888889</v>
      </c>
      <c r="E7" s="62">
        <v>14.761904761904701</v>
      </c>
      <c r="F7" s="62">
        <v>60.317460317460402</v>
      </c>
      <c r="G7" s="1"/>
      <c r="H7" s="1"/>
      <c r="I7" s="1"/>
      <c r="J7" s="1"/>
      <c r="K7" s="1"/>
      <c r="L7" s="1"/>
      <c r="M7" s="1"/>
      <c r="N7" s="1"/>
      <c r="O7" s="1"/>
      <c r="P7" s="56"/>
      <c r="R7" s="60"/>
      <c r="S7" s="1"/>
      <c r="T7" s="24">
        <v>2020</v>
      </c>
      <c r="U7" s="281">
        <v>2050</v>
      </c>
      <c r="V7" s="280"/>
      <c r="W7" s="250"/>
      <c r="X7" s="1"/>
      <c r="Y7" s="1"/>
      <c r="Z7" s="1"/>
      <c r="AA7" s="1"/>
      <c r="AB7" s="1"/>
      <c r="AC7" s="1"/>
      <c r="AD7" s="1"/>
      <c r="AE7" s="1"/>
      <c r="AF7" s="1"/>
      <c r="AG7" s="56"/>
      <c r="AI7" s="60"/>
      <c r="AJ7" s="1"/>
      <c r="AK7" s="1"/>
      <c r="AL7" s="9">
        <v>5714</v>
      </c>
      <c r="AM7" s="9">
        <v>1802</v>
      </c>
      <c r="AN7" s="1"/>
      <c r="AO7" s="56"/>
    </row>
    <row r="8" spans="1:41" ht="32" customHeight="1" x14ac:dyDescent="0.2">
      <c r="A8" s="60"/>
      <c r="B8" s="23">
        <v>2030</v>
      </c>
      <c r="C8" s="62">
        <v>2.3809523809523601</v>
      </c>
      <c r="D8" s="62">
        <v>20.63492063492064</v>
      </c>
      <c r="E8" s="62">
        <v>17.1428571428571</v>
      </c>
      <c r="F8" s="62">
        <v>59.841269841269899</v>
      </c>
      <c r="G8" s="1"/>
      <c r="H8" s="1"/>
      <c r="I8" s="1"/>
      <c r="J8" s="1"/>
      <c r="K8" s="1"/>
      <c r="L8" s="1"/>
      <c r="M8" s="1"/>
      <c r="N8" s="1"/>
      <c r="O8" s="1"/>
      <c r="P8" s="56"/>
      <c r="R8" s="60"/>
      <c r="T8" s="4" t="s">
        <v>1343</v>
      </c>
      <c r="U8" s="38" t="s">
        <v>1344</v>
      </c>
      <c r="V8" s="63" t="s">
        <v>1345</v>
      </c>
      <c r="W8" s="38" t="s">
        <v>1346</v>
      </c>
      <c r="X8" s="3"/>
      <c r="Y8" s="1"/>
      <c r="Z8" s="1"/>
      <c r="AA8" s="1"/>
      <c r="AB8" s="1"/>
      <c r="AC8" s="1"/>
      <c r="AD8" s="1"/>
      <c r="AE8" s="1"/>
      <c r="AF8" s="1"/>
      <c r="AG8" s="56"/>
      <c r="AI8" s="60"/>
      <c r="AJ8" s="1"/>
      <c r="AK8" s="10" t="s">
        <v>1347</v>
      </c>
      <c r="AL8" s="41">
        <f>AL7/(AL7+AM7)</f>
        <v>0.76024481106971797</v>
      </c>
      <c r="AM8" s="41">
        <f>AM7/(AM7+AL7)</f>
        <v>0.23975518893028205</v>
      </c>
      <c r="AN8" s="1"/>
      <c r="AO8" s="56"/>
    </row>
    <row r="9" spans="1:41" x14ac:dyDescent="0.2">
      <c r="A9" s="60"/>
      <c r="B9" s="23">
        <v>2040</v>
      </c>
      <c r="C9" s="62">
        <v>1.4285714285714299</v>
      </c>
      <c r="D9" s="62">
        <v>23.492063492063469</v>
      </c>
      <c r="E9" s="62">
        <v>19.682539682539598</v>
      </c>
      <c r="F9" s="62">
        <v>55.396825396825498</v>
      </c>
      <c r="G9" s="1"/>
      <c r="H9" s="1"/>
      <c r="I9" s="1"/>
      <c r="J9" s="1"/>
      <c r="K9" s="1"/>
      <c r="L9" s="1"/>
      <c r="M9" s="1"/>
      <c r="N9" s="1"/>
      <c r="O9" s="1"/>
      <c r="P9" s="56"/>
      <c r="R9" s="60"/>
      <c r="S9" s="23" t="s">
        <v>1348</v>
      </c>
      <c r="T9" s="64">
        <v>0.95399999999999996</v>
      </c>
      <c r="U9" s="32">
        <v>0.99</v>
      </c>
      <c r="V9" s="65">
        <v>0.9</v>
      </c>
      <c r="W9" s="32">
        <v>0.77</v>
      </c>
      <c r="X9" s="1"/>
      <c r="Y9" s="1"/>
      <c r="Z9" s="1"/>
      <c r="AA9" s="1"/>
      <c r="AB9" s="1"/>
      <c r="AC9" s="1"/>
      <c r="AD9" s="1"/>
      <c r="AE9" s="1"/>
      <c r="AF9" s="1"/>
      <c r="AG9" s="56"/>
      <c r="AI9" s="60"/>
      <c r="AJ9" s="1"/>
      <c r="AK9" s="1"/>
      <c r="AL9" s="1"/>
      <c r="AM9" s="1"/>
      <c r="AN9" s="1"/>
      <c r="AO9" s="56"/>
    </row>
    <row r="10" spans="1:41" x14ac:dyDescent="0.2">
      <c r="A10" s="60"/>
      <c r="B10" s="23">
        <v>2050</v>
      </c>
      <c r="C10" s="9">
        <v>0</v>
      </c>
      <c r="D10" s="9">
        <v>26.5</v>
      </c>
      <c r="E10" s="9">
        <v>23.2</v>
      </c>
      <c r="F10" s="9">
        <v>50.3</v>
      </c>
      <c r="G10" s="1"/>
      <c r="H10" s="1"/>
      <c r="I10" s="1"/>
      <c r="J10" s="1"/>
      <c r="K10" s="1"/>
      <c r="L10" s="1"/>
      <c r="M10" s="1"/>
      <c r="N10" s="1"/>
      <c r="O10" s="1"/>
      <c r="P10" s="56"/>
      <c r="R10" s="60"/>
      <c r="S10" s="23" t="s">
        <v>1122</v>
      </c>
      <c r="T10" s="64">
        <v>2.4E-2</v>
      </c>
      <c r="U10" s="66">
        <v>5.0000000000000001E-3</v>
      </c>
      <c r="V10" s="67">
        <v>4.4999999999999998E-2</v>
      </c>
      <c r="W10" s="32">
        <v>0.1</v>
      </c>
      <c r="X10" s="1"/>
      <c r="Y10" s="1"/>
      <c r="Z10" s="1"/>
      <c r="AA10" s="1"/>
      <c r="AB10" s="1"/>
      <c r="AC10" s="1"/>
      <c r="AD10" s="1"/>
      <c r="AE10" s="1"/>
      <c r="AF10" s="1"/>
      <c r="AG10" s="56"/>
      <c r="AI10" s="68"/>
      <c r="AJ10" s="1"/>
      <c r="AK10" s="1"/>
      <c r="AL10" s="1"/>
      <c r="AM10" s="1"/>
      <c r="AN10" s="1"/>
      <c r="AO10" s="56"/>
    </row>
    <row r="11" spans="1:41" x14ac:dyDescent="0.2">
      <c r="A11" s="60"/>
      <c r="B11" s="1"/>
      <c r="C11" s="1"/>
      <c r="D11" s="1"/>
      <c r="E11" s="1"/>
      <c r="F11" s="1"/>
      <c r="G11" s="1"/>
      <c r="H11" s="1"/>
      <c r="I11" s="1"/>
      <c r="J11" s="1"/>
      <c r="K11" s="1"/>
      <c r="L11" s="1"/>
      <c r="M11" s="1"/>
      <c r="N11" s="1"/>
      <c r="O11" s="1"/>
      <c r="P11" s="56"/>
      <c r="R11" s="60"/>
      <c r="S11" s="23" t="s">
        <v>1155</v>
      </c>
      <c r="T11" s="64">
        <v>1.9E-2</v>
      </c>
      <c r="U11" s="66">
        <v>5.0000000000000001E-3</v>
      </c>
      <c r="V11" s="67">
        <v>4.4999999999999998E-2</v>
      </c>
      <c r="W11" s="32">
        <v>0.1</v>
      </c>
      <c r="X11" s="1"/>
      <c r="Y11" s="1"/>
      <c r="Z11" s="1"/>
      <c r="AA11" s="1"/>
      <c r="AB11" s="1"/>
      <c r="AC11" s="1"/>
      <c r="AD11" s="1"/>
      <c r="AE11" s="1"/>
      <c r="AF11" s="1"/>
      <c r="AG11" s="56"/>
      <c r="AI11" s="60"/>
      <c r="AJ11" s="1"/>
      <c r="AK11" s="1"/>
      <c r="AL11" s="1"/>
      <c r="AM11" s="1"/>
      <c r="AN11" s="1"/>
      <c r="AO11" s="56"/>
    </row>
    <row r="12" spans="1:41" x14ac:dyDescent="0.2">
      <c r="A12" s="60"/>
      <c r="B12" s="1"/>
      <c r="C12" s="271" t="s">
        <v>1349</v>
      </c>
      <c r="D12" s="280"/>
      <c r="E12" s="280"/>
      <c r="F12" s="250"/>
      <c r="G12" s="1"/>
      <c r="H12" s="1"/>
      <c r="I12" s="1"/>
      <c r="J12" s="1"/>
      <c r="K12" s="1"/>
      <c r="L12" s="1"/>
      <c r="M12" s="1"/>
      <c r="N12" s="1"/>
      <c r="O12" s="1"/>
      <c r="P12" s="56"/>
      <c r="R12" s="60"/>
      <c r="S12" s="23" t="s">
        <v>1154</v>
      </c>
      <c r="T12" s="64">
        <v>3.0000000000000001E-3</v>
      </c>
      <c r="U12" s="41">
        <v>0</v>
      </c>
      <c r="V12" s="65">
        <v>0.01</v>
      </c>
      <c r="W12" s="32">
        <v>0.03</v>
      </c>
      <c r="X12" s="1"/>
      <c r="Y12" s="1"/>
      <c r="Z12" s="1"/>
      <c r="AA12" s="1"/>
      <c r="AB12" s="1"/>
      <c r="AC12" s="1"/>
      <c r="AD12" s="1"/>
      <c r="AE12" s="1"/>
      <c r="AF12" s="1"/>
      <c r="AG12" s="56"/>
      <c r="AI12" s="60"/>
      <c r="AJ12" s="1"/>
      <c r="AK12" s="1"/>
      <c r="AL12" s="1"/>
      <c r="AM12" s="1"/>
      <c r="AN12" s="1"/>
      <c r="AO12" s="56"/>
    </row>
    <row r="13" spans="1:41" x14ac:dyDescent="0.2">
      <c r="A13" s="60"/>
      <c r="B13" s="1"/>
      <c r="C13" s="61" t="s">
        <v>1097</v>
      </c>
      <c r="D13" s="61" t="s">
        <v>1100</v>
      </c>
      <c r="E13" s="61" t="s">
        <v>1108</v>
      </c>
      <c r="F13" s="61" t="s">
        <v>1339</v>
      </c>
      <c r="G13" s="1"/>
      <c r="H13" s="1"/>
      <c r="I13" s="1"/>
      <c r="J13" s="1"/>
      <c r="K13" s="1"/>
      <c r="L13" s="1"/>
      <c r="M13" s="1"/>
      <c r="N13" s="1"/>
      <c r="O13" s="1"/>
      <c r="P13" s="56"/>
      <c r="R13" s="60"/>
      <c r="S13" s="1"/>
      <c r="T13" s="1"/>
      <c r="U13" s="1"/>
      <c r="V13" s="1"/>
      <c r="W13" s="1"/>
      <c r="X13" s="1"/>
      <c r="Y13" s="1"/>
      <c r="Z13" s="1"/>
      <c r="AA13" s="1"/>
      <c r="AB13" s="1"/>
      <c r="AC13" s="1"/>
      <c r="AD13" s="1"/>
      <c r="AE13" s="1"/>
      <c r="AF13" s="1"/>
      <c r="AG13" s="56"/>
      <c r="AI13" s="60"/>
      <c r="AJ13" s="1"/>
      <c r="AK13" s="1"/>
      <c r="AL13" s="1"/>
      <c r="AM13" s="1"/>
      <c r="AN13" s="1"/>
      <c r="AO13" s="56"/>
    </row>
    <row r="14" spans="1:41" x14ac:dyDescent="0.2">
      <c r="A14" s="60"/>
      <c r="B14" s="23">
        <v>2020</v>
      </c>
      <c r="C14" s="62">
        <v>5.2557625903430596</v>
      </c>
      <c r="D14" s="62">
        <v>56.80467764930814</v>
      </c>
      <c r="E14" s="62">
        <v>18.195940433317109</v>
      </c>
      <c r="F14" s="62">
        <v>19.743619327031691</v>
      </c>
      <c r="G14" s="1"/>
      <c r="H14" s="1"/>
      <c r="I14" s="1"/>
      <c r="J14" s="1"/>
      <c r="K14" s="1"/>
      <c r="L14" s="1"/>
      <c r="M14" s="1"/>
      <c r="N14" s="1"/>
      <c r="O14" s="1"/>
      <c r="P14" s="56"/>
      <c r="R14" s="60"/>
      <c r="S14" s="1"/>
      <c r="T14" s="285" t="s">
        <v>1350</v>
      </c>
      <c r="U14" s="286"/>
      <c r="V14" s="286"/>
      <c r="W14" s="286"/>
      <c r="X14" s="1"/>
      <c r="Y14" s="1"/>
      <c r="Z14" s="1"/>
      <c r="AA14" s="1"/>
      <c r="AB14" s="1"/>
      <c r="AC14" s="1"/>
      <c r="AD14" s="1"/>
      <c r="AE14" s="1"/>
      <c r="AF14" s="1"/>
      <c r="AG14" s="56"/>
      <c r="AI14" s="60"/>
      <c r="AJ14" s="1"/>
      <c r="AK14" s="1"/>
      <c r="AL14" s="1"/>
      <c r="AM14" s="1"/>
      <c r="AN14" s="1"/>
      <c r="AO14" s="56"/>
    </row>
    <row r="15" spans="1:41" x14ac:dyDescent="0.2">
      <c r="A15" s="60"/>
      <c r="B15" s="23">
        <v>2030</v>
      </c>
      <c r="C15" s="62">
        <v>0</v>
      </c>
      <c r="D15" s="62">
        <v>60.583634820302699</v>
      </c>
      <c r="E15" s="62">
        <v>9.9688486356856956</v>
      </c>
      <c r="F15" s="62">
        <v>29.447516544011609</v>
      </c>
      <c r="G15" s="1"/>
      <c r="H15" s="1"/>
      <c r="I15" s="1"/>
      <c r="J15" s="1"/>
      <c r="K15" s="1"/>
      <c r="L15" s="1"/>
      <c r="M15" s="1"/>
      <c r="N15" s="1"/>
      <c r="O15" s="1"/>
      <c r="P15" s="56"/>
      <c r="R15" s="60"/>
      <c r="S15" s="1"/>
      <c r="T15" s="284" t="s">
        <v>1066</v>
      </c>
      <c r="U15" s="280"/>
      <c r="V15" s="280"/>
      <c r="W15" s="250"/>
      <c r="X15" s="1"/>
      <c r="Y15" s="1"/>
      <c r="Z15" s="1"/>
      <c r="AA15" s="1"/>
      <c r="AB15" s="1"/>
      <c r="AC15" s="1"/>
      <c r="AD15" s="1"/>
      <c r="AE15" s="1"/>
      <c r="AF15" s="1"/>
      <c r="AG15" s="56"/>
      <c r="AI15" s="60"/>
      <c r="AJ15" s="1"/>
      <c r="AK15" s="1"/>
      <c r="AL15" s="1"/>
      <c r="AM15" s="1"/>
      <c r="AN15" s="1"/>
      <c r="AO15" s="56"/>
    </row>
    <row r="16" spans="1:41" x14ac:dyDescent="0.2">
      <c r="A16" s="60"/>
      <c r="B16" s="23">
        <v>2040</v>
      </c>
      <c r="C16" s="62">
        <v>0</v>
      </c>
      <c r="D16" s="62">
        <v>59.422463594933298</v>
      </c>
      <c r="E16" s="62">
        <v>10.759582340967411</v>
      </c>
      <c r="F16" s="62">
        <v>29.8179540640993</v>
      </c>
      <c r="G16" s="1"/>
      <c r="H16" s="1"/>
      <c r="I16" s="1"/>
      <c r="K16" s="1"/>
      <c r="L16" s="1"/>
      <c r="M16" s="1"/>
      <c r="N16" s="1"/>
      <c r="O16" s="1"/>
      <c r="P16" s="56"/>
      <c r="R16" s="60"/>
      <c r="S16" s="9" t="s">
        <v>1345</v>
      </c>
      <c r="T16" s="19" t="s">
        <v>1348</v>
      </c>
      <c r="U16" s="19" t="s">
        <v>1122</v>
      </c>
      <c r="V16" s="19" t="s">
        <v>1155</v>
      </c>
      <c r="W16" s="19" t="s">
        <v>1154</v>
      </c>
      <c r="X16" s="1"/>
      <c r="Y16" s="1"/>
      <c r="Z16" s="1"/>
      <c r="AA16" s="1"/>
      <c r="AB16" s="1"/>
      <c r="AC16" s="1"/>
      <c r="AD16" s="1"/>
      <c r="AE16" s="1"/>
      <c r="AF16" s="1"/>
      <c r="AG16" s="56"/>
      <c r="AI16" s="60"/>
      <c r="AJ16" s="1"/>
      <c r="AK16" s="1"/>
      <c r="AL16" s="1"/>
      <c r="AM16" s="1"/>
      <c r="AN16" s="1"/>
      <c r="AO16" s="56"/>
    </row>
    <row r="17" spans="1:41" x14ac:dyDescent="0.2">
      <c r="A17" s="60"/>
      <c r="B17" s="23">
        <v>2050</v>
      </c>
      <c r="C17" s="9">
        <v>0</v>
      </c>
      <c r="D17" s="9">
        <v>59</v>
      </c>
      <c r="E17" s="9">
        <v>11</v>
      </c>
      <c r="F17" s="9">
        <v>30</v>
      </c>
      <c r="G17" s="1"/>
      <c r="H17" s="1"/>
      <c r="I17" s="1"/>
      <c r="J17" s="1"/>
      <c r="K17" s="1"/>
      <c r="L17" s="1"/>
      <c r="M17" s="1"/>
      <c r="N17" s="1"/>
      <c r="O17" s="1"/>
      <c r="P17" s="56"/>
      <c r="R17" s="60"/>
      <c r="S17" s="23">
        <v>2020</v>
      </c>
      <c r="T17" s="69">
        <v>0.95399999999999996</v>
      </c>
      <c r="U17" s="69">
        <v>2.4E-2</v>
      </c>
      <c r="V17" s="69">
        <v>1.9E-2</v>
      </c>
      <c r="W17" s="69">
        <v>3.0000000000000001E-3</v>
      </c>
      <c r="X17" s="1"/>
      <c r="Y17" s="1"/>
      <c r="Z17" s="1"/>
      <c r="AA17" s="1"/>
      <c r="AB17" s="1"/>
      <c r="AC17" s="1"/>
      <c r="AD17" s="1"/>
      <c r="AE17" s="1"/>
      <c r="AF17" s="1"/>
      <c r="AG17" s="56"/>
      <c r="AI17" s="60"/>
      <c r="AJ17" s="1"/>
      <c r="AK17" s="1"/>
      <c r="AL17" s="1"/>
      <c r="AM17" s="1"/>
      <c r="AN17" s="1"/>
      <c r="AO17" s="56"/>
    </row>
    <row r="18" spans="1:41" x14ac:dyDescent="0.2">
      <c r="A18" s="60"/>
      <c r="B18" s="1"/>
      <c r="C18" s="1"/>
      <c r="D18" s="1"/>
      <c r="E18" s="1"/>
      <c r="F18" s="1"/>
      <c r="G18" s="1"/>
      <c r="H18" s="1"/>
      <c r="I18" s="1"/>
      <c r="J18" s="1"/>
      <c r="K18" s="1"/>
      <c r="L18" s="1"/>
      <c r="M18" s="1"/>
      <c r="N18" s="1"/>
      <c r="O18" s="1"/>
      <c r="P18" s="56"/>
      <c r="R18" s="60"/>
      <c r="S18" s="70">
        <v>2030</v>
      </c>
      <c r="T18" s="69">
        <f t="shared" ref="T18:W19" si="0">T17+(T20-T17)*($S$18-$S$17)/($S$20-$S$17)</f>
        <v>0.93599999999999994</v>
      </c>
      <c r="U18" s="69">
        <f t="shared" si="0"/>
        <v>3.1E-2</v>
      </c>
      <c r="V18" s="69">
        <f t="shared" si="0"/>
        <v>2.7666666666666666E-2</v>
      </c>
      <c r="W18" s="69">
        <f t="shared" si="0"/>
        <v>5.333333333333334E-3</v>
      </c>
      <c r="X18" s="1"/>
      <c r="Y18" s="1"/>
      <c r="Z18" s="1"/>
      <c r="AA18" s="1"/>
      <c r="AB18" s="1"/>
      <c r="AC18" s="1"/>
      <c r="AD18" s="1"/>
      <c r="AE18" s="1"/>
      <c r="AF18" s="1"/>
      <c r="AG18" s="56"/>
      <c r="AI18" s="60"/>
      <c r="AJ18" s="1"/>
      <c r="AK18" s="1"/>
      <c r="AL18" s="1"/>
      <c r="AM18" s="1"/>
      <c r="AN18" s="1"/>
      <c r="AO18" s="56"/>
    </row>
    <row r="19" spans="1:41" x14ac:dyDescent="0.2">
      <c r="A19" s="60"/>
      <c r="B19" s="1"/>
      <c r="C19" s="1"/>
      <c r="D19" s="1"/>
      <c r="E19" s="1"/>
      <c r="F19" s="1"/>
      <c r="G19" s="1"/>
      <c r="H19" s="1"/>
      <c r="I19" s="1"/>
      <c r="K19" s="1"/>
      <c r="L19" s="1"/>
      <c r="M19" s="1"/>
      <c r="N19" s="1"/>
      <c r="O19" s="1"/>
      <c r="P19" s="56"/>
      <c r="R19" s="60"/>
      <c r="S19" s="23">
        <v>2040</v>
      </c>
      <c r="T19" s="69">
        <f t="shared" si="0"/>
        <v>0.62399999999999989</v>
      </c>
      <c r="U19" s="69">
        <f t="shared" si="0"/>
        <v>2.0666666666666667E-2</v>
      </c>
      <c r="V19" s="69">
        <f t="shared" si="0"/>
        <v>1.8444444444444444E-2</v>
      </c>
      <c r="W19" s="69">
        <f t="shared" si="0"/>
        <v>3.5555555555555557E-3</v>
      </c>
      <c r="X19" s="1"/>
      <c r="Y19" s="1"/>
      <c r="Z19" s="1"/>
      <c r="AA19" s="1"/>
      <c r="AB19" s="1"/>
      <c r="AC19" s="1"/>
      <c r="AD19" s="1"/>
      <c r="AE19" s="1"/>
      <c r="AF19" s="1"/>
      <c r="AG19" s="56"/>
      <c r="AI19" s="60"/>
      <c r="AJ19" s="1"/>
      <c r="AK19" s="1"/>
      <c r="AM19" s="1"/>
      <c r="AN19" s="1"/>
      <c r="AO19" s="56"/>
    </row>
    <row r="20" spans="1:41" x14ac:dyDescent="0.2">
      <c r="A20" s="60"/>
      <c r="B20" s="1"/>
      <c r="C20" s="288" t="s">
        <v>1351</v>
      </c>
      <c r="D20" s="280"/>
      <c r="E20" s="280"/>
      <c r="F20" s="280"/>
      <c r="G20" s="280"/>
      <c r="H20" s="250"/>
      <c r="I20" s="1"/>
      <c r="J20" s="1"/>
      <c r="K20" s="1"/>
      <c r="L20" s="1"/>
      <c r="M20" s="1"/>
      <c r="N20" s="1"/>
      <c r="O20" s="1"/>
      <c r="P20" s="56"/>
      <c r="R20" s="60"/>
      <c r="S20" s="70">
        <v>2050</v>
      </c>
      <c r="T20" s="69">
        <v>0.9</v>
      </c>
      <c r="U20" s="69">
        <v>4.4999999999999998E-2</v>
      </c>
      <c r="V20" s="69">
        <v>4.4999999999999998E-2</v>
      </c>
      <c r="W20" s="69">
        <v>0.01</v>
      </c>
      <c r="X20" s="1"/>
      <c r="Y20" s="1"/>
      <c r="Z20" s="1"/>
      <c r="AA20" s="1"/>
      <c r="AB20" s="1"/>
      <c r="AC20" s="1"/>
      <c r="AD20" s="1"/>
      <c r="AE20" s="1"/>
      <c r="AF20" s="1"/>
      <c r="AG20" s="56"/>
      <c r="AI20" s="60"/>
      <c r="AJ20" s="1"/>
      <c r="AK20" s="1"/>
      <c r="AM20" s="1"/>
      <c r="AN20" s="1"/>
      <c r="AO20" s="56"/>
    </row>
    <row r="21" spans="1:41" x14ac:dyDescent="0.2">
      <c r="A21" s="60"/>
      <c r="B21" s="1"/>
      <c r="C21" s="271" t="s">
        <v>1352</v>
      </c>
      <c r="D21" s="250"/>
      <c r="E21" s="271" t="s">
        <v>1353</v>
      </c>
      <c r="F21" s="250"/>
      <c r="G21" s="271" t="s">
        <v>1354</v>
      </c>
      <c r="H21" s="250"/>
      <c r="I21" s="1"/>
      <c r="J21" s="1"/>
      <c r="K21" s="1"/>
      <c r="L21" s="1"/>
      <c r="M21" s="1"/>
      <c r="N21" s="1"/>
      <c r="O21" s="1"/>
      <c r="P21" s="56"/>
      <c r="R21" s="60"/>
      <c r="S21" s="1"/>
      <c r="T21" s="1"/>
      <c r="U21" s="1"/>
      <c r="V21" s="1"/>
      <c r="W21" s="1"/>
      <c r="X21" s="1"/>
      <c r="Y21" s="1"/>
      <c r="Z21" s="1"/>
      <c r="AA21" s="1"/>
      <c r="AB21" s="1"/>
      <c r="AC21" s="1"/>
      <c r="AD21" s="1"/>
      <c r="AE21" s="1"/>
      <c r="AF21" s="1"/>
      <c r="AG21" s="56"/>
      <c r="AI21" s="60"/>
      <c r="AJ21" s="1"/>
      <c r="AK21" s="1"/>
      <c r="AM21" s="1"/>
      <c r="AN21" s="1"/>
      <c r="AO21" s="56"/>
    </row>
    <row r="22" spans="1:41" x14ac:dyDescent="0.2">
      <c r="A22" s="60"/>
      <c r="B22" s="1"/>
      <c r="C22" s="15" t="s">
        <v>1112</v>
      </c>
      <c r="D22" s="15" t="s">
        <v>1110</v>
      </c>
      <c r="E22" s="15" t="s">
        <v>1112</v>
      </c>
      <c r="F22" s="15" t="s">
        <v>1110</v>
      </c>
      <c r="G22" s="15" t="s">
        <v>1355</v>
      </c>
      <c r="H22" s="15" t="s">
        <v>1356</v>
      </c>
      <c r="I22" s="1"/>
      <c r="J22" s="1" t="s">
        <v>1357</v>
      </c>
      <c r="L22" s="1"/>
      <c r="M22" s="1"/>
      <c r="N22" s="1"/>
      <c r="O22" s="1"/>
      <c r="P22" s="56"/>
      <c r="R22" s="60"/>
      <c r="S22" s="1"/>
      <c r="T22" s="1"/>
      <c r="U22" s="1"/>
      <c r="V22" s="1"/>
      <c r="W22" s="1"/>
      <c r="X22" s="1"/>
      <c r="Y22" s="1"/>
      <c r="Z22" s="1"/>
      <c r="AA22" s="1"/>
      <c r="AB22" s="1"/>
      <c r="AC22" s="1"/>
      <c r="AD22" s="1"/>
      <c r="AE22" s="1"/>
      <c r="AF22" s="1"/>
      <c r="AG22" s="56"/>
      <c r="AI22" s="60"/>
      <c r="AJ22" s="1"/>
      <c r="AK22" s="1"/>
      <c r="AM22" s="1"/>
      <c r="AN22" s="1"/>
      <c r="AO22" s="56"/>
    </row>
    <row r="23" spans="1:41" ht="16" customHeight="1" thickBot="1" x14ac:dyDescent="0.25">
      <c r="A23" s="60"/>
      <c r="B23" s="23">
        <v>2020</v>
      </c>
      <c r="C23" s="5">
        <v>55</v>
      </c>
      <c r="D23" s="5">
        <v>5</v>
      </c>
      <c r="E23" s="5">
        <f>55*10</f>
        <v>550</v>
      </c>
      <c r="F23" s="5">
        <f>5*10</f>
        <v>50</v>
      </c>
      <c r="G23" s="71">
        <f>E23/(E23+F23)</f>
        <v>0.91666666666666663</v>
      </c>
      <c r="H23" s="71">
        <f>F23/(E23+F23)</f>
        <v>8.3333333333333329E-2</v>
      </c>
      <c r="I23" s="1"/>
      <c r="J23" s="1"/>
      <c r="K23" s="1"/>
      <c r="L23" s="1"/>
      <c r="M23" s="1"/>
      <c r="N23" s="1"/>
      <c r="O23" s="1"/>
      <c r="P23" s="56"/>
      <c r="R23" s="72"/>
      <c r="S23" s="73"/>
      <c r="T23" s="73"/>
      <c r="U23" s="73"/>
      <c r="V23" s="73"/>
      <c r="W23" s="73"/>
      <c r="X23" s="73"/>
      <c r="Y23" s="73"/>
      <c r="Z23" s="73"/>
      <c r="AA23" s="73"/>
      <c r="AB23" s="73"/>
      <c r="AC23" s="73"/>
      <c r="AD23" s="73"/>
      <c r="AE23" s="73"/>
      <c r="AF23" s="73"/>
      <c r="AG23" s="74"/>
      <c r="AI23" s="60"/>
      <c r="AJ23" s="1"/>
      <c r="AK23" s="1"/>
      <c r="AM23" s="1"/>
      <c r="AN23" s="1"/>
      <c r="AO23" s="56"/>
    </row>
    <row r="24" spans="1:41" x14ac:dyDescent="0.2">
      <c r="A24" s="60"/>
      <c r="B24" s="23">
        <v>2030</v>
      </c>
      <c r="C24" s="5">
        <v>100</v>
      </c>
      <c r="D24" s="5">
        <v>10</v>
      </c>
      <c r="E24" s="5">
        <f>SUM(C23:C24)*10</f>
        <v>1550</v>
      </c>
      <c r="F24" s="5">
        <f>SUM(D23:D24)*10</f>
        <v>150</v>
      </c>
      <c r="G24" s="71">
        <f>E24/(E24+F24)</f>
        <v>0.91176470588235292</v>
      </c>
      <c r="H24" s="71">
        <f>F24/(E24+F24)</f>
        <v>8.8235294117647065E-2</v>
      </c>
      <c r="I24" s="1"/>
      <c r="J24" s="1"/>
      <c r="K24" s="1"/>
      <c r="L24" s="1"/>
      <c r="M24" s="1"/>
      <c r="N24" s="1"/>
      <c r="O24" s="1"/>
      <c r="P24" s="56"/>
      <c r="AI24" s="60"/>
      <c r="AJ24" s="1"/>
      <c r="AK24" s="1"/>
      <c r="AM24" s="1"/>
      <c r="AN24" s="1"/>
      <c r="AO24" s="56"/>
    </row>
    <row r="25" spans="1:41" x14ac:dyDescent="0.2">
      <c r="A25" s="60"/>
      <c r="B25" s="23">
        <v>2040</v>
      </c>
      <c r="C25" s="5">
        <v>125</v>
      </c>
      <c r="D25" s="5">
        <v>15</v>
      </c>
      <c r="E25" s="5">
        <f>SUM(C23:C25)*10</f>
        <v>2800</v>
      </c>
      <c r="F25" s="5">
        <f>SUM(D23:D25)*10</f>
        <v>300</v>
      </c>
      <c r="G25" s="71">
        <f>E25/(E25+F25)</f>
        <v>0.90322580645161288</v>
      </c>
      <c r="H25" s="71">
        <f>F25/(E25+F25)</f>
        <v>9.6774193548387094E-2</v>
      </c>
      <c r="I25" s="1"/>
      <c r="J25" s="1"/>
      <c r="K25" s="1"/>
      <c r="L25" s="1"/>
      <c r="M25" s="1"/>
      <c r="N25" s="1"/>
      <c r="O25" s="1"/>
      <c r="P25" s="56"/>
      <c r="AI25" s="60"/>
      <c r="AJ25" s="1"/>
      <c r="AK25" s="1"/>
      <c r="AM25" s="1"/>
      <c r="AN25" s="1"/>
      <c r="AO25" s="56"/>
    </row>
    <row r="26" spans="1:41" x14ac:dyDescent="0.2">
      <c r="A26" s="60"/>
      <c r="B26" s="23">
        <v>2050</v>
      </c>
      <c r="C26" s="5">
        <v>130</v>
      </c>
      <c r="D26" s="5">
        <v>20</v>
      </c>
      <c r="E26" s="5">
        <f>SUM(C23:C26)*10</f>
        <v>4100</v>
      </c>
      <c r="F26" s="5">
        <f>SUM(D23:D26)*10</f>
        <v>500</v>
      </c>
      <c r="G26" s="71">
        <f>E26/(E26+F26)</f>
        <v>0.89130434782608692</v>
      </c>
      <c r="H26" s="71">
        <f>F26/(E26+F26)</f>
        <v>0.10869565217391304</v>
      </c>
      <c r="I26" s="1"/>
      <c r="J26" s="1"/>
      <c r="K26" s="1"/>
      <c r="L26" s="1"/>
      <c r="M26" s="1"/>
      <c r="N26" s="1"/>
      <c r="O26" s="1"/>
      <c r="P26" s="56"/>
      <c r="AI26" s="60"/>
      <c r="AJ26" s="1"/>
      <c r="AK26" s="1"/>
      <c r="AL26" s="1"/>
      <c r="AM26" s="1"/>
      <c r="AN26" s="1"/>
      <c r="AO26" s="56"/>
    </row>
    <row r="27" spans="1:41" ht="16" customHeight="1" thickBot="1" x14ac:dyDescent="0.25">
      <c r="A27" s="60"/>
      <c r="B27" s="1"/>
      <c r="C27" s="1"/>
      <c r="D27" s="1"/>
      <c r="E27" s="1"/>
      <c r="F27" s="1"/>
      <c r="G27" s="1"/>
      <c r="H27" s="1"/>
      <c r="I27" s="1"/>
      <c r="J27" s="1"/>
      <c r="K27" s="1"/>
      <c r="L27" s="1"/>
      <c r="M27" s="1"/>
      <c r="N27" s="1"/>
      <c r="O27" s="1"/>
      <c r="P27" s="56"/>
      <c r="AI27" s="72"/>
      <c r="AJ27" s="73"/>
      <c r="AK27" s="73"/>
      <c r="AL27" s="73"/>
      <c r="AM27" s="73"/>
      <c r="AN27" s="73"/>
      <c r="AO27" s="74"/>
    </row>
    <row r="28" spans="1:41" x14ac:dyDescent="0.2">
      <c r="A28" s="60"/>
      <c r="B28" s="1"/>
      <c r="C28" s="1"/>
      <c r="D28" s="1"/>
      <c r="E28" s="1"/>
      <c r="F28" s="1"/>
      <c r="G28" s="1"/>
      <c r="H28" s="1"/>
      <c r="I28" s="1"/>
      <c r="J28" s="1"/>
      <c r="K28" s="1"/>
      <c r="L28" s="1"/>
      <c r="M28" s="1"/>
      <c r="N28" s="1"/>
      <c r="O28" s="1"/>
      <c r="P28" s="56"/>
    </row>
    <row r="29" spans="1:41" x14ac:dyDescent="0.2">
      <c r="A29" s="60"/>
      <c r="B29" s="1"/>
      <c r="C29" s="1"/>
      <c r="D29" s="1"/>
      <c r="E29" s="1"/>
      <c r="F29" s="1"/>
      <c r="G29" s="1"/>
      <c r="H29" s="1"/>
      <c r="I29" s="1"/>
      <c r="J29" s="1"/>
      <c r="K29" s="1"/>
      <c r="L29" s="1"/>
      <c r="M29" s="1"/>
      <c r="N29" s="1"/>
      <c r="O29" s="1"/>
      <c r="P29" s="56"/>
    </row>
    <row r="30" spans="1:41" x14ac:dyDescent="0.2">
      <c r="A30" s="60"/>
      <c r="B30" s="1"/>
      <c r="C30" s="1"/>
      <c r="D30" s="1"/>
      <c r="E30" s="1"/>
      <c r="F30" s="1"/>
      <c r="G30" s="1"/>
      <c r="H30" s="1"/>
      <c r="I30" s="1"/>
      <c r="J30" s="1"/>
      <c r="K30" s="1"/>
      <c r="L30" s="1"/>
      <c r="M30" s="1"/>
      <c r="N30" s="1"/>
      <c r="O30" s="1"/>
      <c r="P30" s="56"/>
    </row>
    <row r="31" spans="1:41" x14ac:dyDescent="0.2">
      <c r="A31" s="60"/>
      <c r="B31" s="1"/>
      <c r="C31" s="1"/>
      <c r="D31" s="1"/>
      <c r="E31" s="1"/>
      <c r="F31" s="1"/>
      <c r="G31" s="1"/>
      <c r="H31" s="1"/>
      <c r="I31" s="1"/>
      <c r="J31" s="1"/>
      <c r="K31" s="1"/>
      <c r="L31" s="1"/>
      <c r="M31" s="1"/>
      <c r="N31" s="1"/>
      <c r="O31" s="1"/>
      <c r="P31" s="56"/>
    </row>
    <row r="32" spans="1:41" x14ac:dyDescent="0.2">
      <c r="A32" s="60"/>
      <c r="B32" s="1"/>
      <c r="C32" s="1"/>
      <c r="D32" s="1"/>
      <c r="E32" s="1"/>
      <c r="F32" s="1"/>
      <c r="G32" s="1"/>
      <c r="H32" s="1"/>
      <c r="I32" s="1"/>
      <c r="J32" s="1"/>
      <c r="K32" s="1"/>
      <c r="L32" s="1"/>
      <c r="M32" s="1"/>
      <c r="N32" s="1"/>
      <c r="O32" s="1"/>
      <c r="P32" s="56"/>
    </row>
    <row r="33" spans="1:16" x14ac:dyDescent="0.2">
      <c r="A33" s="60"/>
      <c r="B33" s="1"/>
      <c r="C33" s="1"/>
      <c r="D33" s="1"/>
      <c r="E33" s="1"/>
      <c r="F33" s="1"/>
      <c r="G33" s="1"/>
      <c r="H33" s="1"/>
      <c r="I33" s="1"/>
      <c r="J33" s="1"/>
      <c r="K33" s="1"/>
      <c r="L33" s="1"/>
      <c r="M33" s="1"/>
      <c r="N33" s="1"/>
      <c r="O33" s="1"/>
      <c r="P33" s="56"/>
    </row>
    <row r="34" spans="1:16" x14ac:dyDescent="0.2">
      <c r="A34" s="60"/>
      <c r="B34" s="1"/>
      <c r="C34" s="1"/>
      <c r="D34" s="1"/>
      <c r="E34" s="1"/>
      <c r="F34" s="1"/>
      <c r="G34" s="1"/>
      <c r="H34" s="1"/>
      <c r="I34" s="1"/>
      <c r="J34" s="1"/>
      <c r="K34" s="1"/>
      <c r="L34" s="1"/>
      <c r="M34" s="1"/>
      <c r="N34" s="1"/>
      <c r="O34" s="1"/>
      <c r="P34" s="56"/>
    </row>
    <row r="35" spans="1:16" x14ac:dyDescent="0.2">
      <c r="A35" s="60"/>
      <c r="B35" s="1"/>
      <c r="C35" s="1"/>
      <c r="D35" s="1"/>
      <c r="E35" s="1"/>
      <c r="F35" s="1"/>
      <c r="G35" s="1"/>
      <c r="H35" s="1"/>
      <c r="I35" s="1"/>
      <c r="J35" s="1"/>
      <c r="K35" s="1"/>
      <c r="L35" s="1"/>
      <c r="M35" s="1"/>
      <c r="N35" s="1"/>
      <c r="O35" s="1"/>
      <c r="P35" s="56"/>
    </row>
    <row r="36" spans="1:16" x14ac:dyDescent="0.2">
      <c r="A36" s="60"/>
      <c r="B36" s="1"/>
      <c r="C36" s="1"/>
      <c r="D36" s="1"/>
      <c r="E36" s="1"/>
      <c r="F36" s="1"/>
      <c r="G36" s="1"/>
      <c r="H36" s="1"/>
      <c r="I36" s="1"/>
      <c r="J36" s="1"/>
      <c r="K36" s="1"/>
      <c r="L36" s="1"/>
      <c r="M36" s="1"/>
      <c r="N36" s="1"/>
      <c r="O36" s="1"/>
      <c r="P36" s="56"/>
    </row>
    <row r="37" spans="1:16" x14ac:dyDescent="0.2">
      <c r="A37" s="60"/>
      <c r="B37" s="1"/>
      <c r="C37" s="1"/>
      <c r="D37" s="1"/>
      <c r="E37" s="1"/>
      <c r="F37" s="1"/>
      <c r="G37" s="1"/>
      <c r="H37" s="1"/>
      <c r="I37" s="1"/>
      <c r="J37" s="1"/>
      <c r="K37" s="1"/>
      <c r="L37" s="1"/>
      <c r="M37" s="1"/>
      <c r="N37" s="1"/>
      <c r="O37" s="1"/>
      <c r="P37" s="56"/>
    </row>
    <row r="38" spans="1:16" x14ac:dyDescent="0.2">
      <c r="A38" s="60"/>
      <c r="B38" s="1"/>
      <c r="C38" s="1"/>
      <c r="D38" s="1"/>
      <c r="E38" s="1"/>
      <c r="F38" s="1"/>
      <c r="G38" s="1"/>
      <c r="H38" s="1"/>
      <c r="I38" s="1"/>
      <c r="J38" s="1"/>
      <c r="K38" s="1"/>
      <c r="L38" s="1"/>
      <c r="M38" s="1"/>
      <c r="N38" s="1"/>
      <c r="O38" s="1"/>
      <c r="P38" s="56"/>
    </row>
    <row r="39" spans="1:16" x14ac:dyDescent="0.2">
      <c r="A39" s="60"/>
      <c r="B39" s="1"/>
      <c r="C39" s="1"/>
      <c r="D39" s="1"/>
      <c r="E39" s="1"/>
      <c r="F39" s="1"/>
      <c r="G39" s="1"/>
      <c r="H39" s="1"/>
      <c r="I39" s="1"/>
      <c r="J39" s="1"/>
      <c r="K39" s="1"/>
      <c r="L39" s="1"/>
      <c r="M39" s="1"/>
      <c r="N39" s="1"/>
      <c r="O39" s="1"/>
      <c r="P39" s="56"/>
    </row>
    <row r="40" spans="1:16" x14ac:dyDescent="0.2">
      <c r="A40" s="60"/>
      <c r="B40" s="1"/>
      <c r="C40" s="1"/>
      <c r="D40" s="1"/>
      <c r="E40" s="1"/>
      <c r="F40" s="1"/>
      <c r="G40" s="1"/>
      <c r="H40" s="1"/>
      <c r="I40" s="1"/>
      <c r="J40" s="1"/>
      <c r="K40" s="1"/>
      <c r="L40" s="1"/>
      <c r="M40" s="1"/>
      <c r="N40" s="1"/>
      <c r="O40" s="1"/>
      <c r="P40" s="56"/>
    </row>
    <row r="41" spans="1:16" x14ac:dyDescent="0.2">
      <c r="A41" s="60"/>
      <c r="B41" s="1"/>
      <c r="C41" s="1"/>
      <c r="D41" s="1"/>
      <c r="E41" s="1"/>
      <c r="F41" s="1"/>
      <c r="G41" s="1"/>
      <c r="H41" s="1"/>
      <c r="I41" s="1"/>
      <c r="J41" s="1"/>
      <c r="K41" s="1"/>
      <c r="L41" s="1"/>
      <c r="M41" s="1"/>
      <c r="N41" s="1"/>
      <c r="O41" s="1"/>
      <c r="P41" s="56"/>
    </row>
    <row r="42" spans="1:16" x14ac:dyDescent="0.2">
      <c r="A42" s="60"/>
      <c r="B42" s="1"/>
      <c r="C42" s="1"/>
      <c r="D42" s="1"/>
      <c r="E42" s="1"/>
      <c r="F42" s="1"/>
      <c r="G42" s="1"/>
      <c r="H42" s="1"/>
      <c r="I42" s="1"/>
      <c r="J42" s="1"/>
      <c r="K42" s="1"/>
      <c r="L42" s="1"/>
      <c r="M42" s="1"/>
      <c r="N42" s="1"/>
      <c r="O42" s="1"/>
      <c r="P42" s="56"/>
    </row>
    <row r="43" spans="1:16" x14ac:dyDescent="0.2">
      <c r="A43" s="60"/>
      <c r="B43" s="1"/>
      <c r="C43" s="1"/>
      <c r="D43" s="1"/>
      <c r="E43" s="1"/>
      <c r="F43" s="1"/>
      <c r="G43" s="1"/>
      <c r="H43" s="1"/>
      <c r="I43" s="1"/>
      <c r="J43" s="1"/>
      <c r="K43" s="1"/>
      <c r="L43" s="1"/>
      <c r="M43" s="1"/>
      <c r="N43" s="1"/>
      <c r="O43" s="1"/>
      <c r="P43" s="56"/>
    </row>
    <row r="44" spans="1:16" x14ac:dyDescent="0.2">
      <c r="A44" s="60"/>
      <c r="B44" s="1"/>
      <c r="C44" s="1"/>
      <c r="D44" s="1"/>
      <c r="E44" s="1"/>
      <c r="F44" s="1"/>
      <c r="G44" s="1"/>
      <c r="H44" s="1"/>
      <c r="I44" s="1"/>
      <c r="J44" s="1"/>
      <c r="K44" s="1"/>
      <c r="L44" s="1"/>
      <c r="M44" s="1"/>
      <c r="N44" s="1"/>
      <c r="O44" s="1"/>
      <c r="P44" s="56"/>
    </row>
    <row r="45" spans="1:16" ht="16" customHeight="1" thickBot="1" x14ac:dyDescent="0.25">
      <c r="A45" s="72"/>
      <c r="B45" s="73"/>
      <c r="C45" s="73"/>
      <c r="D45" s="73"/>
      <c r="E45" s="73"/>
      <c r="F45" s="73"/>
      <c r="G45" s="73"/>
      <c r="H45" s="73"/>
      <c r="I45" s="73"/>
      <c r="J45" s="73"/>
      <c r="K45" s="73"/>
      <c r="L45" s="73"/>
      <c r="M45" s="73"/>
      <c r="N45" s="73"/>
      <c r="O45" s="73"/>
      <c r="P45" s="74"/>
    </row>
    <row r="47" spans="1:16" x14ac:dyDescent="0.2">
      <c r="B47" s="31"/>
      <c r="C47" s="31"/>
    </row>
    <row r="48" spans="1:16" x14ac:dyDescent="0.2">
      <c r="A48" s="282" t="s">
        <v>1358</v>
      </c>
      <c r="B48" s="280"/>
      <c r="C48" s="250"/>
    </row>
    <row r="49" spans="1:8" x14ac:dyDescent="0.2">
      <c r="B49" s="31"/>
      <c r="C49" s="31"/>
    </row>
    <row r="50" spans="1:8" x14ac:dyDescent="0.2">
      <c r="A50" s="21" t="s">
        <v>1359</v>
      </c>
      <c r="B50" s="283" t="s">
        <v>1360</v>
      </c>
      <c r="C50" s="280"/>
      <c r="D50" s="280"/>
      <c r="E50" s="280"/>
      <c r="F50" s="280"/>
      <c r="G50" s="280"/>
      <c r="H50" s="250"/>
    </row>
    <row r="51" spans="1:8" x14ac:dyDescent="0.2">
      <c r="A51" s="265" t="s">
        <v>1361</v>
      </c>
      <c r="B51" s="250"/>
      <c r="C51" s="43" t="s">
        <v>1362</v>
      </c>
      <c r="D51" s="35" t="s">
        <v>1363</v>
      </c>
      <c r="E51" s="35" t="s">
        <v>1220</v>
      </c>
      <c r="F51" s="35" t="s">
        <v>1364</v>
      </c>
      <c r="G51" s="35" t="s">
        <v>1365</v>
      </c>
      <c r="H51" s="9" t="s">
        <v>62</v>
      </c>
    </row>
    <row r="52" spans="1:8" x14ac:dyDescent="0.2">
      <c r="A52" s="46" t="s">
        <v>1366</v>
      </c>
      <c r="B52" s="47" t="s">
        <v>1367</v>
      </c>
      <c r="C52" s="36">
        <v>2.25</v>
      </c>
      <c r="D52" s="9">
        <v>3.73</v>
      </c>
      <c r="E52" s="9">
        <v>0.34</v>
      </c>
      <c r="F52" s="9">
        <v>0.81</v>
      </c>
      <c r="G52" s="9">
        <v>2.36</v>
      </c>
      <c r="H52" s="9" t="s">
        <v>1368</v>
      </c>
    </row>
    <row r="53" spans="1:8" x14ac:dyDescent="0.2">
      <c r="A53" s="46" t="s">
        <v>1369</v>
      </c>
      <c r="B53" s="21" t="s">
        <v>1370</v>
      </c>
      <c r="C53" s="36">
        <v>1.33</v>
      </c>
      <c r="D53" s="9">
        <v>2.2000000000000002</v>
      </c>
      <c r="E53" s="9">
        <v>0.24</v>
      </c>
      <c r="F53" s="9">
        <v>0.51</v>
      </c>
      <c r="G53" s="9">
        <v>1.39</v>
      </c>
      <c r="H53" s="9" t="s">
        <v>1368</v>
      </c>
    </row>
    <row r="54" spans="1:8" x14ac:dyDescent="0.2">
      <c r="A54" s="44" t="s">
        <v>1371</v>
      </c>
      <c r="B54" s="47" t="s">
        <v>1367</v>
      </c>
      <c r="C54" s="36">
        <v>1.44</v>
      </c>
      <c r="D54" s="9">
        <v>2.12</v>
      </c>
      <c r="E54" s="9">
        <v>0.2</v>
      </c>
      <c r="F54" s="9">
        <v>0.36</v>
      </c>
      <c r="G54" s="9">
        <v>1.58</v>
      </c>
      <c r="H54" s="9" t="s">
        <v>1368</v>
      </c>
    </row>
    <row r="55" spans="1:8" x14ac:dyDescent="0.2">
      <c r="A55" s="44" t="s">
        <v>1371</v>
      </c>
      <c r="B55" s="21" t="s">
        <v>1370</v>
      </c>
      <c r="C55" s="36">
        <v>0.77</v>
      </c>
      <c r="D55" s="9">
        <v>1.29</v>
      </c>
      <c r="E55" s="9">
        <v>0.15</v>
      </c>
      <c r="F55" s="9">
        <v>0.23</v>
      </c>
      <c r="G55" s="9">
        <v>0.85</v>
      </c>
      <c r="H55" s="9" t="s">
        <v>1368</v>
      </c>
    </row>
    <row r="56" spans="1:8" x14ac:dyDescent="0.2">
      <c r="C56" s="31"/>
    </row>
    <row r="57" spans="1:8" x14ac:dyDescent="0.2">
      <c r="A57" s="265" t="s">
        <v>1372</v>
      </c>
      <c r="B57" s="280"/>
      <c r="C57" s="250"/>
    </row>
    <row r="58" spans="1:8" x14ac:dyDescent="0.2">
      <c r="A58" s="9" t="s">
        <v>1373</v>
      </c>
      <c r="B58" s="9">
        <f>1*10^6</f>
        <v>1000000</v>
      </c>
      <c r="C58" s="36" t="s">
        <v>1374</v>
      </c>
    </row>
    <row r="59" spans="1:8" x14ac:dyDescent="0.2">
      <c r="A59" s="9" t="s">
        <v>1375</v>
      </c>
      <c r="B59" s="9">
        <f>365.25*24</f>
        <v>8766</v>
      </c>
      <c r="C59" s="36" t="s">
        <v>1376</v>
      </c>
    </row>
    <row r="60" spans="1:8" x14ac:dyDescent="0.2">
      <c r="A60" s="9" t="s">
        <v>1377</v>
      </c>
      <c r="B60" s="9">
        <v>0.45</v>
      </c>
      <c r="C60" s="36" t="s">
        <v>1378</v>
      </c>
    </row>
    <row r="61" spans="1:8" x14ac:dyDescent="0.2">
      <c r="C61" s="31"/>
    </row>
    <row r="62" spans="1:8" x14ac:dyDescent="0.2">
      <c r="A62" s="25" t="s">
        <v>1379</v>
      </c>
      <c r="C62" s="31"/>
    </row>
    <row r="63" spans="1:8" x14ac:dyDescent="0.2">
      <c r="A63" s="265" t="s">
        <v>1380</v>
      </c>
      <c r="B63" s="250"/>
      <c r="C63" s="43" t="s">
        <v>1381</v>
      </c>
      <c r="D63" s="35" t="s">
        <v>1382</v>
      </c>
      <c r="E63" s="265" t="s">
        <v>1383</v>
      </c>
      <c r="F63" s="250"/>
      <c r="G63" s="35" t="s">
        <v>1384</v>
      </c>
      <c r="H63" s="289" t="s">
        <v>62</v>
      </c>
    </row>
    <row r="64" spans="1:8" x14ac:dyDescent="0.2">
      <c r="A64" s="265" t="s">
        <v>1385</v>
      </c>
      <c r="B64" s="250"/>
      <c r="C64" s="43" t="s">
        <v>1362</v>
      </c>
      <c r="D64" s="35" t="s">
        <v>1363</v>
      </c>
      <c r="E64" s="35" t="s">
        <v>1220</v>
      </c>
      <c r="F64" s="35" t="s">
        <v>1364</v>
      </c>
      <c r="G64" s="35" t="s">
        <v>1365</v>
      </c>
      <c r="H64" s="248"/>
    </row>
    <row r="65" spans="1:8" x14ac:dyDescent="0.2">
      <c r="A65" s="46" t="s">
        <v>1366</v>
      </c>
      <c r="B65" s="47" t="s">
        <v>1367</v>
      </c>
      <c r="C65" s="51">
        <f t="shared" ref="C65:G68" si="1">C52*$B$58/($B$59*$B$60)</f>
        <v>570.38558065252107</v>
      </c>
      <c r="D65" s="45">
        <f t="shared" si="1"/>
        <v>945.57254037062376</v>
      </c>
      <c r="E65" s="45">
        <f t="shared" si="1"/>
        <v>86.191598854158741</v>
      </c>
      <c r="F65" s="45">
        <f t="shared" si="1"/>
        <v>205.33880903490757</v>
      </c>
      <c r="G65" s="45">
        <f t="shared" si="1"/>
        <v>598.27109792886654</v>
      </c>
      <c r="H65" s="5" t="s">
        <v>1386</v>
      </c>
    </row>
    <row r="66" spans="1:8" x14ac:dyDescent="0.2">
      <c r="A66" s="46" t="s">
        <v>1369</v>
      </c>
      <c r="B66" s="21" t="s">
        <v>1370</v>
      </c>
      <c r="C66" s="51">
        <f t="shared" si="1"/>
        <v>337.16125434126803</v>
      </c>
      <c r="D66" s="45">
        <f t="shared" si="1"/>
        <v>557.71034552690946</v>
      </c>
      <c r="E66" s="45">
        <f t="shared" si="1"/>
        <v>60.841128602935584</v>
      </c>
      <c r="F66" s="45">
        <f t="shared" si="1"/>
        <v>129.2873982812381</v>
      </c>
      <c r="G66" s="45">
        <f t="shared" si="1"/>
        <v>352.37153649200189</v>
      </c>
      <c r="H66" s="5" t="s">
        <v>1386</v>
      </c>
    </row>
    <row r="67" spans="1:8" x14ac:dyDescent="0.2">
      <c r="A67" s="44" t="s">
        <v>1371</v>
      </c>
      <c r="B67" s="47" t="s">
        <v>1367</v>
      </c>
      <c r="C67" s="51">
        <f t="shared" si="1"/>
        <v>365.0467716176135</v>
      </c>
      <c r="D67" s="45">
        <f t="shared" si="1"/>
        <v>537.42996932593098</v>
      </c>
      <c r="E67" s="45">
        <f t="shared" si="1"/>
        <v>50.700940502446315</v>
      </c>
      <c r="F67" s="45">
        <f t="shared" si="1"/>
        <v>91.261692904403375</v>
      </c>
      <c r="G67" s="45">
        <f t="shared" si="1"/>
        <v>400.5374299693259</v>
      </c>
      <c r="H67" s="5" t="s">
        <v>1386</v>
      </c>
    </row>
    <row r="68" spans="1:8" x14ac:dyDescent="0.2">
      <c r="A68" s="44" t="s">
        <v>1371</v>
      </c>
      <c r="B68" s="21" t="s">
        <v>1370</v>
      </c>
      <c r="C68" s="51">
        <f t="shared" si="1"/>
        <v>195.19862093441833</v>
      </c>
      <c r="D68" s="45">
        <f t="shared" si="1"/>
        <v>327.02106624077874</v>
      </c>
      <c r="E68" s="45">
        <f t="shared" si="1"/>
        <v>38.025705376834736</v>
      </c>
      <c r="F68" s="45">
        <f t="shared" si="1"/>
        <v>58.306081577813266</v>
      </c>
      <c r="G68" s="45">
        <f t="shared" si="1"/>
        <v>215.47899713539684</v>
      </c>
      <c r="H68" s="5" t="s">
        <v>1386</v>
      </c>
    </row>
    <row r="69" spans="1:8" x14ac:dyDescent="0.2">
      <c r="A69" s="55"/>
      <c r="B69" s="55"/>
      <c r="C69" s="55"/>
      <c r="D69" s="55"/>
      <c r="E69" s="55"/>
      <c r="F69" s="55"/>
      <c r="G69" s="55"/>
      <c r="H69" s="1"/>
    </row>
    <row r="70" spans="1:8" x14ac:dyDescent="0.2">
      <c r="A70" s="55"/>
      <c r="B70" s="55"/>
      <c r="C70" s="55"/>
      <c r="D70" s="55"/>
      <c r="E70" s="55"/>
      <c r="F70" s="55"/>
      <c r="G70" s="55"/>
      <c r="H70" s="1"/>
    </row>
    <row r="71" spans="1:8" x14ac:dyDescent="0.2">
      <c r="A71" s="282" t="s">
        <v>1387</v>
      </c>
      <c r="B71" s="280"/>
      <c r="C71" s="250"/>
    </row>
    <row r="72" spans="1:8" x14ac:dyDescent="0.2">
      <c r="B72" s="31"/>
      <c r="C72" s="31"/>
    </row>
    <row r="73" spans="1:8" x14ac:dyDescent="0.2">
      <c r="A73" s="21" t="s">
        <v>1388</v>
      </c>
      <c r="B73" s="35" t="s">
        <v>1389</v>
      </c>
      <c r="C73" s="43" t="s">
        <v>1390</v>
      </c>
      <c r="D73" s="34"/>
    </row>
    <row r="74" spans="1:8" x14ac:dyDescent="0.2">
      <c r="A74" s="50" t="s">
        <v>1391</v>
      </c>
      <c r="B74" s="35">
        <v>2020</v>
      </c>
      <c r="C74" s="43">
        <v>2050</v>
      </c>
      <c r="D74" s="35" t="s">
        <v>62</v>
      </c>
    </row>
    <row r="75" spans="1:8" x14ac:dyDescent="0.2">
      <c r="A75" s="25" t="s">
        <v>1392</v>
      </c>
      <c r="B75" s="45">
        <v>57.5</v>
      </c>
      <c r="C75" s="51">
        <v>63.7</v>
      </c>
      <c r="D75" s="9" t="s">
        <v>1393</v>
      </c>
    </row>
    <row r="76" spans="1:8" x14ac:dyDescent="0.2">
      <c r="A76" s="25" t="s">
        <v>1394</v>
      </c>
      <c r="B76" s="45">
        <v>57.5</v>
      </c>
      <c r="C76" s="51">
        <v>312.7</v>
      </c>
      <c r="D76" s="9" t="s">
        <v>1393</v>
      </c>
    </row>
    <row r="77" spans="1:8" x14ac:dyDescent="0.2">
      <c r="A77" s="25" t="s">
        <v>1395</v>
      </c>
      <c r="B77" s="45">
        <v>57.5</v>
      </c>
      <c r="C77" s="51">
        <v>1191.5</v>
      </c>
      <c r="D77" s="9" t="s">
        <v>1393</v>
      </c>
    </row>
    <row r="78" spans="1:8" x14ac:dyDescent="0.2">
      <c r="C78" s="31"/>
    </row>
    <row r="79" spans="1:8" x14ac:dyDescent="0.2">
      <c r="A79" s="265" t="s">
        <v>1372</v>
      </c>
      <c r="B79" s="280"/>
      <c r="C79" s="250"/>
    </row>
    <row r="80" spans="1:8" x14ac:dyDescent="0.2">
      <c r="A80" s="9" t="s">
        <v>1375</v>
      </c>
      <c r="B80" s="9">
        <f>365.25*24*3600</f>
        <v>31557600</v>
      </c>
      <c r="C80" s="36" t="s">
        <v>1396</v>
      </c>
    </row>
    <row r="81" spans="1:6" x14ac:dyDescent="0.2">
      <c r="A81" s="9" t="s">
        <v>1397</v>
      </c>
      <c r="B81" s="48">
        <f>10^9</f>
        <v>1000000000</v>
      </c>
      <c r="C81" s="36" t="s">
        <v>1386</v>
      </c>
    </row>
    <row r="82" spans="1:6" x14ac:dyDescent="0.2">
      <c r="A82" s="9" t="s">
        <v>1377</v>
      </c>
      <c r="B82" s="9">
        <v>0.8</v>
      </c>
      <c r="C82" s="36" t="s">
        <v>1378</v>
      </c>
    </row>
    <row r="83" spans="1:6" x14ac:dyDescent="0.2">
      <c r="C83" s="31"/>
    </row>
    <row r="84" spans="1:6" x14ac:dyDescent="0.2">
      <c r="A84" s="272" t="s">
        <v>1398</v>
      </c>
      <c r="B84" s="35" t="s">
        <v>1389</v>
      </c>
      <c r="C84" s="43" t="s">
        <v>1350</v>
      </c>
      <c r="D84" s="35" t="s">
        <v>1350</v>
      </c>
      <c r="E84" s="35" t="s">
        <v>1390</v>
      </c>
      <c r="F84" s="34"/>
    </row>
    <row r="85" spans="1:6" x14ac:dyDescent="0.2">
      <c r="A85" s="261"/>
      <c r="B85" s="35">
        <v>2020</v>
      </c>
      <c r="C85" s="43">
        <v>2030</v>
      </c>
      <c r="D85" s="35">
        <v>2040</v>
      </c>
      <c r="E85" s="35">
        <v>2050</v>
      </c>
      <c r="F85" s="35" t="s">
        <v>62</v>
      </c>
    </row>
    <row r="86" spans="1:6" x14ac:dyDescent="0.2">
      <c r="A86" s="25" t="s">
        <v>1392</v>
      </c>
      <c r="B86" s="7">
        <f>B75*$B$81/($B$80*$B$82)</f>
        <v>2277.5813116333306</v>
      </c>
      <c r="C86" s="52">
        <f t="shared" ref="C86:D88" si="2">$B86+($E86-$B86)/($E$85-$B$85)*(C$85-$B$85)</f>
        <v>2359.4422051529054</v>
      </c>
      <c r="D86" s="49">
        <f t="shared" si="2"/>
        <v>2441.3030986724802</v>
      </c>
      <c r="E86" s="7">
        <f>C75*$B$81/($B$80*$B$82)</f>
        <v>2523.163992192055</v>
      </c>
      <c r="F86" s="9" t="s">
        <v>1386</v>
      </c>
    </row>
    <row r="87" spans="1:6" x14ac:dyDescent="0.2">
      <c r="A87" s="25" t="s">
        <v>1394</v>
      </c>
      <c r="B87" s="7">
        <f>B76*$B$81/($B$80*$B$82)</f>
        <v>2277.5813116333306</v>
      </c>
      <c r="C87" s="52">
        <f t="shared" si="2"/>
        <v>5647.0813158584097</v>
      </c>
      <c r="D87" s="49">
        <f t="shared" si="2"/>
        <v>9016.5813200834891</v>
      </c>
      <c r="E87" s="7">
        <f>C76*$B$81/($B$80*$B$82)</f>
        <v>12386.081324308567</v>
      </c>
      <c r="F87" s="9" t="s">
        <v>1386</v>
      </c>
    </row>
    <row r="88" spans="1:6" x14ac:dyDescent="0.2">
      <c r="A88" s="25" t="s">
        <v>1395</v>
      </c>
      <c r="B88" s="7">
        <f>B77*$B$81/($B$80*$B$82)</f>
        <v>2277.5813116333306</v>
      </c>
      <c r="C88" s="52">
        <f t="shared" si="2"/>
        <v>17250.202803762008</v>
      </c>
      <c r="D88" s="49">
        <f t="shared" si="2"/>
        <v>32222.824295890685</v>
      </c>
      <c r="E88" s="7">
        <f>C77*$B$81/($B$80*$B$82)</f>
        <v>47195.445788019366</v>
      </c>
      <c r="F88" s="9" t="s">
        <v>1386</v>
      </c>
    </row>
    <row r="89" spans="1:6" x14ac:dyDescent="0.2">
      <c r="C89" s="31"/>
    </row>
  </sheetData>
  <mergeCells count="25">
    <mergeCell ref="A1:C1"/>
    <mergeCell ref="A79:C79"/>
    <mergeCell ref="A63:B63"/>
    <mergeCell ref="C12:F12"/>
    <mergeCell ref="A3:P3"/>
    <mergeCell ref="C20:H20"/>
    <mergeCell ref="H63:H64"/>
    <mergeCell ref="E21:F2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84:A85"/>
    <mergeCell ref="R3:AG3"/>
    <mergeCell ref="A51:B51"/>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4" t="s">
        <v>1399</v>
      </c>
      <c r="B1" s="111" t="s">
        <v>59</v>
      </c>
      <c r="C1" s="111" t="s">
        <v>60</v>
      </c>
      <c r="D1" s="102" t="s">
        <v>167</v>
      </c>
      <c r="E1" s="108" t="s">
        <v>62</v>
      </c>
    </row>
    <row r="2" spans="1:51" x14ac:dyDescent="0.2">
      <c r="A2" s="92" t="s">
        <v>64</v>
      </c>
      <c r="B2" s="9">
        <f>0.6*B6+0.4*C6</f>
        <v>1.4</v>
      </c>
      <c r="C2" s="9">
        <f>0.6*D6+0.4*E6</f>
        <v>7</v>
      </c>
      <c r="D2" s="9">
        <f>0.6*F6+0.4*G6</f>
        <v>28</v>
      </c>
      <c r="E2" s="9" t="s">
        <v>65</v>
      </c>
    </row>
    <row r="3" spans="1:51" x14ac:dyDescent="0.2">
      <c r="A3" s="92" t="s">
        <v>1400</v>
      </c>
      <c r="B3" s="9">
        <f>0.6*B7+0.4*C7</f>
        <v>50</v>
      </c>
      <c r="C3" s="9">
        <f>0.6*D7+0.4*E7</f>
        <v>68</v>
      </c>
      <c r="D3" s="9">
        <f>0.6*F7+0.4*G7</f>
        <v>72</v>
      </c>
      <c r="E3" s="9" t="s">
        <v>1401</v>
      </c>
    </row>
    <row r="5" spans="1:51" x14ac:dyDescent="0.2">
      <c r="A5" s="28" t="s">
        <v>1402</v>
      </c>
      <c r="B5" s="87" t="s">
        <v>1403</v>
      </c>
      <c r="C5" s="87" t="s">
        <v>1404</v>
      </c>
      <c r="D5" s="92" t="s">
        <v>1405</v>
      </c>
      <c r="E5" s="92" t="s">
        <v>1406</v>
      </c>
      <c r="F5" s="92" t="s">
        <v>1407</v>
      </c>
      <c r="G5" s="92" t="s">
        <v>1408</v>
      </c>
      <c r="H5" s="92" t="s">
        <v>63</v>
      </c>
    </row>
    <row r="6" spans="1:51" x14ac:dyDescent="0.2">
      <c r="A6" s="23" t="s">
        <v>1409</v>
      </c>
      <c r="B6" s="9">
        <v>1</v>
      </c>
      <c r="C6" s="9">
        <v>2</v>
      </c>
      <c r="D6" s="9">
        <v>5</v>
      </c>
      <c r="E6" s="9">
        <v>10</v>
      </c>
      <c r="F6" s="9">
        <v>20</v>
      </c>
      <c r="G6" s="9">
        <v>40</v>
      </c>
      <c r="H6" s="9" t="s">
        <v>208</v>
      </c>
    </row>
    <row r="7" spans="1:51" x14ac:dyDescent="0.2">
      <c r="A7" s="23" t="s">
        <v>1410</v>
      </c>
      <c r="B7" s="9">
        <v>50</v>
      </c>
      <c r="C7" s="9">
        <v>50</v>
      </c>
      <c r="D7" s="9">
        <v>60</v>
      </c>
      <c r="E7" s="9">
        <v>80</v>
      </c>
      <c r="F7" s="9">
        <v>60</v>
      </c>
      <c r="G7" s="9">
        <v>90</v>
      </c>
      <c r="H7" s="9" t="s">
        <v>208</v>
      </c>
    </row>
    <row r="9" spans="1:51" x14ac:dyDescent="0.2">
      <c r="A9" s="25" t="s">
        <v>1</v>
      </c>
      <c r="B9" s="9" t="s">
        <v>1411</v>
      </c>
    </row>
    <row r="10" spans="1:51" x14ac:dyDescent="0.2">
      <c r="A10" s="25" t="s">
        <v>60</v>
      </c>
      <c r="B10" s="9" t="s">
        <v>1412</v>
      </c>
    </row>
    <row r="11" spans="1:51" x14ac:dyDescent="0.2">
      <c r="A11" s="25" t="s">
        <v>61</v>
      </c>
      <c r="B11" s="9" t="s">
        <v>1413</v>
      </c>
    </row>
    <row r="13" spans="1:51" x14ac:dyDescent="0.2">
      <c r="A13" s="22" t="s">
        <v>1414</v>
      </c>
    </row>
    <row r="14" spans="1:51" x14ac:dyDescent="0.2">
      <c r="A14" s="92" t="s">
        <v>1415</v>
      </c>
      <c r="B14" s="92" t="s">
        <v>213</v>
      </c>
      <c r="C14" s="92" t="s">
        <v>1217</v>
      </c>
      <c r="D14" s="92" t="s">
        <v>1416</v>
      </c>
      <c r="E14" s="92" t="s">
        <v>62</v>
      </c>
      <c r="F14" s="92">
        <v>2005</v>
      </c>
      <c r="G14" s="92">
        <v>2006</v>
      </c>
      <c r="H14" s="92">
        <v>2007</v>
      </c>
      <c r="I14" s="92">
        <v>2008</v>
      </c>
      <c r="J14" s="92">
        <v>2009</v>
      </c>
      <c r="K14" s="92">
        <v>2010</v>
      </c>
      <c r="L14" s="92">
        <v>2011</v>
      </c>
      <c r="M14" s="92">
        <v>2012</v>
      </c>
      <c r="N14" s="92">
        <v>2013</v>
      </c>
      <c r="O14" s="92">
        <v>2014</v>
      </c>
      <c r="P14" s="92">
        <v>2015</v>
      </c>
      <c r="Q14" s="92">
        <v>2016</v>
      </c>
      <c r="R14" s="92">
        <v>2017</v>
      </c>
      <c r="S14" s="92">
        <v>2018</v>
      </c>
      <c r="T14" s="92">
        <v>2019</v>
      </c>
      <c r="U14" s="92">
        <v>2020</v>
      </c>
      <c r="V14" s="92">
        <v>2021</v>
      </c>
      <c r="W14" s="92">
        <v>2022</v>
      </c>
      <c r="X14" s="92">
        <v>2023</v>
      </c>
      <c r="Y14" s="92">
        <v>2024</v>
      </c>
      <c r="Z14" s="92">
        <v>2025</v>
      </c>
      <c r="AA14" s="92">
        <v>2026</v>
      </c>
      <c r="AB14" s="92">
        <v>2027</v>
      </c>
      <c r="AC14" s="92">
        <v>2028</v>
      </c>
      <c r="AD14" s="92">
        <v>2029</v>
      </c>
      <c r="AE14" s="92">
        <v>2030</v>
      </c>
      <c r="AF14" s="92">
        <v>2031</v>
      </c>
      <c r="AG14" s="92">
        <v>2032</v>
      </c>
      <c r="AH14" s="92">
        <v>2033</v>
      </c>
      <c r="AI14" s="92">
        <v>2034</v>
      </c>
      <c r="AJ14" s="92">
        <v>2035</v>
      </c>
      <c r="AK14" s="92">
        <v>2036</v>
      </c>
      <c r="AL14" s="92">
        <v>2037</v>
      </c>
      <c r="AM14" s="92">
        <v>2038</v>
      </c>
      <c r="AN14" s="92">
        <v>2039</v>
      </c>
      <c r="AO14" s="92">
        <v>2040</v>
      </c>
      <c r="AP14" s="92">
        <v>2041</v>
      </c>
      <c r="AQ14" s="92">
        <v>2042</v>
      </c>
      <c r="AR14" s="92">
        <v>2043</v>
      </c>
      <c r="AS14" s="92">
        <v>2044</v>
      </c>
      <c r="AT14" s="92">
        <v>2045</v>
      </c>
      <c r="AU14" s="92">
        <v>2046</v>
      </c>
      <c r="AV14" s="92">
        <v>2047</v>
      </c>
      <c r="AW14" s="92">
        <v>2048</v>
      </c>
      <c r="AX14" s="92">
        <v>2049</v>
      </c>
      <c r="AY14" s="92">
        <v>2050</v>
      </c>
    </row>
    <row r="15" spans="1:51" x14ac:dyDescent="0.2">
      <c r="A15" t="s">
        <v>1417</v>
      </c>
      <c r="B15" t="s">
        <v>1418</v>
      </c>
      <c r="C15" t="s">
        <v>1218</v>
      </c>
      <c r="D15" t="s">
        <v>1419</v>
      </c>
      <c r="E15" t="s">
        <v>1420</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1417</v>
      </c>
      <c r="B16" t="s">
        <v>1418</v>
      </c>
      <c r="C16" t="s">
        <v>1218</v>
      </c>
      <c r="D16" t="s">
        <v>1421</v>
      </c>
      <c r="E16" t="s">
        <v>1420</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1417</v>
      </c>
      <c r="B17" t="s">
        <v>1418</v>
      </c>
      <c r="C17" t="s">
        <v>1218</v>
      </c>
      <c r="D17" t="s">
        <v>1422</v>
      </c>
      <c r="E17" t="s">
        <v>1423</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1424</v>
      </c>
      <c r="B18" t="s">
        <v>1425</v>
      </c>
      <c r="C18" t="s">
        <v>1218</v>
      </c>
      <c r="D18" t="s">
        <v>1419</v>
      </c>
      <c r="E18" t="s">
        <v>1420</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1424</v>
      </c>
      <c r="B19" t="s">
        <v>1425</v>
      </c>
      <c r="C19" t="s">
        <v>1218</v>
      </c>
      <c r="D19" t="s">
        <v>1421</v>
      </c>
      <c r="E19" t="s">
        <v>1420</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1426</v>
      </c>
      <c r="B20" t="s">
        <v>1425</v>
      </c>
      <c r="C20" t="s">
        <v>1218</v>
      </c>
      <c r="D20" t="s">
        <v>1422</v>
      </c>
      <c r="E20" t="s">
        <v>1423</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12"/>
    </row>
    <row r="24" spans="1:51" x14ac:dyDescent="0.2">
      <c r="B24" s="113"/>
    </row>
    <row r="25" spans="1:51" x14ac:dyDescent="0.2">
      <c r="B25" s="113"/>
    </row>
    <row r="32" spans="1:51" ht="11.5" customHeight="1"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V81"/>
  <sheetViews>
    <sheetView topLeftCell="K50" zoomScale="120" zoomScaleNormal="120" workbookViewId="0">
      <selection activeCell="X73" sqref="X7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149</v>
      </c>
      <c r="B1" s="22" t="s">
        <v>150</v>
      </c>
      <c r="C1" s="22" t="s">
        <v>1427</v>
      </c>
      <c r="D1" s="22" t="s">
        <v>1428</v>
      </c>
      <c r="E1" s="22" t="s">
        <v>1341</v>
      </c>
      <c r="F1" s="22" t="s">
        <v>1342</v>
      </c>
      <c r="G1" s="22" t="s">
        <v>1429</v>
      </c>
      <c r="H1" s="22" t="s">
        <v>129</v>
      </c>
      <c r="I1" s="22" t="s">
        <v>130</v>
      </c>
      <c r="J1" s="22" t="s">
        <v>131</v>
      </c>
      <c r="K1" s="22" t="s">
        <v>132</v>
      </c>
      <c r="L1" s="22" t="s">
        <v>1056</v>
      </c>
      <c r="M1" s="22" t="s">
        <v>136</v>
      </c>
      <c r="N1" s="22" t="s">
        <v>137</v>
      </c>
      <c r="O1" s="22" t="s">
        <v>138</v>
      </c>
      <c r="P1" s="22" t="s">
        <v>139</v>
      </c>
      <c r="Q1" s="22" t="s">
        <v>140</v>
      </c>
      <c r="R1" s="22" t="s">
        <v>141</v>
      </c>
      <c r="S1" s="22" t="s">
        <v>142</v>
      </c>
      <c r="T1" s="22" t="s">
        <v>144</v>
      </c>
      <c r="U1" s="22" t="s">
        <v>145</v>
      </c>
      <c r="V1" s="22" t="s">
        <v>143</v>
      </c>
    </row>
    <row r="2" spans="1:22" x14ac:dyDescent="0.2">
      <c r="A2" s="9">
        <v>2010</v>
      </c>
      <c r="B2" s="9" t="s">
        <v>151</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152</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153</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154</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155</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156</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157</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158</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159</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160</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162</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161</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163</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151</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152</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153</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154</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155</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156</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157</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158</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159</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160</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162</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161</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163</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151</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152</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153</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154</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155</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156</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157</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158</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159</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160</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162</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161</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163</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151</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152</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153</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154</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155</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156</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157</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158</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159</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160</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162</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161</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163</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151</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152</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153</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154</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155</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156</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157</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158</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159</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160</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162</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161</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163</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164</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164</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164</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164</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164</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165</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165</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165</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165</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165</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166</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166</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166</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166</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166</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Materials</vt:lpstr>
      <vt:lpstr>MI_Energy</vt:lpstr>
      <vt:lpstr>MS_Energy_Disag</vt:lpstr>
      <vt:lpstr>MI_Vehicles</vt:lpstr>
      <vt:lpstr>MI_Vehicles_Bieuville</vt:lpstr>
      <vt:lpstr>MI_Vehicles_Bieuville_Clean</vt:lpstr>
      <vt:lpstr>MS_Battery_Motor_LDV</vt:lpstr>
      <vt:lpstr>MI_Vehicles_Public</vt:lpstr>
      <vt:lpstr>MI_H2</vt:lpstr>
      <vt:lpstr>Mapping</vt:lpstr>
      <vt:lpstr>Overrides</vt:lpstr>
      <vt:lpstr>Legend</vt:lpstr>
      <vt:lpstr>MI</vt:lpstr>
      <vt:lpstr>Battery_Capacity</vt:lpstr>
      <vt:lpstr>Ref&amp;Hp</vt:lpstr>
      <vt:lpstr>Power_Source_calcul</vt:lpstr>
      <vt:lpstr>EV_Calcul</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2026-07-28T20:31:09Z</dcterms:modified>
</cp:coreProperties>
</file>