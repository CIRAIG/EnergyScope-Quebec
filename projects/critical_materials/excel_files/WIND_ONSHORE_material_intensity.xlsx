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t_Shares" sheetId="1" state="visible" r:id="rId3"/>
    <sheet name="SubTech_Intensities" sheetId="2" state="visible" r:id="rId4"/>
    <sheet name="WIND_ONSHORE_Weighte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<sst xmlns="http://schemas.openxmlformats.org/spreadsheetml/2006/main" count="105" uniqueCount="53">
  <si>
    <t xml:space="preserve">Raw IAM decade data</t>
  </si>
  <si>
    <t xml:space="preserve">Decade</t>
  </si>
  <si>
    <t xml:space="preserve">DD-EESG</t>
  </si>
  <si>
    <t xml:space="preserve">GB-DFIG_SCIG</t>
  </si>
  <si>
    <t xml:space="preserve">DD-PMSG</t>
  </si>
  <si>
    <t xml:space="preserve">GB-PMSG</t>
  </si>
  <si>
    <t xml:space="preserve">Interpolated shares by model year (2025/2035/2045 = linear avg of bounding decades)</t>
  </si>
  <si>
    <t xml:space="preserve">Year</t>
  </si>
  <si>
    <t xml:space="preserve">YEAR_2020</t>
  </si>
  <si>
    <t xml:space="preserve">YEAR_2025</t>
  </si>
  <si>
    <t xml:space="preserve">YEAR_2030</t>
  </si>
  <si>
    <t xml:space="preserve">YEAR_2035</t>
  </si>
  <si>
    <t xml:space="preserve">YEAR_2040</t>
  </si>
  <si>
    <t xml:space="preserve">YEAR_2045</t>
  </si>
  <si>
    <t xml:space="preserve">YEAR_2050</t>
  </si>
  <si>
    <t xml:space="preserve">Material</t>
  </si>
  <si>
    <t xml:space="preserve">Aluminum</t>
  </si>
  <si>
    <t xml:space="preserve">Boron</t>
  </si>
  <si>
    <t xml:space="preserve">Cadmium</t>
  </si>
  <si>
    <t xml:space="preserve">Chromium</t>
  </si>
  <si>
    <t xml:space="preserve">Cobalt</t>
  </si>
  <si>
    <t xml:space="preserve">Concrete</t>
  </si>
  <si>
    <t xml:space="preserve">Copper</t>
  </si>
  <si>
    <t xml:space="preserve">Dysprosium</t>
  </si>
  <si>
    <t xml:space="preserve">Gallium</t>
  </si>
  <si>
    <t xml:space="preserve">Germanium</t>
  </si>
  <si>
    <t xml:space="preserve">Glass</t>
  </si>
  <si>
    <t xml:space="preserve">Hafnium</t>
  </si>
  <si>
    <t xml:space="preserve">Indium</t>
  </si>
  <si>
    <t xml:space="preserve">Iron</t>
  </si>
  <si>
    <t xml:space="preserve">Lead</t>
  </si>
  <si>
    <t xml:space="preserve">Lithium</t>
  </si>
  <si>
    <t xml:space="preserve">Magnesium</t>
  </si>
  <si>
    <t xml:space="preserve">Manganese</t>
  </si>
  <si>
    <t xml:space="preserve">Molybdenum</t>
  </si>
  <si>
    <t xml:space="preserve">Neodymium</t>
  </si>
  <si>
    <t xml:space="preserve">Nickel</t>
  </si>
  <si>
    <t xml:space="preserve">Niobium</t>
  </si>
  <si>
    <t xml:space="preserve">Polymers</t>
  </si>
  <si>
    <t xml:space="preserve">Praesodymium</t>
  </si>
  <si>
    <t xml:space="preserve">Selenium</t>
  </si>
  <si>
    <t xml:space="preserve">Silicon</t>
  </si>
  <si>
    <t xml:space="preserve">Silver</t>
  </si>
  <si>
    <t xml:space="preserve">Tantalum</t>
  </si>
  <si>
    <t xml:space="preserve">Tellurium</t>
  </si>
  <si>
    <t xml:space="preserve">Terbium</t>
  </si>
  <si>
    <t xml:space="preserve">Tin</t>
  </si>
  <si>
    <t xml:space="preserve">Tungsten</t>
  </si>
  <si>
    <t xml:space="preserve">Vanadium</t>
  </si>
  <si>
    <t xml:space="preserve">Yttrium</t>
  </si>
  <si>
    <t xml:space="preserve">Zinc</t>
  </si>
  <si>
    <t xml:space="preserve">Zirconium</t>
  </si>
  <si>
    <t xml:space="preserve">WIND_ONSHORE — weighted material intensity by year (market-share blended)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</si>
</sst>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customFormat="false" ht="15" hidden="false" customHeight="false" outlineLevel="0" collapsed="false">
      <c r="A3" s="0" t="n">
        <v>2010</v>
      </c>
      <c r="B3" s="0" t="n">
        <v>0.06031746</v>
      </c>
      <c r="C3" s="0" t="n">
        <v>0.603174603</v>
      </c>
      <c r="D3" s="0" t="n">
        <v>0.188888889</v>
      </c>
      <c r="E3" s="0" t="n">
        <v>0.147619048</v>
      </c>
    </row>
    <row r="4" customFormat="false" ht="15" hidden="false" customHeight="false" outlineLevel="0" collapsed="false">
      <c r="A4" s="0" t="n">
        <v>2020</v>
      </c>
      <c r="B4" s="0" t="n">
        <v>0.06031746</v>
      </c>
      <c r="C4" s="0" t="n">
        <v>0.603174603</v>
      </c>
      <c r="D4" s="0" t="n">
        <v>0.188888889</v>
      </c>
      <c r="E4" s="0" t="n">
        <v>0.147619048</v>
      </c>
    </row>
    <row r="5" customFormat="false" ht="15" hidden="false" customHeight="false" outlineLevel="0" collapsed="false">
      <c r="A5" s="0" t="n">
        <v>2030</v>
      </c>
      <c r="B5" s="0" t="n">
        <v>0.023809524</v>
      </c>
      <c r="C5" s="0" t="n">
        <v>0.598412698</v>
      </c>
      <c r="D5" s="0" t="n">
        <v>0.206349206</v>
      </c>
      <c r="E5" s="0" t="n">
        <v>0.171428571</v>
      </c>
    </row>
    <row r="6" customFormat="false" ht="15" hidden="false" customHeight="false" outlineLevel="0" collapsed="false">
      <c r="A6" s="0" t="n">
        <v>2040</v>
      </c>
      <c r="B6" s="0" t="n">
        <v>0.014285714</v>
      </c>
      <c r="C6" s="0" t="n">
        <v>0.553968254</v>
      </c>
      <c r="D6" s="0" t="n">
        <v>0.234920635</v>
      </c>
      <c r="E6" s="0" t="n">
        <v>0.196825397</v>
      </c>
    </row>
    <row r="7" customFormat="false" ht="15" hidden="false" customHeight="false" outlineLevel="0" collapsed="false">
      <c r="A7" s="0" t="n">
        <v>2050</v>
      </c>
      <c r="B7" s="0" t="n">
        <v>0</v>
      </c>
      <c r="C7" s="0" t="n">
        <v>0.503</v>
      </c>
      <c r="D7" s="0" t="n">
        <v>0.265</v>
      </c>
      <c r="E7" s="0" t="n">
        <v>0.232</v>
      </c>
    </row>
    <row r="9" customFormat="false" ht="15" hidden="false" customHeight="false" outlineLevel="0" collapsed="false">
      <c r="A9" s="1" t="s">
        <v>6</v>
      </c>
    </row>
    <row r="10" customFormat="false" ht="15" hidden="false" customHeight="false" outlineLevel="0" collapsed="false">
      <c r="A10" s="2" t="s">
        <v>7</v>
      </c>
      <c r="B10" s="2" t="s">
        <v>2</v>
      </c>
      <c r="C10" s="2" t="s">
        <v>3</v>
      </c>
      <c r="D10" s="2" t="s">
        <v>4</v>
      </c>
      <c r="E10" s="2" t="s">
        <v>5</v>
      </c>
    </row>
    <row r="11" customFormat="false" ht="15" hidden="false" customHeight="false" outlineLevel="0" collapsed="false">
      <c r="A11" s="0" t="s">
        <v>8</v>
      </c>
      <c r="B11" s="0" t="n">
        <f aca="false">B4</f>
        <v>0.06031746</v>
      </c>
      <c r="C11" s="0" t="n">
        <f aca="false">C4</f>
        <v>0.603174603</v>
      </c>
      <c r="D11" s="0" t="n">
        <f aca="false">D4</f>
        <v>0.188888889</v>
      </c>
      <c r="E11" s="0" t="n">
        <f aca="false">E4</f>
        <v>0.147619048</v>
      </c>
    </row>
    <row r="12" customFormat="false" ht="15" hidden="false" customHeight="false" outlineLevel="0" collapsed="false">
      <c r="A12" s="0" t="s">
        <v>9</v>
      </c>
      <c r="B12" s="0" t="n">
        <f aca="false">AVERAGE(B4,B5)</f>
        <v>0.042063492</v>
      </c>
      <c r="C12" s="0" t="n">
        <f aca="false">AVERAGE(C4,C5)</f>
        <v>0.6007936505</v>
      </c>
      <c r="D12" s="0" t="n">
        <f aca="false">AVERAGE(D4,D5)</f>
        <v>0.1976190475</v>
      </c>
      <c r="E12" s="0" t="n">
        <f aca="false">AVERAGE(E4,E5)</f>
        <v>0.1595238095</v>
      </c>
    </row>
    <row r="13" customFormat="false" ht="15" hidden="false" customHeight="false" outlineLevel="0" collapsed="false">
      <c r="A13" s="0" t="s">
        <v>10</v>
      </c>
      <c r="B13" s="0" t="n">
        <f aca="false">B5</f>
        <v>0.023809524</v>
      </c>
      <c r="C13" s="0" t="n">
        <f aca="false">C5</f>
        <v>0.598412698</v>
      </c>
      <c r="D13" s="0" t="n">
        <f aca="false">D5</f>
        <v>0.206349206</v>
      </c>
      <c r="E13" s="0" t="n">
        <f aca="false">E5</f>
        <v>0.171428571</v>
      </c>
    </row>
    <row r="14" customFormat="false" ht="15" hidden="false" customHeight="false" outlineLevel="0" collapsed="false">
      <c r="A14" s="0" t="s">
        <v>11</v>
      </c>
      <c r="B14" s="0" t="n">
        <f aca="false">AVERAGE(B5,B6)</f>
        <v>0.019047619</v>
      </c>
      <c r="C14" s="0" t="n">
        <f aca="false">AVERAGE(C5,C6)</f>
        <v>0.576190476</v>
      </c>
      <c r="D14" s="0" t="n">
        <f aca="false">AVERAGE(D5,D6)</f>
        <v>0.2206349205</v>
      </c>
      <c r="E14" s="0" t="n">
        <f aca="false">AVERAGE(E5,E6)</f>
        <v>0.184126984</v>
      </c>
    </row>
    <row r="15" customFormat="false" ht="15" hidden="false" customHeight="false" outlineLevel="0" collapsed="false">
      <c r="A15" s="0" t="s">
        <v>12</v>
      </c>
      <c r="B15" s="0" t="n">
        <f aca="false">B6</f>
        <v>0.014285714</v>
      </c>
      <c r="C15" s="0" t="n">
        <f aca="false">C6</f>
        <v>0.553968254</v>
      </c>
      <c r="D15" s="0" t="n">
        <f aca="false">D6</f>
        <v>0.234920635</v>
      </c>
      <c r="E15" s="0" t="n">
        <f aca="false">E6</f>
        <v>0.196825397</v>
      </c>
    </row>
    <row r="16" customFormat="false" ht="15" hidden="false" customHeight="false" outlineLevel="0" collapsed="false">
      <c r="A16" s="0" t="s">
        <v>13</v>
      </c>
      <c r="B16" s="0" t="n">
        <f aca="false">AVERAGE(B6,B7)</f>
        <v>0.007142857</v>
      </c>
      <c r="C16" s="0" t="n">
        <f aca="false">AVERAGE(C6,C7)</f>
        <v>0.528484127</v>
      </c>
      <c r="D16" s="0" t="n">
        <f aca="false">AVERAGE(D6,D7)</f>
        <v>0.2499603175</v>
      </c>
      <c r="E16" s="0" t="n">
        <f aca="false">AVERAGE(E6,E7)</f>
        <v>0.2144126985</v>
      </c>
    </row>
    <row r="17" customFormat="false" ht="15" hidden="false" customHeight="false" outlineLevel="0" collapsed="false">
      <c r="A17" s="0" t="s">
        <v>14</v>
      </c>
      <c r="B17" s="0" t="n">
        <f aca="false">B7</f>
        <v>0</v>
      </c>
      <c r="C17" s="0" t="n">
        <f aca="false">C7</f>
        <v>0.503</v>
      </c>
      <c r="D17" s="0" t="n">
        <f aca="false">D7</f>
        <v>0.265</v>
      </c>
      <c r="E17" s="0" t="n">
        <f aca="false">E7</f>
        <v>0.232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6"/>
  </cols>
  <sheetData>
    <row r="1" customFormat="false" ht="15" hidden="false" customHeight="false" outlineLevel="0" collapsed="false">
      <c r="A1" s="2" t="s">
        <v>15</v>
      </c>
      <c r="B1" s="2" t="s">
        <v>2</v>
      </c>
      <c r="C1" s="2" t="s">
        <v>3</v>
      </c>
      <c r="D1" s="2" t="s">
        <v>4</v>
      </c>
      <c r="E1" s="2" t="s">
        <v>5</v>
      </c>
    </row>
    <row r="2" customFormat="false" ht="15" hidden="false" customHeight="false" outlineLevel="0" collapsed="false">
      <c r="A2" s="0" t="s">
        <v>16</v>
      </c>
      <c r="B2" s="0" t="n">
        <v>700</v>
      </c>
      <c r="C2" s="0" t="n">
        <v>1400</v>
      </c>
      <c r="D2" s="0" t="n">
        <v>500</v>
      </c>
      <c r="E2" s="0" t="n">
        <v>1600</v>
      </c>
    </row>
    <row r="3" customFormat="false" ht="15" hidden="false" customHeight="false" outlineLevel="0" collapsed="false">
      <c r="A3" s="0" t="s">
        <v>17</v>
      </c>
      <c r="B3" s="0" t="n">
        <v>0</v>
      </c>
      <c r="C3" s="0" t="n">
        <v>0</v>
      </c>
      <c r="D3" s="0" t="n">
        <v>6</v>
      </c>
      <c r="E3" s="0" t="n">
        <v>1</v>
      </c>
    </row>
    <row r="4" customFormat="false" ht="15" hidden="false" customHeight="false" outlineLevel="0" collapsed="false">
      <c r="A4" s="0" t="s">
        <v>18</v>
      </c>
      <c r="B4" s="0" t="n">
        <v>0</v>
      </c>
      <c r="C4" s="0" t="n">
        <v>0</v>
      </c>
      <c r="D4" s="0" t="n">
        <v>0</v>
      </c>
      <c r="E4" s="0" t="n">
        <v>0</v>
      </c>
    </row>
    <row r="5" customFormat="false" ht="15" hidden="false" customHeight="false" outlineLevel="0" collapsed="false">
      <c r="A5" s="0" t="s">
        <v>19</v>
      </c>
      <c r="B5" s="0" t="n">
        <v>525</v>
      </c>
      <c r="C5" s="0" t="n">
        <v>470</v>
      </c>
      <c r="D5" s="0" t="n">
        <v>525</v>
      </c>
      <c r="E5" s="0" t="n">
        <v>580</v>
      </c>
    </row>
    <row r="6" customFormat="false" ht="15" hidden="false" customHeight="false" outlineLevel="0" collapsed="false">
      <c r="A6" s="0" t="s">
        <v>20</v>
      </c>
      <c r="B6" s="0" t="n">
        <v>0</v>
      </c>
      <c r="C6" s="0" t="n">
        <v>0</v>
      </c>
      <c r="D6" s="0" t="n">
        <v>0</v>
      </c>
      <c r="E6" s="0" t="n">
        <v>0</v>
      </c>
    </row>
    <row r="7" customFormat="false" ht="15" hidden="false" customHeight="false" outlineLevel="0" collapsed="false">
      <c r="A7" s="0" t="s">
        <v>21</v>
      </c>
      <c r="B7" s="0" t="n">
        <v>369000</v>
      </c>
      <c r="C7" s="0" t="n">
        <v>355000</v>
      </c>
      <c r="D7" s="0" t="n">
        <v>243000</v>
      </c>
      <c r="E7" s="0" t="n">
        <v>413000</v>
      </c>
    </row>
    <row r="8" customFormat="false" ht="15" hidden="false" customHeight="false" outlineLevel="0" collapsed="false">
      <c r="A8" s="0" t="s">
        <v>22</v>
      </c>
      <c r="B8" s="0" t="n">
        <v>5000</v>
      </c>
      <c r="C8" s="0" t="n">
        <v>1400</v>
      </c>
      <c r="D8" s="0" t="n">
        <v>8000</v>
      </c>
      <c r="E8" s="0" t="n">
        <v>950</v>
      </c>
    </row>
    <row r="9" customFormat="false" ht="15" hidden="false" customHeight="false" outlineLevel="0" collapsed="false">
      <c r="A9" s="0" t="s">
        <v>23</v>
      </c>
      <c r="B9" s="0" t="n">
        <v>6</v>
      </c>
      <c r="C9" s="0" t="n">
        <v>2</v>
      </c>
      <c r="D9" s="0" t="n">
        <v>17</v>
      </c>
      <c r="E9" s="0" t="n">
        <v>6</v>
      </c>
    </row>
    <row r="10" customFormat="false" ht="15" hidden="false" customHeight="false" outlineLevel="0" collapsed="false">
      <c r="A10" s="0" t="s">
        <v>24</v>
      </c>
      <c r="B10" s="0" t="n">
        <v>0</v>
      </c>
      <c r="C10" s="0" t="n">
        <v>0</v>
      </c>
      <c r="D10" s="0" t="n">
        <v>0</v>
      </c>
      <c r="E10" s="0" t="n">
        <v>0</v>
      </c>
    </row>
    <row r="11" customFormat="false" ht="15" hidden="false" customHeight="false" outlineLevel="0" collapsed="false">
      <c r="A11" s="0" t="s">
        <v>25</v>
      </c>
      <c r="B11" s="0" t="n">
        <v>0</v>
      </c>
      <c r="C11" s="0" t="n">
        <v>0</v>
      </c>
      <c r="D11" s="0" t="n">
        <v>0</v>
      </c>
      <c r="E11" s="0" t="n">
        <v>0</v>
      </c>
    </row>
    <row r="12" customFormat="false" ht="15" hidden="false" customHeight="false" outlineLevel="0" collapsed="false">
      <c r="A12" s="0" t="s">
        <v>26</v>
      </c>
      <c r="B12" s="0" t="n">
        <v>8100</v>
      </c>
      <c r="C12" s="0" t="n">
        <v>7700</v>
      </c>
      <c r="D12" s="0" t="n">
        <v>8100</v>
      </c>
      <c r="E12" s="0" t="n">
        <v>8400</v>
      </c>
    </row>
    <row r="13" customFormat="false" ht="15" hidden="false" customHeight="false" outlineLevel="0" collapsed="false">
      <c r="A13" s="0" t="s">
        <v>27</v>
      </c>
      <c r="B13" s="0" t="n">
        <v>0</v>
      </c>
      <c r="C13" s="0" t="n">
        <v>0</v>
      </c>
      <c r="D13" s="0" t="n">
        <v>0</v>
      </c>
      <c r="E13" s="0" t="n">
        <v>0</v>
      </c>
    </row>
    <row r="14" customFormat="false" ht="15" hidden="false" customHeight="false" outlineLevel="0" collapsed="false">
      <c r="A14" s="0" t="s">
        <v>28</v>
      </c>
      <c r="B14" s="0" t="n">
        <v>0</v>
      </c>
      <c r="C14" s="0" t="n">
        <v>0</v>
      </c>
      <c r="D14" s="0" t="n">
        <v>0</v>
      </c>
      <c r="E14" s="0" t="n">
        <v>0</v>
      </c>
    </row>
    <row r="15" customFormat="false" ht="15" hidden="false" customHeight="false" outlineLevel="0" collapsed="false">
      <c r="A15" s="0" t="s">
        <v>29</v>
      </c>
      <c r="B15" s="0" t="n">
        <v>149988</v>
      </c>
      <c r="C15" s="0" t="n">
        <v>128581.8</v>
      </c>
      <c r="D15" s="0" t="n">
        <v>126933</v>
      </c>
      <c r="E15" s="0" t="n">
        <v>126088</v>
      </c>
    </row>
    <row r="16" customFormat="false" ht="15" hidden="false" customHeight="false" outlineLevel="0" collapsed="false">
      <c r="A16" s="0" t="s">
        <v>30</v>
      </c>
      <c r="B16" s="0" t="n">
        <v>0</v>
      </c>
      <c r="C16" s="0" t="n">
        <v>0</v>
      </c>
      <c r="D16" s="0" t="n">
        <v>0</v>
      </c>
      <c r="E16" s="0" t="n">
        <v>0</v>
      </c>
    </row>
    <row r="17" customFormat="false" ht="15" hidden="false" customHeight="false" outlineLevel="0" collapsed="false">
      <c r="A17" s="0" t="s">
        <v>31</v>
      </c>
      <c r="B17" s="0" t="n">
        <v>0</v>
      </c>
      <c r="C17" s="0" t="n">
        <v>0</v>
      </c>
      <c r="D17" s="0" t="n">
        <v>0</v>
      </c>
      <c r="E17" s="0" t="n">
        <v>0</v>
      </c>
    </row>
    <row r="18" customFormat="false" ht="15" hidden="false" customHeight="false" outlineLevel="0" collapsed="false">
      <c r="A18" s="0" t="s">
        <v>32</v>
      </c>
      <c r="B18" s="0" t="n">
        <v>0</v>
      </c>
      <c r="C18" s="0" t="n">
        <v>0</v>
      </c>
      <c r="D18" s="0" t="n">
        <v>0</v>
      </c>
      <c r="E18" s="0" t="n">
        <v>0</v>
      </c>
    </row>
    <row r="19" customFormat="false" ht="15" hidden="false" customHeight="false" outlineLevel="0" collapsed="false">
      <c r="A19" s="0" t="s">
        <v>33</v>
      </c>
      <c r="B19" s="0" t="n">
        <v>790</v>
      </c>
      <c r="C19" s="0" t="n">
        <v>780</v>
      </c>
      <c r="D19" s="0" t="n">
        <v>790</v>
      </c>
      <c r="E19" s="0" t="n">
        <v>800</v>
      </c>
    </row>
    <row r="20" customFormat="false" ht="15" hidden="false" customHeight="false" outlineLevel="0" collapsed="false">
      <c r="A20" s="0" t="s">
        <v>34</v>
      </c>
      <c r="B20" s="0" t="n">
        <v>109</v>
      </c>
      <c r="C20" s="0" t="n">
        <v>99</v>
      </c>
      <c r="D20" s="0" t="n">
        <v>109</v>
      </c>
      <c r="E20" s="0" t="n">
        <v>119</v>
      </c>
    </row>
    <row r="21" customFormat="false" ht="15" hidden="false" customHeight="false" outlineLevel="0" collapsed="false">
      <c r="A21" s="0" t="s">
        <v>35</v>
      </c>
      <c r="B21" s="0" t="n">
        <v>28</v>
      </c>
      <c r="C21" s="0" t="n">
        <v>12</v>
      </c>
      <c r="D21" s="0" t="n">
        <v>186</v>
      </c>
      <c r="E21" s="0" t="n">
        <v>51</v>
      </c>
    </row>
    <row r="22" customFormat="false" ht="15" hidden="false" customHeight="false" outlineLevel="0" collapsed="false">
      <c r="A22" s="0" t="s">
        <v>36</v>
      </c>
      <c r="B22" s="0" t="n">
        <v>340</v>
      </c>
      <c r="C22" s="0" t="n">
        <v>430</v>
      </c>
      <c r="D22" s="0" t="n">
        <v>240</v>
      </c>
      <c r="E22" s="0" t="n">
        <v>440</v>
      </c>
    </row>
    <row r="23" customFormat="false" ht="15" hidden="false" customHeight="false" outlineLevel="0" collapsed="false">
      <c r="A23" s="0" t="s">
        <v>37</v>
      </c>
      <c r="B23" s="0" t="n">
        <v>0</v>
      </c>
      <c r="C23" s="0" t="n">
        <v>0</v>
      </c>
      <c r="D23" s="0" t="n">
        <v>0</v>
      </c>
      <c r="E23" s="0" t="n">
        <v>0</v>
      </c>
    </row>
    <row r="24" customFormat="false" ht="15" hidden="false" customHeight="false" outlineLevel="0" collapsed="false">
      <c r="A24" s="0" t="s">
        <v>38</v>
      </c>
      <c r="B24" s="0" t="n">
        <v>4600</v>
      </c>
      <c r="C24" s="0" t="n">
        <v>4600</v>
      </c>
      <c r="D24" s="0" t="n">
        <v>4600</v>
      </c>
      <c r="E24" s="0" t="n">
        <v>4600</v>
      </c>
    </row>
    <row r="25" customFormat="false" ht="15" hidden="false" customHeight="false" outlineLevel="0" collapsed="false">
      <c r="A25" s="0" t="s">
        <v>39</v>
      </c>
      <c r="B25" s="0" t="n">
        <v>9</v>
      </c>
      <c r="C25" s="0" t="n">
        <v>0</v>
      </c>
      <c r="D25" s="0" t="n">
        <v>35</v>
      </c>
      <c r="E25" s="0" t="n">
        <v>4</v>
      </c>
    </row>
    <row r="26" customFormat="false" ht="15" hidden="false" customHeight="false" outlineLevel="0" collapsed="false">
      <c r="A26" s="0" t="s">
        <v>40</v>
      </c>
      <c r="B26" s="0" t="n">
        <v>0</v>
      </c>
      <c r="C26" s="0" t="n">
        <v>0</v>
      </c>
      <c r="D26" s="0" t="n">
        <v>0</v>
      </c>
      <c r="E26" s="0" t="n">
        <v>0</v>
      </c>
    </row>
    <row r="27" customFormat="false" ht="15" hidden="false" customHeight="false" outlineLevel="0" collapsed="false">
      <c r="A27" s="0" t="s">
        <v>41</v>
      </c>
      <c r="B27" s="0" t="n">
        <v>0</v>
      </c>
      <c r="C27" s="0" t="n">
        <v>0</v>
      </c>
      <c r="D27" s="0" t="n">
        <v>0</v>
      </c>
      <c r="E27" s="0" t="n">
        <v>0</v>
      </c>
    </row>
    <row r="28" customFormat="false" ht="15" hidden="false" customHeight="false" outlineLevel="0" collapsed="false">
      <c r="A28" s="0" t="s">
        <v>42</v>
      </c>
      <c r="B28" s="0" t="n">
        <v>0</v>
      </c>
      <c r="C28" s="0" t="n">
        <v>0</v>
      </c>
      <c r="D28" s="0" t="n">
        <v>0</v>
      </c>
      <c r="E28" s="0" t="n">
        <v>0</v>
      </c>
    </row>
    <row r="29" customFormat="false" ht="15" hidden="false" customHeight="false" outlineLevel="0" collapsed="false">
      <c r="A29" s="0" t="s">
        <v>43</v>
      </c>
      <c r="B29" s="0" t="n">
        <v>0</v>
      </c>
      <c r="C29" s="0" t="n">
        <v>0</v>
      </c>
      <c r="D29" s="0" t="n">
        <v>0</v>
      </c>
      <c r="E29" s="0" t="n">
        <v>0</v>
      </c>
    </row>
    <row r="30" customFormat="false" ht="15" hidden="false" customHeight="false" outlineLevel="0" collapsed="false">
      <c r="A30" s="0" t="s">
        <v>44</v>
      </c>
      <c r="B30" s="0" t="n">
        <v>0</v>
      </c>
      <c r="C30" s="0" t="n">
        <v>0</v>
      </c>
      <c r="D30" s="0" t="n">
        <v>0</v>
      </c>
      <c r="E30" s="0" t="n">
        <v>0</v>
      </c>
    </row>
    <row r="31" customFormat="false" ht="15" hidden="false" customHeight="false" outlineLevel="0" collapsed="false">
      <c r="A31" s="0" t="s">
        <v>45</v>
      </c>
      <c r="B31" s="0" t="n">
        <v>1</v>
      </c>
      <c r="C31" s="0" t="n">
        <v>0</v>
      </c>
      <c r="D31" s="0" t="n">
        <v>7</v>
      </c>
      <c r="E31" s="0" t="n">
        <v>1</v>
      </c>
    </row>
    <row r="32" customFormat="false" ht="15" hidden="false" customHeight="false" outlineLevel="0" collapsed="false">
      <c r="A32" s="0" t="s">
        <v>46</v>
      </c>
      <c r="B32" s="0" t="n">
        <v>0</v>
      </c>
      <c r="C32" s="0" t="n">
        <v>0</v>
      </c>
      <c r="D32" s="0" t="n">
        <v>0</v>
      </c>
      <c r="E32" s="0" t="n">
        <v>0</v>
      </c>
    </row>
    <row r="33" customFormat="false" ht="15" hidden="false" customHeight="false" outlineLevel="0" collapsed="false">
      <c r="A33" s="0" t="s">
        <v>47</v>
      </c>
      <c r="B33" s="0" t="n">
        <v>0</v>
      </c>
      <c r="C33" s="0" t="n">
        <v>0</v>
      </c>
      <c r="D33" s="0" t="n">
        <v>0</v>
      </c>
      <c r="E33" s="0" t="n">
        <v>0</v>
      </c>
    </row>
    <row r="34" customFormat="false" ht="15" hidden="false" customHeight="false" outlineLevel="0" collapsed="false">
      <c r="A34" s="0" t="s">
        <v>48</v>
      </c>
      <c r="B34" s="0" t="n">
        <v>0</v>
      </c>
      <c r="C34" s="0" t="n">
        <v>0</v>
      </c>
      <c r="D34" s="0" t="n">
        <v>0</v>
      </c>
      <c r="E34" s="0" t="n">
        <v>0</v>
      </c>
    </row>
    <row r="35" customFormat="false" ht="15" hidden="false" customHeight="false" outlineLevel="0" collapsed="false">
      <c r="A35" s="0" t="s">
        <v>49</v>
      </c>
      <c r="B35" s="0" t="n">
        <v>0</v>
      </c>
      <c r="C35" s="0" t="n">
        <v>0</v>
      </c>
      <c r="D35" s="0" t="n">
        <v>0</v>
      </c>
      <c r="E35" s="0" t="n">
        <v>0</v>
      </c>
    </row>
    <row r="36" customFormat="false" ht="15" hidden="false" customHeight="false" outlineLevel="0" collapsed="false">
      <c r="A36" s="0" t="s">
        <v>50</v>
      </c>
      <c r="B36" s="0" t="n">
        <v>5500</v>
      </c>
      <c r="C36" s="0" t="n">
        <v>5500</v>
      </c>
      <c r="D36" s="0" t="n">
        <v>5500</v>
      </c>
      <c r="E36" s="0" t="n">
        <v>5500</v>
      </c>
    </row>
    <row r="37" customFormat="false" ht="15" hidden="false" customHeight="false" outlineLevel="0" collapsed="false">
      <c r="A37" s="0" t="s">
        <v>51</v>
      </c>
      <c r="B37" s="0" t="n">
        <v>0</v>
      </c>
      <c r="C37" s="0" t="n">
        <v>0</v>
      </c>
      <c r="D37" s="0" t="n">
        <v>0</v>
      </c>
      <c r="E37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4"/>
  </cols>
  <sheetData>
    <row r="1" customFormat="false" ht="15" hidden="false" customHeight="false" outlineLevel="0" collapsed="false">
      <c r="A1" s="1" t="s">
        <v>52</v>
      </c>
    </row>
    <row r="2" customFormat="false" ht="15" hidden="false" customHeight="false" outlineLevel="0" collapsed="false">
      <c r="A2" s="2" t="s">
        <v>15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customFormat="false" ht="15" hidden="false" customHeight="false" outlineLevel="0" collapsed="false">
      <c r="A3" s="0" t="s">
        <v>16</v>
      </c>
      <c r="B3" s="0" t="n">
        <f aca="false">SubTech_Intensities!B2*Market_Shares!B11+SubTech_Intensities!C2*Market_Shares!C11+SubTech_Intensities!D2*Market_Shares!D11+SubTech_Intensities!E2*Market_Shares!E11</f>
        <v>1217.3015875</v>
      </c>
      <c r="C3" s="0" t="n">
        <f aca="false">SubTech_Intensities!B2*Market_Shares!B12+SubTech_Intensities!C2*Market_Shares!C12+SubTech_Intensities!D2*Market_Shares!D12+SubTech_Intensities!E2*Market_Shares!E12</f>
        <v>1224.60317405</v>
      </c>
      <c r="D3" s="0" t="n">
        <f aca="false">SubTech_Intensities!B2*Market_Shares!B13+SubTech_Intensities!C2*Market_Shares!C13+SubTech_Intensities!D2*Market_Shares!D13+SubTech_Intensities!E2*Market_Shares!E13</f>
        <v>1231.9047606</v>
      </c>
      <c r="E3" s="0" t="n">
        <f aca="false">SubTech_Intensities!B2*Market_Shares!B14+SubTech_Intensities!C2*Market_Shares!C14+SubTech_Intensities!D2*Market_Shares!D14+SubTech_Intensities!E2*Market_Shares!E14</f>
        <v>1224.92063435</v>
      </c>
      <c r="F3" s="0" t="n">
        <f aca="false">SubTech_Intensities!B2*Market_Shares!B15+SubTech_Intensities!C2*Market_Shares!C15+SubTech_Intensities!D2*Market_Shares!D15+SubTech_Intensities!E2*Market_Shares!E15</f>
        <v>1217.9365081</v>
      </c>
      <c r="G3" s="0" t="n">
        <f aca="false">SubTech_Intensities!B2*Market_Shares!B16+SubTech_Intensities!C2*Market_Shares!C16+SubTech_Intensities!D2*Market_Shares!D16+SubTech_Intensities!E2*Market_Shares!E16</f>
        <v>1212.91825405</v>
      </c>
      <c r="H3" s="0" t="n">
        <f aca="false">SubTech_Intensities!B2*Market_Shares!B17+SubTech_Intensities!C2*Market_Shares!C17+SubTech_Intensities!D2*Market_Shares!D17+SubTech_Intensities!E2*Market_Shares!E17</f>
        <v>1207.9</v>
      </c>
    </row>
    <row r="4" customFormat="false" ht="15" hidden="false" customHeight="false" outlineLevel="0" collapsed="false">
      <c r="A4" s="0" t="s">
        <v>17</v>
      </c>
      <c r="B4" s="0" t="n">
        <f aca="false">SubTech_Intensities!B3*Market_Shares!B11+SubTech_Intensities!C3*Market_Shares!C11+SubTech_Intensities!D3*Market_Shares!D11+SubTech_Intensities!E3*Market_Shares!E11</f>
        <v>1.280952382</v>
      </c>
      <c r="C4" s="0" t="n">
        <f aca="false">SubTech_Intensities!B3*Market_Shares!B12+SubTech_Intensities!C3*Market_Shares!C12+SubTech_Intensities!D3*Market_Shares!D12+SubTech_Intensities!E3*Market_Shares!E12</f>
        <v>1.3452380945</v>
      </c>
      <c r="D4" s="0" t="n">
        <f aca="false">SubTech_Intensities!B3*Market_Shares!B13+SubTech_Intensities!C3*Market_Shares!C13+SubTech_Intensities!D3*Market_Shares!D13+SubTech_Intensities!E3*Market_Shares!E13</f>
        <v>1.409523807</v>
      </c>
      <c r="E4" s="0" t="n">
        <f aca="false">SubTech_Intensities!B3*Market_Shares!B14+SubTech_Intensities!C3*Market_Shares!C14+SubTech_Intensities!D3*Market_Shares!D14+SubTech_Intensities!E3*Market_Shares!E14</f>
        <v>1.507936507</v>
      </c>
      <c r="F4" s="0" t="n">
        <f aca="false">SubTech_Intensities!B3*Market_Shares!B15+SubTech_Intensities!C3*Market_Shares!C15+SubTech_Intensities!D3*Market_Shares!D15+SubTech_Intensities!E3*Market_Shares!E15</f>
        <v>1.606349207</v>
      </c>
      <c r="G4" s="0" t="n">
        <f aca="false">SubTech_Intensities!B3*Market_Shares!B16+SubTech_Intensities!C3*Market_Shares!C16+SubTech_Intensities!D3*Market_Shares!D16+SubTech_Intensities!E3*Market_Shares!E16</f>
        <v>1.7141746035</v>
      </c>
      <c r="H4" s="0" t="n">
        <f aca="false">SubTech_Intensities!B3*Market_Shares!B17+SubTech_Intensities!C3*Market_Shares!C17+SubTech_Intensities!D3*Market_Shares!D17+SubTech_Intensities!E3*Market_Shares!E17</f>
        <v>1.822</v>
      </c>
    </row>
    <row r="5" customFormat="false" ht="15" hidden="false" customHeight="false" outlineLevel="0" collapsed="false">
      <c r="A5" s="0" t="s">
        <v>18</v>
      </c>
      <c r="B5" s="0" t="n">
        <f aca="false">SubTech_Intensities!B4*Market_Shares!B11+SubTech_Intensities!C4*Market_Shares!C11+SubTech_Intensities!D4*Market_Shares!D11+SubTech_Intensities!E4*Market_Shares!E11</f>
        <v>0</v>
      </c>
      <c r="C5" s="0" t="n">
        <f aca="false">SubTech_Intensities!B4*Market_Shares!B12+SubTech_Intensities!C4*Market_Shares!C12+SubTech_Intensities!D4*Market_Shares!D12+SubTech_Intensities!E4*Market_Shares!E12</f>
        <v>0</v>
      </c>
      <c r="D5" s="0" t="n">
        <f aca="false">SubTech_Intensities!B4*Market_Shares!B13+SubTech_Intensities!C4*Market_Shares!C13+SubTech_Intensities!D4*Market_Shares!D13+SubTech_Intensities!E4*Market_Shares!E13</f>
        <v>0</v>
      </c>
      <c r="E5" s="0" t="n">
        <f aca="false">SubTech_Intensities!B4*Market_Shares!B14+SubTech_Intensities!C4*Market_Shares!C14+SubTech_Intensities!D4*Market_Shares!D14+SubTech_Intensities!E4*Market_Shares!E14</f>
        <v>0</v>
      </c>
      <c r="F5" s="0" t="n">
        <f aca="false">SubTech_Intensities!B4*Market_Shares!B15+SubTech_Intensities!C4*Market_Shares!C15+SubTech_Intensities!D4*Market_Shares!D15+SubTech_Intensities!E4*Market_Shares!E15</f>
        <v>0</v>
      </c>
      <c r="G5" s="0" t="n">
        <f aca="false">SubTech_Intensities!B4*Market_Shares!B16+SubTech_Intensities!C4*Market_Shares!C16+SubTech_Intensities!D4*Market_Shares!D16+SubTech_Intensities!E4*Market_Shares!E16</f>
        <v>0</v>
      </c>
      <c r="H5" s="0" t="n">
        <f aca="false">SubTech_Intensities!B4*Market_Shares!B17+SubTech_Intensities!C4*Market_Shares!C17+SubTech_Intensities!D4*Market_Shares!D17+SubTech_Intensities!E4*Market_Shares!E17</f>
        <v>0</v>
      </c>
    </row>
    <row r="6" customFormat="false" ht="15" hidden="false" customHeight="false" outlineLevel="0" collapsed="false">
      <c r="A6" s="0" t="s">
        <v>19</v>
      </c>
      <c r="B6" s="0" t="n">
        <f aca="false">SubTech_Intensities!B5*Market_Shares!B11+SubTech_Intensities!C5*Market_Shares!C11+SubTech_Intensities!D5*Market_Shares!D11+SubTech_Intensities!E5*Market_Shares!E11</f>
        <v>499.944444475</v>
      </c>
      <c r="C6" s="0" t="n">
        <f aca="false">SubTech_Intensities!B5*Market_Shares!B12+SubTech_Intensities!C5*Market_Shares!C12+SubTech_Intensities!D5*Market_Shares!D12+SubTech_Intensities!E5*Market_Shares!E12</f>
        <v>500.7301584825</v>
      </c>
      <c r="D6" s="0" t="n">
        <f aca="false">SubTech_Intensities!B5*Market_Shares!B13+SubTech_Intensities!C5*Market_Shares!C13+SubTech_Intensities!D5*Market_Shares!D13+SubTech_Intensities!E5*Market_Shares!E13</f>
        <v>501.51587249</v>
      </c>
      <c r="E6" s="0" t="n">
        <f aca="false">SubTech_Intensities!B5*Market_Shares!B14+SubTech_Intensities!C5*Market_Shares!C14+SubTech_Intensities!D5*Market_Shares!D14+SubTech_Intensities!E5*Market_Shares!E14</f>
        <v>503.4365076775</v>
      </c>
      <c r="F6" s="0" t="n">
        <f aca="false">SubTech_Intensities!B5*Market_Shares!B15+SubTech_Intensities!C5*Market_Shares!C15+SubTech_Intensities!D5*Market_Shares!D15+SubTech_Intensities!E5*Market_Shares!E15</f>
        <v>505.357142865</v>
      </c>
      <c r="G6" s="0" t="n">
        <f aca="false">SubTech_Intensities!B5*Market_Shares!B16+SubTech_Intensities!C5*Market_Shares!C16+SubTech_Intensities!D5*Market_Shares!D16+SubTech_Intensities!E5*Market_Shares!E16</f>
        <v>507.7260714325</v>
      </c>
      <c r="H6" s="0" t="n">
        <f aca="false">SubTech_Intensities!B5*Market_Shares!B17+SubTech_Intensities!C5*Market_Shares!C17+SubTech_Intensities!D5*Market_Shares!D17+SubTech_Intensities!E5*Market_Shares!E17</f>
        <v>510.095</v>
      </c>
    </row>
    <row r="7" customFormat="false" ht="15" hidden="false" customHeight="false" outlineLevel="0" collapsed="false">
      <c r="A7" s="0" t="s">
        <v>20</v>
      </c>
      <c r="B7" s="0" t="n">
        <f aca="false">SubTech_Intensities!B6*Market_Shares!B11+SubTech_Intensities!C6*Market_Shares!C11+SubTech_Intensities!D6*Market_Shares!D11+SubTech_Intensities!E6*Market_Shares!E11</f>
        <v>0</v>
      </c>
      <c r="C7" s="0" t="n">
        <f aca="false">SubTech_Intensities!B6*Market_Shares!B12+SubTech_Intensities!C6*Market_Shares!C12+SubTech_Intensities!D6*Market_Shares!D12+SubTech_Intensities!E6*Market_Shares!E12</f>
        <v>0</v>
      </c>
      <c r="D7" s="0" t="n">
        <f aca="false">SubTech_Intensities!B6*Market_Shares!B13+SubTech_Intensities!C6*Market_Shares!C13+SubTech_Intensities!D6*Market_Shares!D13+SubTech_Intensities!E6*Market_Shares!E13</f>
        <v>0</v>
      </c>
      <c r="E7" s="0" t="n">
        <f aca="false">SubTech_Intensities!B6*Market_Shares!B14+SubTech_Intensities!C6*Market_Shares!C14+SubTech_Intensities!D6*Market_Shares!D14+SubTech_Intensities!E6*Market_Shares!E14</f>
        <v>0</v>
      </c>
      <c r="F7" s="0" t="n">
        <f aca="false">SubTech_Intensities!B6*Market_Shares!B15+SubTech_Intensities!C6*Market_Shares!C15+SubTech_Intensities!D6*Market_Shares!D15+SubTech_Intensities!E6*Market_Shares!E15</f>
        <v>0</v>
      </c>
      <c r="G7" s="0" t="n">
        <f aca="false">SubTech_Intensities!B6*Market_Shares!B16+SubTech_Intensities!C6*Market_Shares!C16+SubTech_Intensities!D6*Market_Shares!D16+SubTech_Intensities!E6*Market_Shares!E16</f>
        <v>0</v>
      </c>
      <c r="H7" s="0" t="n">
        <f aca="false">SubTech_Intensities!B6*Market_Shares!B17+SubTech_Intensities!C6*Market_Shares!C17+SubTech_Intensities!D6*Market_Shares!D17+SubTech_Intensities!E6*Market_Shares!E17</f>
        <v>0</v>
      </c>
    </row>
    <row r="8" customFormat="false" ht="15" hidden="false" customHeight="false" outlineLevel="0" collapsed="false">
      <c r="A8" s="0" t="s">
        <v>21</v>
      </c>
      <c r="B8" s="0" t="n">
        <f aca="false">SubTech_Intensities!B7*Market_Shares!B11+SubTech_Intensities!C7*Market_Shares!C11+SubTech_Intensities!D7*Market_Shares!D11+SubTech_Intensities!E7*Market_Shares!E11</f>
        <v>343250.793656</v>
      </c>
      <c r="C8" s="0" t="n">
        <f aca="false">SubTech_Intensities!B7*Market_Shares!B12+SubTech_Intensities!C7*Market_Shares!C12+SubTech_Intensities!D7*Market_Shares!D12+SubTech_Intensities!E7*Market_Shares!E12</f>
        <v>342707.9363415</v>
      </c>
      <c r="D8" s="0" t="n">
        <f aca="false">SubTech_Intensities!B7*Market_Shares!B13+SubTech_Intensities!C7*Market_Shares!C13+SubTech_Intensities!D7*Market_Shares!D13+SubTech_Intensities!E7*Market_Shares!E13</f>
        <v>342165.079027</v>
      </c>
      <c r="E8" s="0" t="n">
        <f aca="false">SubTech_Intensities!B7*Market_Shares!B14+SubTech_Intensities!C7*Market_Shares!C14+SubTech_Intensities!D7*Market_Shares!D14+SubTech_Intensities!E7*Market_Shares!E14</f>
        <v>341234.9204645</v>
      </c>
      <c r="F8" s="0" t="n">
        <f aca="false">SubTech_Intensities!B7*Market_Shares!B15+SubTech_Intensities!C7*Market_Shares!C15+SubTech_Intensities!D7*Market_Shares!D15+SubTech_Intensities!E7*Market_Shares!E15</f>
        <v>340304.761902</v>
      </c>
      <c r="G8" s="0" t="n">
        <f aca="false">SubTech_Intensities!B7*Market_Shares!B16+SubTech_Intensities!C7*Market_Shares!C16+SubTech_Intensities!D7*Market_Shares!D16+SubTech_Intensities!E7*Market_Shares!E16</f>
        <v>339540.380951</v>
      </c>
      <c r="H8" s="0" t="n">
        <f aca="false">SubTech_Intensities!B7*Market_Shares!B17+SubTech_Intensities!C7*Market_Shares!C17+SubTech_Intensities!D7*Market_Shares!D17+SubTech_Intensities!E7*Market_Shares!E17</f>
        <v>338776</v>
      </c>
    </row>
    <row r="9" customFormat="false" ht="15" hidden="false" customHeight="false" outlineLevel="0" collapsed="false">
      <c r="A9" s="0" t="s">
        <v>22</v>
      </c>
      <c r="B9" s="0" t="n">
        <f aca="false">SubTech_Intensities!B8*Market_Shares!B11+SubTech_Intensities!C8*Market_Shares!C11+SubTech_Intensities!D8*Market_Shares!D11+SubTech_Intensities!E8*Market_Shares!E11</f>
        <v>2797.3809518</v>
      </c>
      <c r="C9" s="0" t="n">
        <f aca="false">SubTech_Intensities!B8*Market_Shares!B12+SubTech_Intensities!C8*Market_Shares!C12+SubTech_Intensities!D8*Market_Shares!D12+SubTech_Intensities!E8*Market_Shares!E12</f>
        <v>2783.928569725</v>
      </c>
      <c r="D9" s="0" t="n">
        <f aca="false">SubTech_Intensities!B8*Market_Shares!B13+SubTech_Intensities!C8*Market_Shares!C13+SubTech_Intensities!D8*Market_Shares!D13+SubTech_Intensities!E8*Market_Shares!E13</f>
        <v>2770.47618765</v>
      </c>
      <c r="E9" s="0" t="n">
        <f aca="false">SubTech_Intensities!B8*Market_Shares!B14+SubTech_Intensities!C8*Market_Shares!C14+SubTech_Intensities!D8*Market_Shares!D14+SubTech_Intensities!E8*Market_Shares!E14</f>
        <v>2841.9047602</v>
      </c>
      <c r="F9" s="0" t="n">
        <f aca="false">SubTech_Intensities!B8*Market_Shares!B15+SubTech_Intensities!C8*Market_Shares!C15+SubTech_Intensities!D8*Market_Shares!D15+SubTech_Intensities!E8*Market_Shares!E15</f>
        <v>2913.33333275</v>
      </c>
      <c r="G9" s="0" t="n">
        <f aca="false">SubTech_Intensities!B8*Market_Shares!B16+SubTech_Intensities!C8*Market_Shares!C16+SubTech_Intensities!D8*Market_Shares!D16+SubTech_Intensities!E8*Market_Shares!E16</f>
        <v>2978.966666375</v>
      </c>
      <c r="H9" s="0" t="n">
        <f aca="false">SubTech_Intensities!B8*Market_Shares!B17+SubTech_Intensities!C8*Market_Shares!C17+SubTech_Intensities!D8*Market_Shares!D17+SubTech_Intensities!E8*Market_Shares!E17</f>
        <v>3044.6</v>
      </c>
    </row>
    <row r="10" customFormat="false" ht="15" hidden="false" customHeight="false" outlineLevel="0" collapsed="false">
      <c r="A10" s="0" t="s">
        <v>23</v>
      </c>
      <c r="B10" s="0" t="n">
        <f aca="false">SubTech_Intensities!B9*Market_Shares!B11+SubTech_Intensities!C9*Market_Shares!C11+SubTech_Intensities!D9*Market_Shares!D11+SubTech_Intensities!E9*Market_Shares!E11</f>
        <v>5.665079367</v>
      </c>
      <c r="C10" s="0" t="n">
        <f aca="false">SubTech_Intensities!B9*Market_Shares!B12+SubTech_Intensities!C9*Market_Shares!C12+SubTech_Intensities!D9*Market_Shares!D12+SubTech_Intensities!E9*Market_Shares!E12</f>
        <v>5.7706349175</v>
      </c>
      <c r="D10" s="0" t="n">
        <f aca="false">SubTech_Intensities!B9*Market_Shares!B13+SubTech_Intensities!C9*Market_Shares!C13+SubTech_Intensities!D9*Market_Shares!D13+SubTech_Intensities!E9*Market_Shares!E13</f>
        <v>5.876190468</v>
      </c>
      <c r="E10" s="0" t="n">
        <f aca="false">SubTech_Intensities!B9*Market_Shares!B14+SubTech_Intensities!C9*Market_Shares!C14+SubTech_Intensities!D9*Market_Shares!D14+SubTech_Intensities!E9*Market_Shares!E14</f>
        <v>6.1222222185</v>
      </c>
      <c r="F10" s="0" t="n">
        <f aca="false">SubTech_Intensities!B9*Market_Shares!B15+SubTech_Intensities!C9*Market_Shares!C15+SubTech_Intensities!D9*Market_Shares!D15+SubTech_Intensities!E9*Market_Shares!E15</f>
        <v>6.368253969</v>
      </c>
      <c r="G10" s="0" t="n">
        <f aca="false">SubTech_Intensities!B9*Market_Shares!B16+SubTech_Intensities!C9*Market_Shares!C16+SubTech_Intensities!D9*Market_Shares!D16+SubTech_Intensities!E9*Market_Shares!E16</f>
        <v>6.6356269845</v>
      </c>
      <c r="H10" s="0" t="n">
        <f aca="false">SubTech_Intensities!B9*Market_Shares!B17+SubTech_Intensities!C9*Market_Shares!C17+SubTech_Intensities!D9*Market_Shares!D17+SubTech_Intensities!E9*Market_Shares!E17</f>
        <v>6.903</v>
      </c>
    </row>
    <row r="11" customFormat="false" ht="15" hidden="false" customHeight="false" outlineLevel="0" collapsed="false">
      <c r="A11" s="0" t="s">
        <v>24</v>
      </c>
      <c r="B11" s="0" t="n">
        <f aca="false">SubTech_Intensities!B10*Market_Shares!B11+SubTech_Intensities!C10*Market_Shares!C11+SubTech_Intensities!D10*Market_Shares!D11+SubTech_Intensities!E10*Market_Shares!E11</f>
        <v>0</v>
      </c>
      <c r="C11" s="0" t="n">
        <f aca="false">SubTech_Intensities!B10*Market_Shares!B12+SubTech_Intensities!C10*Market_Shares!C12+SubTech_Intensities!D10*Market_Shares!D12+SubTech_Intensities!E10*Market_Shares!E12</f>
        <v>0</v>
      </c>
      <c r="D11" s="0" t="n">
        <f aca="false">SubTech_Intensities!B10*Market_Shares!B13+SubTech_Intensities!C10*Market_Shares!C13+SubTech_Intensities!D10*Market_Shares!D13+SubTech_Intensities!E10*Market_Shares!E13</f>
        <v>0</v>
      </c>
      <c r="E11" s="0" t="n">
        <f aca="false">SubTech_Intensities!B10*Market_Shares!B14+SubTech_Intensities!C10*Market_Shares!C14+SubTech_Intensities!D10*Market_Shares!D14+SubTech_Intensities!E10*Market_Shares!E14</f>
        <v>0</v>
      </c>
      <c r="F11" s="0" t="n">
        <f aca="false">SubTech_Intensities!B10*Market_Shares!B15+SubTech_Intensities!C10*Market_Shares!C15+SubTech_Intensities!D10*Market_Shares!D15+SubTech_Intensities!E10*Market_Shares!E15</f>
        <v>0</v>
      </c>
      <c r="G11" s="0" t="n">
        <f aca="false">SubTech_Intensities!B10*Market_Shares!B16+SubTech_Intensities!C10*Market_Shares!C16+SubTech_Intensities!D10*Market_Shares!D16+SubTech_Intensities!E10*Market_Shares!E16</f>
        <v>0</v>
      </c>
      <c r="H11" s="0" t="n">
        <f aca="false">SubTech_Intensities!B10*Market_Shares!B17+SubTech_Intensities!C10*Market_Shares!C17+SubTech_Intensities!D10*Market_Shares!D17+SubTech_Intensities!E10*Market_Shares!E17</f>
        <v>0</v>
      </c>
    </row>
    <row r="12" customFormat="false" ht="15" hidden="false" customHeight="false" outlineLevel="0" collapsed="false">
      <c r="A12" s="0" t="s">
        <v>25</v>
      </c>
      <c r="B12" s="0" t="n">
        <f aca="false">SubTech_Intensities!B11*Market_Shares!B11+SubTech_Intensities!C11*Market_Shares!C11+SubTech_Intensities!D11*Market_Shares!D11+SubTech_Intensities!E11*Market_Shares!E11</f>
        <v>0</v>
      </c>
      <c r="C12" s="0" t="n">
        <f aca="false">SubTech_Intensities!B11*Market_Shares!B12+SubTech_Intensities!C11*Market_Shares!C12+SubTech_Intensities!D11*Market_Shares!D12+SubTech_Intensities!E11*Market_Shares!E12</f>
        <v>0</v>
      </c>
      <c r="D12" s="0" t="n">
        <f aca="false">SubTech_Intensities!B11*Market_Shares!B13+SubTech_Intensities!C11*Market_Shares!C13+SubTech_Intensities!D11*Market_Shares!D13+SubTech_Intensities!E11*Market_Shares!E13</f>
        <v>0</v>
      </c>
      <c r="E12" s="0" t="n">
        <f aca="false">SubTech_Intensities!B11*Market_Shares!B14+SubTech_Intensities!C11*Market_Shares!C14+SubTech_Intensities!D11*Market_Shares!D14+SubTech_Intensities!E11*Market_Shares!E14</f>
        <v>0</v>
      </c>
      <c r="F12" s="0" t="n">
        <f aca="false">SubTech_Intensities!B11*Market_Shares!B15+SubTech_Intensities!C11*Market_Shares!C15+SubTech_Intensities!D11*Market_Shares!D15+SubTech_Intensities!E11*Market_Shares!E15</f>
        <v>0</v>
      </c>
      <c r="G12" s="0" t="n">
        <f aca="false">SubTech_Intensities!B11*Market_Shares!B16+SubTech_Intensities!C11*Market_Shares!C16+SubTech_Intensities!D11*Market_Shares!D16+SubTech_Intensities!E11*Market_Shares!E16</f>
        <v>0</v>
      </c>
      <c r="H12" s="0" t="n">
        <f aca="false">SubTech_Intensities!B11*Market_Shares!B17+SubTech_Intensities!C11*Market_Shares!C17+SubTech_Intensities!D11*Market_Shares!D17+SubTech_Intensities!E11*Market_Shares!E17</f>
        <v>0</v>
      </c>
    </row>
    <row r="13" customFormat="false" ht="15" hidden="false" customHeight="false" outlineLevel="0" collapsed="false">
      <c r="A13" s="0" t="s">
        <v>26</v>
      </c>
      <c r="B13" s="0" t="n">
        <f aca="false">SubTech_Intensities!B12*Market_Shares!B11+SubTech_Intensities!C12*Market_Shares!C11+SubTech_Intensities!D12*Market_Shares!D11+SubTech_Intensities!E12*Market_Shares!E11</f>
        <v>7903.0158732</v>
      </c>
      <c r="C13" s="0" t="n">
        <f aca="false">SubTech_Intensities!B12*Market_Shares!B12+SubTech_Intensities!C12*Market_Shares!C12+SubTech_Intensities!D12*Market_Shares!D12+SubTech_Intensities!E12*Market_Shares!E12</f>
        <v>7907.5396786</v>
      </c>
      <c r="D13" s="0" t="n">
        <f aca="false">SubTech_Intensities!B12*Market_Shares!B13+SubTech_Intensities!C12*Market_Shares!C13+SubTech_Intensities!D12*Market_Shares!D13+SubTech_Intensities!E12*Market_Shares!E13</f>
        <v>7912.063484</v>
      </c>
      <c r="E13" s="0" t="n">
        <f aca="false">SubTech_Intensities!B12*Market_Shares!B14+SubTech_Intensities!C12*Market_Shares!C14+SubTech_Intensities!D12*Market_Shares!D14+SubTech_Intensities!E12*Market_Shares!E14</f>
        <v>7924.76190075</v>
      </c>
      <c r="F13" s="0" t="n">
        <f aca="false">SubTech_Intensities!B12*Market_Shares!B15+SubTech_Intensities!C12*Market_Shares!C15+SubTech_Intensities!D12*Market_Shares!D15+SubTech_Intensities!E12*Market_Shares!E15</f>
        <v>7937.4603175</v>
      </c>
      <c r="G13" s="0" t="n">
        <f aca="false">SubTech_Intensities!B12*Market_Shares!B16+SubTech_Intensities!C12*Market_Shares!C16+SubTech_Intensities!D12*Market_Shares!D16+SubTech_Intensities!E12*Market_Shares!E16</f>
        <v>7952.93015875</v>
      </c>
      <c r="H13" s="0" t="n">
        <f aca="false">SubTech_Intensities!B12*Market_Shares!B17+SubTech_Intensities!C12*Market_Shares!C17+SubTech_Intensities!D12*Market_Shares!D17+SubTech_Intensities!E12*Market_Shares!E17</f>
        <v>7968.4</v>
      </c>
    </row>
    <row r="14" customFormat="false" ht="15" hidden="false" customHeight="false" outlineLevel="0" collapsed="false">
      <c r="A14" s="0" t="s">
        <v>27</v>
      </c>
      <c r="B14" s="0" t="n">
        <f aca="false">SubTech_Intensities!B13*Market_Shares!B11+SubTech_Intensities!C13*Market_Shares!C11+SubTech_Intensities!D13*Market_Shares!D11+SubTech_Intensities!E13*Market_Shares!E11</f>
        <v>0</v>
      </c>
      <c r="C14" s="0" t="n">
        <f aca="false">SubTech_Intensities!B13*Market_Shares!B12+SubTech_Intensities!C13*Market_Shares!C12+SubTech_Intensities!D13*Market_Shares!D12+SubTech_Intensities!E13*Market_Shares!E12</f>
        <v>0</v>
      </c>
      <c r="D14" s="0" t="n">
        <f aca="false">SubTech_Intensities!B13*Market_Shares!B13+SubTech_Intensities!C13*Market_Shares!C13+SubTech_Intensities!D13*Market_Shares!D13+SubTech_Intensities!E13*Market_Shares!E13</f>
        <v>0</v>
      </c>
      <c r="E14" s="0" t="n">
        <f aca="false">SubTech_Intensities!B13*Market_Shares!B14+SubTech_Intensities!C13*Market_Shares!C14+SubTech_Intensities!D13*Market_Shares!D14+SubTech_Intensities!E13*Market_Shares!E14</f>
        <v>0</v>
      </c>
      <c r="F14" s="0" t="n">
        <f aca="false">SubTech_Intensities!B13*Market_Shares!B15+SubTech_Intensities!C13*Market_Shares!C15+SubTech_Intensities!D13*Market_Shares!D15+SubTech_Intensities!E13*Market_Shares!E15</f>
        <v>0</v>
      </c>
      <c r="G14" s="0" t="n">
        <f aca="false">SubTech_Intensities!B13*Market_Shares!B16+SubTech_Intensities!C13*Market_Shares!C16+SubTech_Intensities!D13*Market_Shares!D16+SubTech_Intensities!E13*Market_Shares!E16</f>
        <v>0</v>
      </c>
      <c r="H14" s="0" t="n">
        <f aca="false">SubTech_Intensities!B13*Market_Shares!B17+SubTech_Intensities!C13*Market_Shares!C17+SubTech_Intensities!D13*Market_Shares!D17+SubTech_Intensities!E13*Market_Shares!E17</f>
        <v>0</v>
      </c>
    </row>
    <row r="15" customFormat="false" ht="15" hidden="false" customHeight="false" outlineLevel="0" collapsed="false">
      <c r="A15" s="0" t="s">
        <v>28</v>
      </c>
      <c r="B15" s="0" t="n">
        <f aca="false">SubTech_Intensities!B14*Market_Shares!B11+SubTech_Intensities!C14*Market_Shares!C11+SubTech_Intensities!D14*Market_Shares!D11+SubTech_Intensities!E14*Market_Shares!E11</f>
        <v>0</v>
      </c>
      <c r="C15" s="0" t="n">
        <f aca="false">SubTech_Intensities!B14*Market_Shares!B12+SubTech_Intensities!C14*Market_Shares!C12+SubTech_Intensities!D14*Market_Shares!D12+SubTech_Intensities!E14*Market_Shares!E12</f>
        <v>0</v>
      </c>
      <c r="D15" s="0" t="n">
        <f aca="false">SubTech_Intensities!B14*Market_Shares!B13+SubTech_Intensities!C14*Market_Shares!C13+SubTech_Intensities!D14*Market_Shares!D13+SubTech_Intensities!E14*Market_Shares!E13</f>
        <v>0</v>
      </c>
      <c r="E15" s="0" t="n">
        <f aca="false">SubTech_Intensities!B14*Market_Shares!B14+SubTech_Intensities!C14*Market_Shares!C14+SubTech_Intensities!D14*Market_Shares!D14+SubTech_Intensities!E14*Market_Shares!E14</f>
        <v>0</v>
      </c>
      <c r="F15" s="0" t="n">
        <f aca="false">SubTech_Intensities!B14*Market_Shares!B15+SubTech_Intensities!C14*Market_Shares!C15+SubTech_Intensities!D14*Market_Shares!D15+SubTech_Intensities!E14*Market_Shares!E15</f>
        <v>0</v>
      </c>
      <c r="G15" s="0" t="n">
        <f aca="false">SubTech_Intensities!B14*Market_Shares!B16+SubTech_Intensities!C14*Market_Shares!C16+SubTech_Intensities!D14*Market_Shares!D16+SubTech_Intensities!E14*Market_Shares!E16</f>
        <v>0</v>
      </c>
      <c r="H15" s="0" t="n">
        <f aca="false">SubTech_Intensities!B14*Market_Shares!B17+SubTech_Intensities!C14*Market_Shares!C17+SubTech_Intensities!D14*Market_Shares!D17+SubTech_Intensities!E14*Market_Shares!E17</f>
        <v>0</v>
      </c>
    </row>
    <row r="16" customFormat="false" ht="15" hidden="false" customHeight="false" outlineLevel="0" collapsed="false">
      <c r="A16" s="0" t="s">
        <v>29</v>
      </c>
      <c r="B16" s="0" t="n">
        <f aca="false">SubTech_Intensities!B15*Market_Shares!B11+SubTech_Intensities!C15*Market_Shares!C11+SubTech_Intensities!D15*Market_Shares!D11+SubTech_Intensities!E15*Market_Shares!E11</f>
        <v>129193.395230166</v>
      </c>
      <c r="C16" s="0" t="n">
        <f aca="false">SubTech_Intensities!B15*Market_Shares!B12+SubTech_Intensities!C15*Market_Shares!C12+SubTech_Intensities!D15*Market_Shares!D12+SubTech_Intensities!E15*Market_Shares!E12</f>
        <v>128758.56469651</v>
      </c>
      <c r="D16" s="0" t="n">
        <f aca="false">SubTech_Intensities!B15*Market_Shares!B13+SubTech_Intensities!C15*Market_Shares!C13+SubTech_Intensities!D15*Market_Shares!D13+SubTech_Intensities!E15*Market_Shares!E13</f>
        <v>128323.734162854</v>
      </c>
      <c r="E16" s="0" t="n">
        <f aca="false">SubTech_Intensities!B15*Market_Shares!B14+SubTech_Intensities!C15*Market_Shares!C14+SubTech_Intensities!D15*Market_Shares!D14+SubTech_Intensities!E15*Market_Shares!E14</f>
        <v>128166.578347927</v>
      </c>
      <c r="F16" s="0" t="n">
        <f aca="false">SubTech_Intensities!B15*Market_Shares!B15+SubTech_Intensities!C15*Market_Shares!C15+SubTech_Intensities!D15*Market_Shares!D15+SubTech_Intensities!E15*Market_Shares!E15</f>
        <v>128009.422533</v>
      </c>
      <c r="G16" s="0" t="n">
        <f aca="false">SubTech_Intensities!B15*Market_Shares!B16+SubTech_Intensities!C15*Market_Shares!C16+SubTech_Intensities!D15*Market_Shares!D16+SubTech_Intensities!E15*Market_Shares!E16</f>
        <v>127787.8644665</v>
      </c>
      <c r="H16" s="0" t="n">
        <f aca="false">SubTech_Intensities!B15*Market_Shares!B17+SubTech_Intensities!C15*Market_Shares!C17+SubTech_Intensities!D15*Market_Shares!D17+SubTech_Intensities!E15*Market_Shares!E17</f>
        <v>127566.3064</v>
      </c>
    </row>
    <row r="17" customFormat="false" ht="15" hidden="false" customHeight="false" outlineLevel="0" collapsed="false">
      <c r="A17" s="0" t="s">
        <v>30</v>
      </c>
      <c r="B17" s="0" t="n">
        <f aca="false">SubTech_Intensities!B16*Market_Shares!B11+SubTech_Intensities!C16*Market_Shares!C11+SubTech_Intensities!D16*Market_Shares!D11+SubTech_Intensities!E16*Market_Shares!E11</f>
        <v>0</v>
      </c>
      <c r="C17" s="0" t="n">
        <f aca="false">SubTech_Intensities!B16*Market_Shares!B12+SubTech_Intensities!C16*Market_Shares!C12+SubTech_Intensities!D16*Market_Shares!D12+SubTech_Intensities!E16*Market_Shares!E12</f>
        <v>0</v>
      </c>
      <c r="D17" s="0" t="n">
        <f aca="false">SubTech_Intensities!B16*Market_Shares!B13+SubTech_Intensities!C16*Market_Shares!C13+SubTech_Intensities!D16*Market_Shares!D13+SubTech_Intensities!E16*Market_Shares!E13</f>
        <v>0</v>
      </c>
      <c r="E17" s="0" t="n">
        <f aca="false">SubTech_Intensities!B16*Market_Shares!B14+SubTech_Intensities!C16*Market_Shares!C14+SubTech_Intensities!D16*Market_Shares!D14+SubTech_Intensities!E16*Market_Shares!E14</f>
        <v>0</v>
      </c>
      <c r="F17" s="0" t="n">
        <f aca="false">SubTech_Intensities!B16*Market_Shares!B15+SubTech_Intensities!C16*Market_Shares!C15+SubTech_Intensities!D16*Market_Shares!D15+SubTech_Intensities!E16*Market_Shares!E15</f>
        <v>0</v>
      </c>
      <c r="G17" s="0" t="n">
        <f aca="false">SubTech_Intensities!B16*Market_Shares!B16+SubTech_Intensities!C16*Market_Shares!C16+SubTech_Intensities!D16*Market_Shares!D16+SubTech_Intensities!E16*Market_Shares!E16</f>
        <v>0</v>
      </c>
      <c r="H17" s="0" t="n">
        <f aca="false">SubTech_Intensities!B16*Market_Shares!B17+SubTech_Intensities!C16*Market_Shares!C17+SubTech_Intensities!D16*Market_Shares!D17+SubTech_Intensities!E16*Market_Shares!E17</f>
        <v>0</v>
      </c>
    </row>
    <row r="18" customFormat="false" ht="15" hidden="false" customHeight="false" outlineLevel="0" collapsed="false">
      <c r="A18" s="0" t="s">
        <v>31</v>
      </c>
      <c r="B18" s="0" t="n">
        <f aca="false">SubTech_Intensities!B17*Market_Shares!B11+SubTech_Intensities!C17*Market_Shares!C11+SubTech_Intensities!D17*Market_Shares!D11+SubTech_Intensities!E17*Market_Shares!E11</f>
        <v>0</v>
      </c>
      <c r="C18" s="0" t="n">
        <f aca="false">SubTech_Intensities!B17*Market_Shares!B12+SubTech_Intensities!C17*Market_Shares!C12+SubTech_Intensities!D17*Market_Shares!D12+SubTech_Intensities!E17*Market_Shares!E12</f>
        <v>0</v>
      </c>
      <c r="D18" s="0" t="n">
        <f aca="false">SubTech_Intensities!B17*Market_Shares!B13+SubTech_Intensities!C17*Market_Shares!C13+SubTech_Intensities!D17*Market_Shares!D13+SubTech_Intensities!E17*Market_Shares!E13</f>
        <v>0</v>
      </c>
      <c r="E18" s="0" t="n">
        <f aca="false">SubTech_Intensities!B17*Market_Shares!B14+SubTech_Intensities!C17*Market_Shares!C14+SubTech_Intensities!D17*Market_Shares!D14+SubTech_Intensities!E17*Market_Shares!E14</f>
        <v>0</v>
      </c>
      <c r="F18" s="0" t="n">
        <f aca="false">SubTech_Intensities!B17*Market_Shares!B15+SubTech_Intensities!C17*Market_Shares!C15+SubTech_Intensities!D17*Market_Shares!D15+SubTech_Intensities!E17*Market_Shares!E15</f>
        <v>0</v>
      </c>
      <c r="G18" s="0" t="n">
        <f aca="false">SubTech_Intensities!B17*Market_Shares!B16+SubTech_Intensities!C17*Market_Shares!C16+SubTech_Intensities!D17*Market_Shares!D16+SubTech_Intensities!E17*Market_Shares!E16</f>
        <v>0</v>
      </c>
      <c r="H18" s="0" t="n">
        <f aca="false">SubTech_Intensities!B17*Market_Shares!B17+SubTech_Intensities!C17*Market_Shares!C17+SubTech_Intensities!D17*Market_Shares!D17+SubTech_Intensities!E17*Market_Shares!E17</f>
        <v>0</v>
      </c>
    </row>
    <row r="19" customFormat="false" ht="15" hidden="false" customHeight="false" outlineLevel="0" collapsed="false">
      <c r="A19" s="0" t="s">
        <v>32</v>
      </c>
      <c r="B19" s="0" t="n">
        <f aca="false">SubTech_Intensities!B18*Market_Shares!B11+SubTech_Intensities!C18*Market_Shares!C11+SubTech_Intensities!D18*Market_Shares!D11+SubTech_Intensities!E18*Market_Shares!E11</f>
        <v>0</v>
      </c>
      <c r="C19" s="0" t="n">
        <f aca="false">SubTech_Intensities!B18*Market_Shares!B12+SubTech_Intensities!C18*Market_Shares!C12+SubTech_Intensities!D18*Market_Shares!D12+SubTech_Intensities!E18*Market_Shares!E12</f>
        <v>0</v>
      </c>
      <c r="D19" s="0" t="n">
        <f aca="false">SubTech_Intensities!B18*Market_Shares!B13+SubTech_Intensities!C18*Market_Shares!C13+SubTech_Intensities!D18*Market_Shares!D13+SubTech_Intensities!E18*Market_Shares!E13</f>
        <v>0</v>
      </c>
      <c r="E19" s="0" t="n">
        <f aca="false">SubTech_Intensities!B18*Market_Shares!B14+SubTech_Intensities!C18*Market_Shares!C14+SubTech_Intensities!D18*Market_Shares!D14+SubTech_Intensities!E18*Market_Shares!E14</f>
        <v>0</v>
      </c>
      <c r="F19" s="0" t="n">
        <f aca="false">SubTech_Intensities!B18*Market_Shares!B15+SubTech_Intensities!C18*Market_Shares!C15+SubTech_Intensities!D18*Market_Shares!D15+SubTech_Intensities!E18*Market_Shares!E15</f>
        <v>0</v>
      </c>
      <c r="G19" s="0" t="n">
        <f aca="false">SubTech_Intensities!B18*Market_Shares!B16+SubTech_Intensities!C18*Market_Shares!C16+SubTech_Intensities!D18*Market_Shares!D16+SubTech_Intensities!E18*Market_Shares!E16</f>
        <v>0</v>
      </c>
      <c r="H19" s="0" t="n">
        <f aca="false">SubTech_Intensities!B18*Market_Shares!B17+SubTech_Intensities!C18*Market_Shares!C17+SubTech_Intensities!D18*Market_Shares!D17+SubTech_Intensities!E18*Market_Shares!E17</f>
        <v>0</v>
      </c>
    </row>
    <row r="20" customFormat="false" ht="15" hidden="false" customHeight="false" outlineLevel="0" collapsed="false">
      <c r="A20" s="0" t="s">
        <v>33</v>
      </c>
      <c r="B20" s="0" t="n">
        <f aca="false">SubTech_Intensities!B19*Market_Shares!B11+SubTech_Intensities!C19*Market_Shares!C11+SubTech_Intensities!D19*Market_Shares!D11+SubTech_Intensities!E19*Market_Shares!E11</f>
        <v>785.44444445</v>
      </c>
      <c r="C20" s="0" t="n">
        <f aca="false">SubTech_Intensities!B19*Market_Shares!B12+SubTech_Intensities!C19*Market_Shares!C12+SubTech_Intensities!D19*Market_Shares!D12+SubTech_Intensities!E19*Market_Shares!E12</f>
        <v>785.587301195</v>
      </c>
      <c r="D20" s="0" t="n">
        <f aca="false">SubTech_Intensities!B19*Market_Shares!B13+SubTech_Intensities!C19*Market_Shares!C13+SubTech_Intensities!D19*Market_Shares!D13+SubTech_Intensities!E19*Market_Shares!E13</f>
        <v>785.73015794</v>
      </c>
      <c r="E20" s="0" t="n">
        <f aca="false">SubTech_Intensities!B19*Market_Shares!B14+SubTech_Intensities!C19*Market_Shares!C14+SubTech_Intensities!D19*Market_Shares!D14+SubTech_Intensities!E19*Market_Shares!E14</f>
        <v>786.079364685</v>
      </c>
      <c r="F20" s="0" t="n">
        <f aca="false">SubTech_Intensities!B19*Market_Shares!B15+SubTech_Intensities!C19*Market_Shares!C15+SubTech_Intensities!D19*Market_Shares!D15+SubTech_Intensities!E19*Market_Shares!E15</f>
        <v>786.42857143</v>
      </c>
      <c r="G20" s="0" t="n">
        <f aca="false">SubTech_Intensities!B19*Market_Shares!B16+SubTech_Intensities!C19*Market_Shares!C16+SubTech_Intensities!D19*Market_Shares!D16+SubTech_Intensities!E19*Market_Shares!E16</f>
        <v>786.859285715</v>
      </c>
      <c r="H20" s="0" t="n">
        <f aca="false">SubTech_Intensities!B19*Market_Shares!B17+SubTech_Intensities!C19*Market_Shares!C17+SubTech_Intensities!D19*Market_Shares!D17+SubTech_Intensities!E19*Market_Shares!E17</f>
        <v>787.29</v>
      </c>
    </row>
    <row r="21" customFormat="false" ht="15" hidden="false" customHeight="false" outlineLevel="0" collapsed="false">
      <c r="A21" s="0" t="s">
        <v>34</v>
      </c>
      <c r="B21" s="0" t="n">
        <f aca="false">SubTech_Intensities!B20*Market_Shares!B11+SubTech_Intensities!C20*Market_Shares!C11+SubTech_Intensities!D20*Market_Shares!D11+SubTech_Intensities!E20*Market_Shares!E11</f>
        <v>104.44444445</v>
      </c>
      <c r="C21" s="0" t="n">
        <f aca="false">SubTech_Intensities!B20*Market_Shares!B12+SubTech_Intensities!C20*Market_Shares!C12+SubTech_Intensities!D20*Market_Shares!D12+SubTech_Intensities!E20*Market_Shares!E12</f>
        <v>104.5873015355</v>
      </c>
      <c r="D21" s="0" t="n">
        <f aca="false">SubTech_Intensities!B20*Market_Shares!B13+SubTech_Intensities!C20*Market_Shares!C13+SubTech_Intensities!D20*Market_Shares!D13+SubTech_Intensities!E20*Market_Shares!E13</f>
        <v>104.730158621</v>
      </c>
      <c r="E21" s="0" t="n">
        <f aca="false">SubTech_Intensities!B20*Market_Shares!B14+SubTech_Intensities!C20*Market_Shares!C14+SubTech_Intensities!D20*Market_Shares!D14+SubTech_Intensities!E20*Market_Shares!E14</f>
        <v>105.0793650255</v>
      </c>
      <c r="F21" s="0" t="n">
        <f aca="false">SubTech_Intensities!B20*Market_Shares!B15+SubTech_Intensities!C20*Market_Shares!C15+SubTech_Intensities!D20*Market_Shares!D15+SubTech_Intensities!E20*Market_Shares!E15</f>
        <v>105.42857143</v>
      </c>
      <c r="G21" s="0" t="n">
        <f aca="false">SubTech_Intensities!B20*Market_Shares!B16+SubTech_Intensities!C20*Market_Shares!C16+SubTech_Intensities!D20*Market_Shares!D16+SubTech_Intensities!E20*Market_Shares!E16</f>
        <v>105.859285715</v>
      </c>
      <c r="H21" s="0" t="n">
        <f aca="false">SubTech_Intensities!B20*Market_Shares!B17+SubTech_Intensities!C20*Market_Shares!C17+SubTech_Intensities!D20*Market_Shares!D17+SubTech_Intensities!E20*Market_Shares!E17</f>
        <v>106.29</v>
      </c>
    </row>
    <row r="22" customFormat="false" ht="15" hidden="false" customHeight="false" outlineLevel="0" collapsed="false">
      <c r="A22" s="0" t="s">
        <v>35</v>
      </c>
      <c r="B22" s="0" t="n">
        <f aca="false">SubTech_Intensities!B21*Market_Shares!B11+SubTech_Intensities!C21*Market_Shares!C11+SubTech_Intensities!D21*Market_Shares!D11+SubTech_Intensities!E21*Market_Shares!E11</f>
        <v>51.588888918</v>
      </c>
      <c r="C22" s="0" t="n">
        <f aca="false">SubTech_Intensities!B21*Market_Shares!B12+SubTech_Intensities!C21*Market_Shares!C12+SubTech_Intensities!D21*Market_Shares!D12+SubTech_Intensities!E21*Market_Shares!E12</f>
        <v>53.2801587015</v>
      </c>
      <c r="D22" s="0" t="n">
        <f aca="false">SubTech_Intensities!B21*Market_Shares!B13+SubTech_Intensities!C21*Market_Shares!C13+SubTech_Intensities!D21*Market_Shares!D13+SubTech_Intensities!E21*Market_Shares!E13</f>
        <v>54.971428485</v>
      </c>
      <c r="E22" s="0" t="n">
        <f aca="false">SubTech_Intensities!B21*Market_Shares!B14+SubTech_Intensities!C21*Market_Shares!C14+SubTech_Intensities!D21*Market_Shares!D14+SubTech_Intensities!E21*Market_Shares!E14</f>
        <v>57.876190441</v>
      </c>
      <c r="F22" s="0" t="n">
        <f aca="false">SubTech_Intensities!B21*Market_Shares!B15+SubTech_Intensities!C21*Market_Shares!C15+SubTech_Intensities!D21*Market_Shares!D15+SubTech_Intensities!E21*Market_Shares!E15</f>
        <v>60.780952397</v>
      </c>
      <c r="G22" s="0" t="n">
        <f aca="false">SubTech_Intensities!B21*Market_Shares!B16+SubTech_Intensities!C21*Market_Shares!C16+SubTech_Intensities!D21*Market_Shares!D16+SubTech_Intensities!E21*Market_Shares!E16</f>
        <v>63.9694761985</v>
      </c>
      <c r="H22" s="0" t="n">
        <f aca="false">SubTech_Intensities!B21*Market_Shares!B17+SubTech_Intensities!C21*Market_Shares!C17+SubTech_Intensities!D21*Market_Shares!D17+SubTech_Intensities!E21*Market_Shares!E17</f>
        <v>67.158</v>
      </c>
    </row>
    <row r="23" customFormat="false" ht="15" hidden="false" customHeight="false" outlineLevel="0" collapsed="false">
      <c r="A23" s="0" t="s">
        <v>36</v>
      </c>
      <c r="B23" s="0" t="n">
        <f aca="false">SubTech_Intensities!B22*Market_Shares!B11+SubTech_Intensities!C22*Market_Shares!C11+SubTech_Intensities!D22*Market_Shares!D11+SubTech_Intensities!E22*Market_Shares!E11</f>
        <v>390.15873017</v>
      </c>
      <c r="C23" s="0" t="n">
        <f aca="false">SubTech_Intensities!B22*Market_Shares!B12+SubTech_Intensities!C22*Market_Shares!C12+SubTech_Intensities!D22*Market_Shares!D12+SubTech_Intensities!E22*Market_Shares!E12</f>
        <v>390.261904575</v>
      </c>
      <c r="D23" s="0" t="n">
        <f aca="false">SubTech_Intensities!B22*Market_Shares!B13+SubTech_Intensities!C22*Market_Shares!C13+SubTech_Intensities!D22*Market_Shares!D13+SubTech_Intensities!E22*Market_Shares!E13</f>
        <v>390.36507898</v>
      </c>
      <c r="E23" s="0" t="n">
        <f aca="false">SubTech_Intensities!B22*Market_Shares!B14+SubTech_Intensities!C22*Market_Shares!C14+SubTech_Intensities!D22*Market_Shares!D14+SubTech_Intensities!E22*Market_Shares!E14</f>
        <v>388.20634902</v>
      </c>
      <c r="F23" s="0" t="n">
        <f aca="false">SubTech_Intensities!B22*Market_Shares!B15+SubTech_Intensities!C22*Market_Shares!C15+SubTech_Intensities!D22*Market_Shares!D15+SubTech_Intensities!E22*Market_Shares!E15</f>
        <v>386.04761906</v>
      </c>
      <c r="G23" s="0" t="n">
        <f aca="false">SubTech_Intensities!B22*Market_Shares!B16+SubTech_Intensities!C22*Market_Shares!C16+SubTech_Intensities!D22*Market_Shares!D16+SubTech_Intensities!E22*Market_Shares!E16</f>
        <v>384.00880953</v>
      </c>
      <c r="H23" s="0" t="n">
        <f aca="false">SubTech_Intensities!B22*Market_Shares!B17+SubTech_Intensities!C22*Market_Shares!C17+SubTech_Intensities!D22*Market_Shares!D17+SubTech_Intensities!E22*Market_Shares!E17</f>
        <v>381.97</v>
      </c>
    </row>
    <row r="24" customFormat="false" ht="15" hidden="false" customHeight="false" outlineLevel="0" collapsed="false">
      <c r="A24" s="0" t="s">
        <v>37</v>
      </c>
      <c r="B24" s="0" t="n">
        <f aca="false">SubTech_Intensities!B23*Market_Shares!B11+SubTech_Intensities!C23*Market_Shares!C11+SubTech_Intensities!D23*Market_Shares!D11+SubTech_Intensities!E23*Market_Shares!E11</f>
        <v>0</v>
      </c>
      <c r="C24" s="0" t="n">
        <f aca="false">SubTech_Intensities!B23*Market_Shares!B12+SubTech_Intensities!C23*Market_Shares!C12+SubTech_Intensities!D23*Market_Shares!D12+SubTech_Intensities!E23*Market_Shares!E12</f>
        <v>0</v>
      </c>
      <c r="D24" s="0" t="n">
        <f aca="false">SubTech_Intensities!B23*Market_Shares!B13+SubTech_Intensities!C23*Market_Shares!C13+SubTech_Intensities!D23*Market_Shares!D13+SubTech_Intensities!E23*Market_Shares!E13</f>
        <v>0</v>
      </c>
      <c r="E24" s="0" t="n">
        <f aca="false">SubTech_Intensities!B23*Market_Shares!B14+SubTech_Intensities!C23*Market_Shares!C14+SubTech_Intensities!D23*Market_Shares!D14+SubTech_Intensities!E23*Market_Shares!E14</f>
        <v>0</v>
      </c>
      <c r="F24" s="0" t="n">
        <f aca="false">SubTech_Intensities!B23*Market_Shares!B15+SubTech_Intensities!C23*Market_Shares!C15+SubTech_Intensities!D23*Market_Shares!D15+SubTech_Intensities!E23*Market_Shares!E15</f>
        <v>0</v>
      </c>
      <c r="G24" s="0" t="n">
        <f aca="false">SubTech_Intensities!B23*Market_Shares!B16+SubTech_Intensities!C23*Market_Shares!C16+SubTech_Intensities!D23*Market_Shares!D16+SubTech_Intensities!E23*Market_Shares!E16</f>
        <v>0</v>
      </c>
      <c r="H24" s="0" t="n">
        <f aca="false">SubTech_Intensities!B23*Market_Shares!B17+SubTech_Intensities!C23*Market_Shares!C17+SubTech_Intensities!D23*Market_Shares!D17+SubTech_Intensities!E23*Market_Shares!E17</f>
        <v>0</v>
      </c>
    </row>
    <row r="25" customFormat="false" ht="15" hidden="false" customHeight="false" outlineLevel="0" collapsed="false">
      <c r="A25" s="0" t="s">
        <v>38</v>
      </c>
      <c r="B25" s="0" t="n">
        <f aca="false">SubTech_Intensities!B24*Market_Shares!B11+SubTech_Intensities!C24*Market_Shares!C11+SubTech_Intensities!D24*Market_Shares!D11+SubTech_Intensities!E24*Market_Shares!E11</f>
        <v>4600</v>
      </c>
      <c r="C25" s="0" t="n">
        <f aca="false">SubTech_Intensities!B24*Market_Shares!B12+SubTech_Intensities!C24*Market_Shares!C12+SubTech_Intensities!D24*Market_Shares!D12+SubTech_Intensities!E24*Market_Shares!E12</f>
        <v>4599.9999977</v>
      </c>
      <c r="D25" s="0" t="n">
        <f aca="false">SubTech_Intensities!B24*Market_Shares!B13+SubTech_Intensities!C24*Market_Shares!C13+SubTech_Intensities!D24*Market_Shares!D13+SubTech_Intensities!E24*Market_Shares!E13</f>
        <v>4599.9999954</v>
      </c>
      <c r="E25" s="0" t="n">
        <f aca="false">SubTech_Intensities!B24*Market_Shares!B14+SubTech_Intensities!C24*Market_Shares!C14+SubTech_Intensities!D24*Market_Shares!D14+SubTech_Intensities!E24*Market_Shares!E14</f>
        <v>4599.9999977</v>
      </c>
      <c r="F25" s="0" t="n">
        <f aca="false">SubTech_Intensities!B24*Market_Shares!B15+SubTech_Intensities!C24*Market_Shares!C15+SubTech_Intensities!D24*Market_Shares!D15+SubTech_Intensities!E24*Market_Shares!E15</f>
        <v>4600</v>
      </c>
      <c r="G25" s="0" t="n">
        <f aca="false">SubTech_Intensities!B24*Market_Shares!B16+SubTech_Intensities!C24*Market_Shares!C16+SubTech_Intensities!D24*Market_Shares!D16+SubTech_Intensities!E24*Market_Shares!E16</f>
        <v>4600</v>
      </c>
      <c r="H25" s="0" t="n">
        <f aca="false">SubTech_Intensities!B24*Market_Shares!B17+SubTech_Intensities!C24*Market_Shares!C17+SubTech_Intensities!D24*Market_Shares!D17+SubTech_Intensities!E24*Market_Shares!E17</f>
        <v>4600</v>
      </c>
    </row>
    <row r="26" customFormat="false" ht="15" hidden="false" customHeight="false" outlineLevel="0" collapsed="false">
      <c r="A26" s="0" t="s">
        <v>39</v>
      </c>
      <c r="B26" s="0" t="n">
        <f aca="false">SubTech_Intensities!B25*Market_Shares!B11+SubTech_Intensities!C25*Market_Shares!C11+SubTech_Intensities!D25*Market_Shares!D11+SubTech_Intensities!E25*Market_Shares!E11</f>
        <v>7.744444447</v>
      </c>
      <c r="C26" s="0" t="n">
        <f aca="false">SubTech_Intensities!B25*Market_Shares!B12+SubTech_Intensities!C25*Market_Shares!C12+SubTech_Intensities!D25*Market_Shares!D12+SubTech_Intensities!E25*Market_Shares!E12</f>
        <v>7.9333333285</v>
      </c>
      <c r="D26" s="0" t="n">
        <f aca="false">SubTech_Intensities!B25*Market_Shares!B13+SubTech_Intensities!C25*Market_Shares!C13+SubTech_Intensities!D25*Market_Shares!D13+SubTech_Intensities!E25*Market_Shares!E13</f>
        <v>8.12222221</v>
      </c>
      <c r="E26" s="0" t="n">
        <f aca="false">SubTech_Intensities!B25*Market_Shares!B14+SubTech_Intensities!C25*Market_Shares!C14+SubTech_Intensities!D25*Market_Shares!D14+SubTech_Intensities!E25*Market_Shares!E14</f>
        <v>8.6301587245</v>
      </c>
      <c r="F26" s="0" t="n">
        <f aca="false">SubTech_Intensities!B25*Market_Shares!B15+SubTech_Intensities!C25*Market_Shares!C15+SubTech_Intensities!D25*Market_Shares!D15+SubTech_Intensities!E25*Market_Shares!E15</f>
        <v>9.138095239</v>
      </c>
      <c r="G26" s="0" t="n">
        <f aca="false">SubTech_Intensities!B25*Market_Shares!B16+SubTech_Intensities!C25*Market_Shares!C16+SubTech_Intensities!D25*Market_Shares!D16+SubTech_Intensities!E25*Market_Shares!E16</f>
        <v>9.6705476195</v>
      </c>
      <c r="H26" s="0" t="n">
        <f aca="false">SubTech_Intensities!B25*Market_Shares!B17+SubTech_Intensities!C25*Market_Shares!C17+SubTech_Intensities!D25*Market_Shares!D17+SubTech_Intensities!E25*Market_Shares!E17</f>
        <v>10.203</v>
      </c>
    </row>
    <row r="27" customFormat="false" ht="15" hidden="false" customHeight="false" outlineLevel="0" collapsed="false">
      <c r="A27" s="0" t="s">
        <v>40</v>
      </c>
      <c r="B27" s="0" t="n">
        <f aca="false">SubTech_Intensities!B26*Market_Shares!B11+SubTech_Intensities!C26*Market_Shares!C11+SubTech_Intensities!D26*Market_Shares!D11+SubTech_Intensities!E26*Market_Shares!E11</f>
        <v>0</v>
      </c>
      <c r="C27" s="0" t="n">
        <f aca="false">SubTech_Intensities!B26*Market_Shares!B12+SubTech_Intensities!C26*Market_Shares!C12+SubTech_Intensities!D26*Market_Shares!D12+SubTech_Intensities!E26*Market_Shares!E12</f>
        <v>0</v>
      </c>
      <c r="D27" s="0" t="n">
        <f aca="false">SubTech_Intensities!B26*Market_Shares!B13+SubTech_Intensities!C26*Market_Shares!C13+SubTech_Intensities!D26*Market_Shares!D13+SubTech_Intensities!E26*Market_Shares!E13</f>
        <v>0</v>
      </c>
      <c r="E27" s="0" t="n">
        <f aca="false">SubTech_Intensities!B26*Market_Shares!B14+SubTech_Intensities!C26*Market_Shares!C14+SubTech_Intensities!D26*Market_Shares!D14+SubTech_Intensities!E26*Market_Shares!E14</f>
        <v>0</v>
      </c>
      <c r="F27" s="0" t="n">
        <f aca="false">SubTech_Intensities!B26*Market_Shares!B15+SubTech_Intensities!C26*Market_Shares!C15+SubTech_Intensities!D26*Market_Shares!D15+SubTech_Intensities!E26*Market_Shares!E15</f>
        <v>0</v>
      </c>
      <c r="G27" s="0" t="n">
        <f aca="false">SubTech_Intensities!B26*Market_Shares!B16+SubTech_Intensities!C26*Market_Shares!C16+SubTech_Intensities!D26*Market_Shares!D16+SubTech_Intensities!E26*Market_Shares!E16</f>
        <v>0</v>
      </c>
      <c r="H27" s="0" t="n">
        <f aca="false">SubTech_Intensities!B26*Market_Shares!B17+SubTech_Intensities!C26*Market_Shares!C17+SubTech_Intensities!D26*Market_Shares!D17+SubTech_Intensities!E26*Market_Shares!E17</f>
        <v>0</v>
      </c>
    </row>
    <row r="28" customFormat="false" ht="15" hidden="false" customHeight="false" outlineLevel="0" collapsed="false">
      <c r="A28" s="0" t="s">
        <v>41</v>
      </c>
      <c r="B28" s="0" t="n">
        <f aca="false">SubTech_Intensities!B27*Market_Shares!B11+SubTech_Intensities!C27*Market_Shares!C11+SubTech_Intensities!D27*Market_Shares!D11+SubTech_Intensities!E27*Market_Shares!E11</f>
        <v>0</v>
      </c>
      <c r="C28" s="0" t="n">
        <f aca="false">SubTech_Intensities!B27*Market_Shares!B12+SubTech_Intensities!C27*Market_Shares!C12+SubTech_Intensities!D27*Market_Shares!D12+SubTech_Intensities!E27*Market_Shares!E12</f>
        <v>0</v>
      </c>
      <c r="D28" s="0" t="n">
        <f aca="false">SubTech_Intensities!B27*Market_Shares!B13+SubTech_Intensities!C27*Market_Shares!C13+SubTech_Intensities!D27*Market_Shares!D13+SubTech_Intensities!E27*Market_Shares!E13</f>
        <v>0</v>
      </c>
      <c r="E28" s="0" t="n">
        <f aca="false">SubTech_Intensities!B27*Market_Shares!B14+SubTech_Intensities!C27*Market_Shares!C14+SubTech_Intensities!D27*Market_Shares!D14+SubTech_Intensities!E27*Market_Shares!E14</f>
        <v>0</v>
      </c>
      <c r="F28" s="0" t="n">
        <f aca="false">SubTech_Intensities!B27*Market_Shares!B15+SubTech_Intensities!C27*Market_Shares!C15+SubTech_Intensities!D27*Market_Shares!D15+SubTech_Intensities!E27*Market_Shares!E15</f>
        <v>0</v>
      </c>
      <c r="G28" s="0" t="n">
        <f aca="false">SubTech_Intensities!B27*Market_Shares!B16+SubTech_Intensities!C27*Market_Shares!C16+SubTech_Intensities!D27*Market_Shares!D16+SubTech_Intensities!E27*Market_Shares!E16</f>
        <v>0</v>
      </c>
      <c r="H28" s="0" t="n">
        <f aca="false">SubTech_Intensities!B27*Market_Shares!B17+SubTech_Intensities!C27*Market_Shares!C17+SubTech_Intensities!D27*Market_Shares!D17+SubTech_Intensities!E27*Market_Shares!E17</f>
        <v>0</v>
      </c>
    </row>
    <row r="29" customFormat="false" ht="15" hidden="false" customHeight="false" outlineLevel="0" collapsed="false">
      <c r="A29" s="0" t="s">
        <v>42</v>
      </c>
      <c r="B29" s="0" t="n">
        <f aca="false">SubTech_Intensities!B28*Market_Shares!B11+SubTech_Intensities!C28*Market_Shares!C11+SubTech_Intensities!D28*Market_Shares!D11+SubTech_Intensities!E28*Market_Shares!E11</f>
        <v>0</v>
      </c>
      <c r="C29" s="0" t="n">
        <f aca="false">SubTech_Intensities!B28*Market_Shares!B12+SubTech_Intensities!C28*Market_Shares!C12+SubTech_Intensities!D28*Market_Shares!D12+SubTech_Intensities!E28*Market_Shares!E12</f>
        <v>0</v>
      </c>
      <c r="D29" s="0" t="n">
        <f aca="false">SubTech_Intensities!B28*Market_Shares!B13+SubTech_Intensities!C28*Market_Shares!C13+SubTech_Intensities!D28*Market_Shares!D13+SubTech_Intensities!E28*Market_Shares!E13</f>
        <v>0</v>
      </c>
      <c r="E29" s="0" t="n">
        <f aca="false">SubTech_Intensities!B28*Market_Shares!B14+SubTech_Intensities!C28*Market_Shares!C14+SubTech_Intensities!D28*Market_Shares!D14+SubTech_Intensities!E28*Market_Shares!E14</f>
        <v>0</v>
      </c>
      <c r="F29" s="0" t="n">
        <f aca="false">SubTech_Intensities!B28*Market_Shares!B15+SubTech_Intensities!C28*Market_Shares!C15+SubTech_Intensities!D28*Market_Shares!D15+SubTech_Intensities!E28*Market_Shares!E15</f>
        <v>0</v>
      </c>
      <c r="G29" s="0" t="n">
        <f aca="false">SubTech_Intensities!B28*Market_Shares!B16+SubTech_Intensities!C28*Market_Shares!C16+SubTech_Intensities!D28*Market_Shares!D16+SubTech_Intensities!E28*Market_Shares!E16</f>
        <v>0</v>
      </c>
      <c r="H29" s="0" t="n">
        <f aca="false">SubTech_Intensities!B28*Market_Shares!B17+SubTech_Intensities!C28*Market_Shares!C17+SubTech_Intensities!D28*Market_Shares!D17+SubTech_Intensities!E28*Market_Shares!E17</f>
        <v>0</v>
      </c>
    </row>
    <row r="30" customFormat="false" ht="15" hidden="false" customHeight="false" outlineLevel="0" collapsed="false">
      <c r="A30" s="0" t="s">
        <v>43</v>
      </c>
      <c r="B30" s="0" t="n">
        <f aca="false">SubTech_Intensities!B29*Market_Shares!B11+SubTech_Intensities!C29*Market_Shares!C11+SubTech_Intensities!D29*Market_Shares!D11+SubTech_Intensities!E29*Market_Shares!E11</f>
        <v>0</v>
      </c>
      <c r="C30" s="0" t="n">
        <f aca="false">SubTech_Intensities!B29*Market_Shares!B12+SubTech_Intensities!C29*Market_Shares!C12+SubTech_Intensities!D29*Market_Shares!D12+SubTech_Intensities!E29*Market_Shares!E12</f>
        <v>0</v>
      </c>
      <c r="D30" s="0" t="n">
        <f aca="false">SubTech_Intensities!B29*Market_Shares!B13+SubTech_Intensities!C29*Market_Shares!C13+SubTech_Intensities!D29*Market_Shares!D13+SubTech_Intensities!E29*Market_Shares!E13</f>
        <v>0</v>
      </c>
      <c r="E30" s="0" t="n">
        <f aca="false">SubTech_Intensities!B29*Market_Shares!B14+SubTech_Intensities!C29*Market_Shares!C14+SubTech_Intensities!D29*Market_Shares!D14+SubTech_Intensities!E29*Market_Shares!E14</f>
        <v>0</v>
      </c>
      <c r="F30" s="0" t="n">
        <f aca="false">SubTech_Intensities!B29*Market_Shares!B15+SubTech_Intensities!C29*Market_Shares!C15+SubTech_Intensities!D29*Market_Shares!D15+SubTech_Intensities!E29*Market_Shares!E15</f>
        <v>0</v>
      </c>
      <c r="G30" s="0" t="n">
        <f aca="false">SubTech_Intensities!B29*Market_Shares!B16+SubTech_Intensities!C29*Market_Shares!C16+SubTech_Intensities!D29*Market_Shares!D16+SubTech_Intensities!E29*Market_Shares!E16</f>
        <v>0</v>
      </c>
      <c r="H30" s="0" t="n">
        <f aca="false">SubTech_Intensities!B29*Market_Shares!B17+SubTech_Intensities!C29*Market_Shares!C17+SubTech_Intensities!D29*Market_Shares!D17+SubTech_Intensities!E29*Market_Shares!E17</f>
        <v>0</v>
      </c>
    </row>
    <row r="31" customFormat="false" ht="15" hidden="false" customHeight="false" outlineLevel="0" collapsed="false">
      <c r="A31" s="0" t="s">
        <v>44</v>
      </c>
      <c r="B31" s="0" t="n">
        <f aca="false">SubTech_Intensities!B30*Market_Shares!B11+SubTech_Intensities!C30*Market_Shares!C11+SubTech_Intensities!D30*Market_Shares!D11+SubTech_Intensities!E30*Market_Shares!E11</f>
        <v>0</v>
      </c>
      <c r="C31" s="0" t="n">
        <f aca="false">SubTech_Intensities!B30*Market_Shares!B12+SubTech_Intensities!C30*Market_Shares!C12+SubTech_Intensities!D30*Market_Shares!D12+SubTech_Intensities!E30*Market_Shares!E12</f>
        <v>0</v>
      </c>
      <c r="D31" s="0" t="n">
        <f aca="false">SubTech_Intensities!B30*Market_Shares!B13+SubTech_Intensities!C30*Market_Shares!C13+SubTech_Intensities!D30*Market_Shares!D13+SubTech_Intensities!E30*Market_Shares!E13</f>
        <v>0</v>
      </c>
      <c r="E31" s="0" t="n">
        <f aca="false">SubTech_Intensities!B30*Market_Shares!B14+SubTech_Intensities!C30*Market_Shares!C14+SubTech_Intensities!D30*Market_Shares!D14+SubTech_Intensities!E30*Market_Shares!E14</f>
        <v>0</v>
      </c>
      <c r="F31" s="0" t="n">
        <f aca="false">SubTech_Intensities!B30*Market_Shares!B15+SubTech_Intensities!C30*Market_Shares!C15+SubTech_Intensities!D30*Market_Shares!D15+SubTech_Intensities!E30*Market_Shares!E15</f>
        <v>0</v>
      </c>
      <c r="G31" s="0" t="n">
        <f aca="false">SubTech_Intensities!B30*Market_Shares!B16+SubTech_Intensities!C30*Market_Shares!C16+SubTech_Intensities!D30*Market_Shares!D16+SubTech_Intensities!E30*Market_Shares!E16</f>
        <v>0</v>
      </c>
      <c r="H31" s="0" t="n">
        <f aca="false">SubTech_Intensities!B30*Market_Shares!B17+SubTech_Intensities!C30*Market_Shares!C17+SubTech_Intensities!D30*Market_Shares!D17+SubTech_Intensities!E30*Market_Shares!E17</f>
        <v>0</v>
      </c>
    </row>
    <row r="32" customFormat="false" ht="15" hidden="false" customHeight="false" outlineLevel="0" collapsed="false">
      <c r="A32" s="0" t="s">
        <v>45</v>
      </c>
      <c r="B32" s="0" t="n">
        <f aca="false">SubTech_Intensities!B31*Market_Shares!B11+SubTech_Intensities!C31*Market_Shares!C11+SubTech_Intensities!D31*Market_Shares!D11+SubTech_Intensities!E31*Market_Shares!E11</f>
        <v>1.530158731</v>
      </c>
      <c r="C32" s="0" t="n">
        <f aca="false">SubTech_Intensities!B31*Market_Shares!B12+SubTech_Intensities!C31*Market_Shares!C12+SubTech_Intensities!D31*Market_Shares!D12+SubTech_Intensities!E31*Market_Shares!E12</f>
        <v>1.584920634</v>
      </c>
      <c r="D32" s="0" t="n">
        <f aca="false">SubTech_Intensities!B31*Market_Shares!B13+SubTech_Intensities!C31*Market_Shares!C13+SubTech_Intensities!D31*Market_Shares!D13+SubTech_Intensities!E31*Market_Shares!E13</f>
        <v>1.639682537</v>
      </c>
      <c r="E32" s="0" t="n">
        <f aca="false">SubTech_Intensities!B31*Market_Shares!B14+SubTech_Intensities!C31*Market_Shares!C14+SubTech_Intensities!D31*Market_Shares!D14+SubTech_Intensities!E31*Market_Shares!E14</f>
        <v>1.7476190465</v>
      </c>
      <c r="F32" s="0" t="n">
        <f aca="false">SubTech_Intensities!B31*Market_Shares!B15+SubTech_Intensities!C31*Market_Shares!C15+SubTech_Intensities!D31*Market_Shares!D15+SubTech_Intensities!E31*Market_Shares!E15</f>
        <v>1.855555556</v>
      </c>
      <c r="G32" s="0" t="n">
        <f aca="false">SubTech_Intensities!B31*Market_Shares!B16+SubTech_Intensities!C31*Market_Shares!C16+SubTech_Intensities!D31*Market_Shares!D16+SubTech_Intensities!E31*Market_Shares!E16</f>
        <v>1.971277778</v>
      </c>
      <c r="H32" s="0" t="n">
        <f aca="false">SubTech_Intensities!B31*Market_Shares!B17+SubTech_Intensities!C31*Market_Shares!C17+SubTech_Intensities!D31*Market_Shares!D17+SubTech_Intensities!E31*Market_Shares!E17</f>
        <v>2.087</v>
      </c>
    </row>
    <row r="33" customFormat="false" ht="15" hidden="false" customHeight="false" outlineLevel="0" collapsed="false">
      <c r="A33" s="0" t="s">
        <v>46</v>
      </c>
      <c r="B33" s="0" t="n">
        <f aca="false">SubTech_Intensities!B32*Market_Shares!B11+SubTech_Intensities!C32*Market_Shares!C11+SubTech_Intensities!D32*Market_Shares!D11+SubTech_Intensities!E32*Market_Shares!E11</f>
        <v>0</v>
      </c>
      <c r="C33" s="0" t="n">
        <f aca="false">SubTech_Intensities!B32*Market_Shares!B12+SubTech_Intensities!C32*Market_Shares!C12+SubTech_Intensities!D32*Market_Shares!D12+SubTech_Intensities!E32*Market_Shares!E12</f>
        <v>0</v>
      </c>
      <c r="D33" s="0" t="n">
        <f aca="false">SubTech_Intensities!B32*Market_Shares!B13+SubTech_Intensities!C32*Market_Shares!C13+SubTech_Intensities!D32*Market_Shares!D13+SubTech_Intensities!E32*Market_Shares!E13</f>
        <v>0</v>
      </c>
      <c r="E33" s="0" t="n">
        <f aca="false">SubTech_Intensities!B32*Market_Shares!B14+SubTech_Intensities!C32*Market_Shares!C14+SubTech_Intensities!D32*Market_Shares!D14+SubTech_Intensities!E32*Market_Shares!E14</f>
        <v>0</v>
      </c>
      <c r="F33" s="0" t="n">
        <f aca="false">SubTech_Intensities!B32*Market_Shares!B15+SubTech_Intensities!C32*Market_Shares!C15+SubTech_Intensities!D32*Market_Shares!D15+SubTech_Intensities!E32*Market_Shares!E15</f>
        <v>0</v>
      </c>
      <c r="G33" s="0" t="n">
        <f aca="false">SubTech_Intensities!B32*Market_Shares!B16+SubTech_Intensities!C32*Market_Shares!C16+SubTech_Intensities!D32*Market_Shares!D16+SubTech_Intensities!E32*Market_Shares!E16</f>
        <v>0</v>
      </c>
      <c r="H33" s="0" t="n">
        <f aca="false">SubTech_Intensities!B32*Market_Shares!B17+SubTech_Intensities!C32*Market_Shares!C17+SubTech_Intensities!D32*Market_Shares!D17+SubTech_Intensities!E32*Market_Shares!E17</f>
        <v>0</v>
      </c>
    </row>
    <row r="34" customFormat="false" ht="15" hidden="false" customHeight="false" outlineLevel="0" collapsed="false">
      <c r="A34" s="0" t="s">
        <v>47</v>
      </c>
      <c r="B34" s="0" t="n">
        <f aca="false">SubTech_Intensities!B33*Market_Shares!B11+SubTech_Intensities!C33*Market_Shares!C11+SubTech_Intensities!D33*Market_Shares!D11+SubTech_Intensities!E33*Market_Shares!E11</f>
        <v>0</v>
      </c>
      <c r="C34" s="0" t="n">
        <f aca="false">SubTech_Intensities!B33*Market_Shares!B12+SubTech_Intensities!C33*Market_Shares!C12+SubTech_Intensities!D33*Market_Shares!D12+SubTech_Intensities!E33*Market_Shares!E12</f>
        <v>0</v>
      </c>
      <c r="D34" s="0" t="n">
        <f aca="false">SubTech_Intensities!B33*Market_Shares!B13+SubTech_Intensities!C33*Market_Shares!C13+SubTech_Intensities!D33*Market_Shares!D13+SubTech_Intensities!E33*Market_Shares!E13</f>
        <v>0</v>
      </c>
      <c r="E34" s="0" t="n">
        <f aca="false">SubTech_Intensities!B33*Market_Shares!B14+SubTech_Intensities!C33*Market_Shares!C14+SubTech_Intensities!D33*Market_Shares!D14+SubTech_Intensities!E33*Market_Shares!E14</f>
        <v>0</v>
      </c>
      <c r="F34" s="0" t="n">
        <f aca="false">SubTech_Intensities!B33*Market_Shares!B15+SubTech_Intensities!C33*Market_Shares!C15+SubTech_Intensities!D33*Market_Shares!D15+SubTech_Intensities!E33*Market_Shares!E15</f>
        <v>0</v>
      </c>
      <c r="G34" s="0" t="n">
        <f aca="false">SubTech_Intensities!B33*Market_Shares!B16+SubTech_Intensities!C33*Market_Shares!C16+SubTech_Intensities!D33*Market_Shares!D16+SubTech_Intensities!E33*Market_Shares!E16</f>
        <v>0</v>
      </c>
      <c r="H34" s="0" t="n">
        <f aca="false">SubTech_Intensities!B33*Market_Shares!B17+SubTech_Intensities!C33*Market_Shares!C17+SubTech_Intensities!D33*Market_Shares!D17+SubTech_Intensities!E33*Market_Shares!E17</f>
        <v>0</v>
      </c>
    </row>
    <row r="35" customFormat="false" ht="15" hidden="false" customHeight="false" outlineLevel="0" collapsed="false">
      <c r="A35" s="0" t="s">
        <v>48</v>
      </c>
      <c r="B35" s="0" t="n">
        <f aca="false">SubTech_Intensities!B34*Market_Shares!B11+SubTech_Intensities!C34*Market_Shares!C11+SubTech_Intensities!D34*Market_Shares!D11+SubTech_Intensities!E34*Market_Shares!E11</f>
        <v>0</v>
      </c>
      <c r="C35" s="0" t="n">
        <f aca="false">SubTech_Intensities!B34*Market_Shares!B12+SubTech_Intensities!C34*Market_Shares!C12+SubTech_Intensities!D34*Market_Shares!D12+SubTech_Intensities!E34*Market_Shares!E12</f>
        <v>0</v>
      </c>
      <c r="D35" s="0" t="n">
        <f aca="false">SubTech_Intensities!B34*Market_Shares!B13+SubTech_Intensities!C34*Market_Shares!C13+SubTech_Intensities!D34*Market_Shares!D13+SubTech_Intensities!E34*Market_Shares!E13</f>
        <v>0</v>
      </c>
      <c r="E35" s="0" t="n">
        <f aca="false">SubTech_Intensities!B34*Market_Shares!B14+SubTech_Intensities!C34*Market_Shares!C14+SubTech_Intensities!D34*Market_Shares!D14+SubTech_Intensities!E34*Market_Shares!E14</f>
        <v>0</v>
      </c>
      <c r="F35" s="0" t="n">
        <f aca="false">SubTech_Intensities!B34*Market_Shares!B15+SubTech_Intensities!C34*Market_Shares!C15+SubTech_Intensities!D34*Market_Shares!D15+SubTech_Intensities!E34*Market_Shares!E15</f>
        <v>0</v>
      </c>
      <c r="G35" s="0" t="n">
        <f aca="false">SubTech_Intensities!B34*Market_Shares!B16+SubTech_Intensities!C34*Market_Shares!C16+SubTech_Intensities!D34*Market_Shares!D16+SubTech_Intensities!E34*Market_Shares!E16</f>
        <v>0</v>
      </c>
      <c r="H35" s="0" t="n">
        <f aca="false">SubTech_Intensities!B34*Market_Shares!B17+SubTech_Intensities!C34*Market_Shares!C17+SubTech_Intensities!D34*Market_Shares!D17+SubTech_Intensities!E34*Market_Shares!E17</f>
        <v>0</v>
      </c>
    </row>
    <row r="36" customFormat="false" ht="15" hidden="false" customHeight="false" outlineLevel="0" collapsed="false">
      <c r="A36" s="0" t="s">
        <v>49</v>
      </c>
      <c r="B36" s="0" t="n">
        <f aca="false">SubTech_Intensities!B35*Market_Shares!B11+SubTech_Intensities!C35*Market_Shares!C11+SubTech_Intensities!D35*Market_Shares!D11+SubTech_Intensities!E35*Market_Shares!E11</f>
        <v>0</v>
      </c>
      <c r="C36" s="0" t="n">
        <f aca="false">SubTech_Intensities!B35*Market_Shares!B12+SubTech_Intensities!C35*Market_Shares!C12+SubTech_Intensities!D35*Market_Shares!D12+SubTech_Intensities!E35*Market_Shares!E12</f>
        <v>0</v>
      </c>
      <c r="D36" s="0" t="n">
        <f aca="false">SubTech_Intensities!B35*Market_Shares!B13+SubTech_Intensities!C35*Market_Shares!C13+SubTech_Intensities!D35*Market_Shares!D13+SubTech_Intensities!E35*Market_Shares!E13</f>
        <v>0</v>
      </c>
      <c r="E36" s="0" t="n">
        <f aca="false">SubTech_Intensities!B35*Market_Shares!B14+SubTech_Intensities!C35*Market_Shares!C14+SubTech_Intensities!D35*Market_Shares!D14+SubTech_Intensities!E35*Market_Shares!E14</f>
        <v>0</v>
      </c>
      <c r="F36" s="0" t="n">
        <f aca="false">SubTech_Intensities!B35*Market_Shares!B15+SubTech_Intensities!C35*Market_Shares!C15+SubTech_Intensities!D35*Market_Shares!D15+SubTech_Intensities!E35*Market_Shares!E15</f>
        <v>0</v>
      </c>
      <c r="G36" s="0" t="n">
        <f aca="false">SubTech_Intensities!B35*Market_Shares!B16+SubTech_Intensities!C35*Market_Shares!C16+SubTech_Intensities!D35*Market_Shares!D16+SubTech_Intensities!E35*Market_Shares!E16</f>
        <v>0</v>
      </c>
      <c r="H36" s="0" t="n">
        <f aca="false">SubTech_Intensities!B35*Market_Shares!B17+SubTech_Intensities!C35*Market_Shares!C17+SubTech_Intensities!D35*Market_Shares!D17+SubTech_Intensities!E35*Market_Shares!E17</f>
        <v>0</v>
      </c>
    </row>
    <row r="37" customFormat="false" ht="15" hidden="false" customHeight="false" outlineLevel="0" collapsed="false">
      <c r="A37" s="0" t="s">
        <v>50</v>
      </c>
      <c r="B37" s="0" t="n">
        <f aca="false">SubTech_Intensities!B36*Market_Shares!B11+SubTech_Intensities!C36*Market_Shares!C11+SubTech_Intensities!D36*Market_Shares!D11+SubTech_Intensities!E36*Market_Shares!E11</f>
        <v>5500</v>
      </c>
      <c r="C37" s="0" t="n">
        <f aca="false">SubTech_Intensities!B36*Market_Shares!B12+SubTech_Intensities!C36*Market_Shares!C12+SubTech_Intensities!D36*Market_Shares!D12+SubTech_Intensities!E36*Market_Shares!E12</f>
        <v>5499.99999725</v>
      </c>
      <c r="D37" s="0" t="n">
        <f aca="false">SubTech_Intensities!B36*Market_Shares!B13+SubTech_Intensities!C36*Market_Shares!C13+SubTech_Intensities!D36*Market_Shares!D13+SubTech_Intensities!E36*Market_Shares!E13</f>
        <v>5499.9999945</v>
      </c>
      <c r="E37" s="0" t="n">
        <f aca="false">SubTech_Intensities!B36*Market_Shares!B14+SubTech_Intensities!C36*Market_Shares!C14+SubTech_Intensities!D36*Market_Shares!D14+SubTech_Intensities!E36*Market_Shares!E14</f>
        <v>5499.99999725</v>
      </c>
      <c r="F37" s="0" t="n">
        <f aca="false">SubTech_Intensities!B36*Market_Shares!B15+SubTech_Intensities!C36*Market_Shares!C15+SubTech_Intensities!D36*Market_Shares!D15+SubTech_Intensities!E36*Market_Shares!E15</f>
        <v>5500</v>
      </c>
      <c r="G37" s="0" t="n">
        <f aca="false">SubTech_Intensities!B36*Market_Shares!B16+SubTech_Intensities!C36*Market_Shares!C16+SubTech_Intensities!D36*Market_Shares!D16+SubTech_Intensities!E36*Market_Shares!E16</f>
        <v>5500</v>
      </c>
      <c r="H37" s="0" t="n">
        <f aca="false">SubTech_Intensities!B36*Market_Shares!B17+SubTech_Intensities!C36*Market_Shares!C17+SubTech_Intensities!D36*Market_Shares!D17+SubTech_Intensities!E36*Market_Shares!E17</f>
        <v>5500</v>
      </c>
    </row>
    <row r="38" customFormat="false" ht="15" hidden="false" customHeight="false" outlineLevel="0" collapsed="false">
      <c r="A38" s="0" t="s">
        <v>51</v>
      </c>
      <c r="B38" s="0" t="n">
        <f aca="false">SubTech_Intensities!B37*Market_Shares!B11+SubTech_Intensities!C37*Market_Shares!C11+SubTech_Intensities!D37*Market_Shares!D11+SubTech_Intensities!E37*Market_Shares!E11</f>
        <v>0</v>
      </c>
      <c r="C38" s="0" t="n">
        <f aca="false">SubTech_Intensities!B37*Market_Shares!B12+SubTech_Intensities!C37*Market_Shares!C12+SubTech_Intensities!D37*Market_Shares!D12+SubTech_Intensities!E37*Market_Shares!E12</f>
        <v>0</v>
      </c>
      <c r="D38" s="0" t="n">
        <f aca="false">SubTech_Intensities!B37*Market_Shares!B13+SubTech_Intensities!C37*Market_Shares!C13+SubTech_Intensities!D37*Market_Shares!D13+SubTech_Intensities!E37*Market_Shares!E13</f>
        <v>0</v>
      </c>
      <c r="E38" s="0" t="n">
        <f aca="false">SubTech_Intensities!B37*Market_Shares!B14+SubTech_Intensities!C37*Market_Shares!C14+SubTech_Intensities!D37*Market_Shares!D14+SubTech_Intensities!E37*Market_Shares!E14</f>
        <v>0</v>
      </c>
      <c r="F38" s="0" t="n">
        <f aca="false">SubTech_Intensities!B37*Market_Shares!B15+SubTech_Intensities!C37*Market_Shares!C15+SubTech_Intensities!D37*Market_Shares!D15+SubTech_Intensities!E37*Market_Shares!E15</f>
        <v>0</v>
      </c>
      <c r="G38" s="0" t="n">
        <f aca="false">SubTech_Intensities!B37*Market_Shares!B16+SubTech_Intensities!C37*Market_Shares!C16+SubTech_Intensities!D37*Market_Shares!D16+SubTech_Intensities!E37*Market_Shares!E16</f>
        <v>0</v>
      </c>
      <c r="H38" s="0" t="n">
        <f aca="false">SubTech_Intensities!B37*Market_Shares!B17+SubTech_Intensities!C37*Market_Shares!C17+SubTech_Intensities!D37*Market_Shares!D17+SubTech_Intensities!E37*Market_Shares!E17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2026-07-08T19:33:17Z</dcterms:created>
  <dc:creator>openpyxl</dc:creator>
  <dc:description/>
  <dc:language>en-US</dc:language>
  <cp:lastModifiedBy/>
  <dcterms:modified xsi:type="dcterms:W3CDTF">2026-07-08T19:33:17Z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